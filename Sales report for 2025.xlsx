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iti-Nati Supermarket\Vansons_Shop\"/>
    </mc:Choice>
  </mc:AlternateContent>
  <bookViews>
    <workbookView xWindow="0" yWindow="0" windowWidth="28800" windowHeight="13725" activeTab="3"/>
  </bookViews>
  <sheets>
    <sheet name="Sales Input" sheetId="2" r:id="rId1"/>
    <sheet name="Consolidated Sales" sheetId="1" r:id="rId2"/>
    <sheet name="Suppliers Report" sheetId="4" r:id="rId3"/>
    <sheet name="Expenses Report" sheetId="5" r:id="rId4"/>
    <sheet name="Summary" sheetId="3" r:id="rId5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4" i="2" l="1"/>
  <c r="J94" i="2"/>
  <c r="I94" i="2"/>
  <c r="H94" i="2"/>
  <c r="G94" i="2"/>
  <c r="F94" i="2"/>
  <c r="E94" i="2"/>
  <c r="D94" i="2"/>
  <c r="C94" i="2"/>
  <c r="K70" i="2"/>
  <c r="J70" i="2"/>
  <c r="I70" i="2"/>
  <c r="H70" i="2"/>
  <c r="G70" i="2"/>
  <c r="F70" i="2"/>
  <c r="E70" i="2"/>
  <c r="D70" i="2"/>
  <c r="C70" i="2"/>
  <c r="O11" i="2" l="1"/>
  <c r="B26" i="1"/>
  <c r="B20" i="1"/>
  <c r="B10" i="1"/>
  <c r="B9" i="1"/>
  <c r="A10" i="1"/>
  <c r="A11" i="1" s="1"/>
  <c r="A12" i="1" s="1"/>
  <c r="A13" i="1" s="1"/>
  <c r="A14" i="1" s="1"/>
  <c r="A15" i="1" s="1"/>
  <c r="A16" i="1" s="1"/>
  <c r="O7" i="2"/>
  <c r="A11" i="2"/>
  <c r="A12" i="2" s="1"/>
  <c r="A13" i="2" s="1"/>
  <c r="A14" i="2" s="1"/>
  <c r="A15" i="2" s="1"/>
  <c r="A16" i="2" s="1"/>
  <c r="A17" i="2" s="1"/>
  <c r="O29" i="2"/>
  <c r="O28" i="2"/>
  <c r="O27" i="2"/>
  <c r="O26" i="2"/>
  <c r="N94" i="2"/>
  <c r="M94" i="2"/>
  <c r="L94" i="2"/>
  <c r="N70" i="2"/>
  <c r="M70" i="2"/>
  <c r="L70" i="2"/>
  <c r="C2" i="1" l="1"/>
  <c r="B93" i="1"/>
  <c r="B21" i="3"/>
  <c r="O65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90" i="2"/>
  <c r="C75" i="1" l="1"/>
  <c r="C10" i="1"/>
  <c r="I9" i="4"/>
  <c r="C30" i="1"/>
  <c r="C28" i="1"/>
  <c r="C27" i="1"/>
  <c r="C29" i="1"/>
  <c r="K25" i="4"/>
  <c r="C9" i="4"/>
  <c r="E13" i="4"/>
  <c r="C11" i="4"/>
  <c r="E18" i="4"/>
  <c r="G19" i="4"/>
  <c r="G11" i="5"/>
  <c r="G25" i="4"/>
  <c r="C19" i="5"/>
  <c r="I19" i="5"/>
  <c r="C24" i="4"/>
  <c r="G15" i="4"/>
  <c r="I10" i="4"/>
  <c r="C6" i="4"/>
  <c r="C25" i="4"/>
  <c r="E20" i="4"/>
  <c r="I16" i="4"/>
  <c r="I14" i="5"/>
  <c r="C16" i="4"/>
  <c r="E10" i="4"/>
  <c r="G11" i="4"/>
  <c r="I6" i="4"/>
  <c r="I22" i="4"/>
  <c r="C14" i="5"/>
  <c r="E8" i="5"/>
  <c r="E12" i="5"/>
  <c r="E16" i="5"/>
  <c r="E20" i="5"/>
  <c r="G20" i="5"/>
  <c r="I15" i="5"/>
  <c r="I14" i="4"/>
  <c r="G16" i="5"/>
  <c r="I20" i="4"/>
  <c r="C11" i="5"/>
  <c r="G12" i="5"/>
  <c r="I12" i="5"/>
  <c r="C13" i="4"/>
  <c r="C20" i="5"/>
  <c r="C14" i="4"/>
  <c r="G21" i="4"/>
  <c r="C13" i="5"/>
  <c r="G13" i="5"/>
  <c r="G19" i="5"/>
  <c r="C17" i="4"/>
  <c r="E16" i="4"/>
  <c r="G17" i="4"/>
  <c r="I12" i="4"/>
  <c r="C15" i="5"/>
  <c r="G14" i="5"/>
  <c r="C8" i="4"/>
  <c r="C19" i="4"/>
  <c r="E6" i="4"/>
  <c r="E22" i="4"/>
  <c r="G7" i="4"/>
  <c r="G23" i="4"/>
  <c r="I18" i="4"/>
  <c r="C8" i="5"/>
  <c r="E13" i="5"/>
  <c r="E17" i="5"/>
  <c r="G8" i="5"/>
  <c r="G15" i="5"/>
  <c r="I8" i="5"/>
  <c r="I16" i="5"/>
  <c r="C18" i="5"/>
  <c r="C16" i="5"/>
  <c r="C20" i="4"/>
  <c r="E12" i="4"/>
  <c r="G13" i="4"/>
  <c r="I8" i="4"/>
  <c r="I24" i="4"/>
  <c r="C10" i="5"/>
  <c r="C17" i="5"/>
  <c r="G10" i="5"/>
  <c r="I10" i="5"/>
  <c r="I17" i="5"/>
  <c r="C21" i="4"/>
  <c r="E10" i="5"/>
  <c r="E14" i="5"/>
  <c r="E18" i="5"/>
  <c r="I18" i="5"/>
  <c r="G17" i="5"/>
  <c r="I11" i="5"/>
  <c r="C12" i="4"/>
  <c r="C22" i="4"/>
  <c r="E8" i="4"/>
  <c r="E24" i="4"/>
  <c r="G9" i="4"/>
  <c r="E14" i="4"/>
  <c r="C12" i="5"/>
  <c r="E11" i="5"/>
  <c r="E15" i="5"/>
  <c r="E19" i="5"/>
  <c r="G18" i="5"/>
  <c r="I13" i="5"/>
  <c r="I20" i="5"/>
  <c r="K6" i="4"/>
  <c r="K8" i="4"/>
  <c r="K10" i="4"/>
  <c r="K12" i="4"/>
  <c r="K14" i="4"/>
  <c r="K16" i="4"/>
  <c r="K18" i="4"/>
  <c r="K20" i="4"/>
  <c r="K22" i="4"/>
  <c r="K24" i="4"/>
  <c r="I7" i="4"/>
  <c r="I11" i="4"/>
  <c r="I13" i="4"/>
  <c r="I15" i="4"/>
  <c r="I17" i="4"/>
  <c r="I19" i="4"/>
  <c r="I21" i="4"/>
  <c r="I23" i="4"/>
  <c r="I25" i="4"/>
  <c r="G6" i="4"/>
  <c r="G8" i="4"/>
  <c r="G10" i="4"/>
  <c r="G12" i="4"/>
  <c r="G14" i="4"/>
  <c r="G16" i="4"/>
  <c r="G18" i="4"/>
  <c r="G20" i="4"/>
  <c r="G22" i="4"/>
  <c r="G24" i="4"/>
  <c r="C7" i="4"/>
  <c r="C15" i="4"/>
  <c r="C23" i="4"/>
  <c r="E7" i="4"/>
  <c r="E9" i="4"/>
  <c r="E11" i="4"/>
  <c r="E15" i="4"/>
  <c r="E17" i="4"/>
  <c r="E19" i="4"/>
  <c r="E21" i="4"/>
  <c r="E23" i="4"/>
  <c r="E25" i="4"/>
  <c r="C10" i="4"/>
  <c r="C18" i="4"/>
  <c r="K7" i="4"/>
  <c r="K9" i="4"/>
  <c r="K11" i="4"/>
  <c r="K13" i="4"/>
  <c r="K15" i="4"/>
  <c r="K17" i="4"/>
  <c r="K19" i="4"/>
  <c r="K21" i="4"/>
  <c r="K23" i="4"/>
  <c r="C85" i="1"/>
  <c r="C90" i="1"/>
  <c r="E22" i="3" s="1"/>
  <c r="C31" i="1" l="1"/>
  <c r="D9" i="4"/>
  <c r="F9" i="4"/>
  <c r="H9" i="4"/>
  <c r="J9" i="4"/>
  <c r="L9" i="4"/>
  <c r="F8" i="5"/>
  <c r="J8" i="5"/>
  <c r="H20" i="5"/>
  <c r="H17" i="5"/>
  <c r="J13" i="5"/>
  <c r="H19" i="5"/>
  <c r="H16" i="5"/>
  <c r="H8" i="5"/>
  <c r="D17" i="5"/>
  <c r="F13" i="5"/>
  <c r="H11" i="5"/>
  <c r="F12" i="4"/>
  <c r="L14" i="4"/>
  <c r="H10" i="5"/>
  <c r="J15" i="5"/>
  <c r="J16" i="5"/>
  <c r="J14" i="5"/>
  <c r="D12" i="4"/>
  <c r="H14" i="4"/>
  <c r="D11" i="5"/>
  <c r="J12" i="5"/>
  <c r="D13" i="5"/>
  <c r="H19" i="4"/>
  <c r="E9" i="5"/>
  <c r="E22" i="5" s="1"/>
  <c r="D8" i="5"/>
  <c r="F20" i="5"/>
  <c r="J11" i="5"/>
  <c r="H12" i="5"/>
  <c r="F17" i="5"/>
  <c r="J19" i="5"/>
  <c r="G9" i="5"/>
  <c r="G22" i="5" s="1"/>
  <c r="F12" i="5"/>
  <c r="D12" i="5"/>
  <c r="H15" i="5"/>
  <c r="H18" i="5"/>
  <c r="J18" i="5"/>
  <c r="L16" i="4"/>
  <c r="F18" i="5"/>
  <c r="H14" i="5"/>
  <c r="F14" i="5"/>
  <c r="J14" i="4"/>
  <c r="D19" i="5"/>
  <c r="D20" i="5"/>
  <c r="H13" i="5"/>
  <c r="H16" i="4"/>
  <c r="L12" i="4"/>
  <c r="D15" i="5"/>
  <c r="D16" i="5"/>
  <c r="I9" i="5"/>
  <c r="I22" i="5" s="1"/>
  <c r="F16" i="5"/>
  <c r="F10" i="5"/>
  <c r="F11" i="5"/>
  <c r="J10" i="5"/>
  <c r="D10" i="5"/>
  <c r="D21" i="4"/>
  <c r="L25" i="4"/>
  <c r="J24" i="4"/>
  <c r="H8" i="4"/>
  <c r="F15" i="5"/>
  <c r="C9" i="5"/>
  <c r="D18" i="5"/>
  <c r="J17" i="5"/>
  <c r="F19" i="5"/>
  <c r="D14" i="5"/>
  <c r="J20" i="4"/>
  <c r="J20" i="5"/>
  <c r="D19" i="4"/>
  <c r="H12" i="4"/>
  <c r="I27" i="4"/>
  <c r="H22" i="4"/>
  <c r="H21" i="4"/>
  <c r="D25" i="4"/>
  <c r="D13" i="4"/>
  <c r="L17" i="4"/>
  <c r="J25" i="4"/>
  <c r="K27" i="4"/>
  <c r="K29" i="4" s="1"/>
  <c r="C101" i="1" s="1"/>
  <c r="H21" i="3" s="1"/>
  <c r="L21" i="4"/>
  <c r="F19" i="4"/>
  <c r="J22" i="4"/>
  <c r="H6" i="4"/>
  <c r="H24" i="4"/>
  <c r="J8" i="4"/>
  <c r="D16" i="4"/>
  <c r="J10" i="4"/>
  <c r="H10" i="4"/>
  <c r="L10" i="4"/>
  <c r="D10" i="4"/>
  <c r="F10" i="4"/>
  <c r="J19" i="4"/>
  <c r="L8" i="4"/>
  <c r="F6" i="4"/>
  <c r="J17" i="4"/>
  <c r="F24" i="4"/>
  <c r="D24" i="4"/>
  <c r="H13" i="4"/>
  <c r="F21" i="4"/>
  <c r="D22" i="4"/>
  <c r="E27" i="4"/>
  <c r="F8" i="4"/>
  <c r="F7" i="4"/>
  <c r="D7" i="4"/>
  <c r="J7" i="4"/>
  <c r="L7" i="4"/>
  <c r="H7" i="4"/>
  <c r="C27" i="4"/>
  <c r="L11" i="4"/>
  <c r="D17" i="4"/>
  <c r="D8" i="4"/>
  <c r="L6" i="4"/>
  <c r="J13" i="4"/>
  <c r="L24" i="4"/>
  <c r="F22" i="4"/>
  <c r="H11" i="4"/>
  <c r="F25" i="4"/>
  <c r="F11" i="4"/>
  <c r="F15" i="4"/>
  <c r="D15" i="4"/>
  <c r="J15" i="4"/>
  <c r="L15" i="4"/>
  <c r="H15" i="4"/>
  <c r="H18" i="4"/>
  <c r="J18" i="4"/>
  <c r="D18" i="4"/>
  <c r="L18" i="4"/>
  <c r="F18" i="4"/>
  <c r="H17" i="4"/>
  <c r="F13" i="4"/>
  <c r="J16" i="4"/>
  <c r="L13" i="4"/>
  <c r="J11" i="4"/>
  <c r="J12" i="4"/>
  <c r="L22" i="4"/>
  <c r="F20" i="4"/>
  <c r="D14" i="4"/>
  <c r="H20" i="4"/>
  <c r="G27" i="4"/>
  <c r="J6" i="4"/>
  <c r="F23" i="4"/>
  <c r="D23" i="4"/>
  <c r="L23" i="4"/>
  <c r="J23" i="4"/>
  <c r="H23" i="4"/>
  <c r="L20" i="4"/>
  <c r="F16" i="4"/>
  <c r="D6" i="4"/>
  <c r="J21" i="4"/>
  <c r="L19" i="4"/>
  <c r="D20" i="4"/>
  <c r="D11" i="4"/>
  <c r="F14" i="4"/>
  <c r="H25" i="4"/>
  <c r="F17" i="4"/>
  <c r="D90" i="1"/>
  <c r="G22" i="3" s="1"/>
  <c r="C69" i="1" l="1"/>
  <c r="C72" i="1" s="1"/>
  <c r="D27" i="4"/>
  <c r="J9" i="5"/>
  <c r="J22" i="5" s="1"/>
  <c r="C22" i="5"/>
  <c r="D9" i="5"/>
  <c r="D22" i="5" s="1"/>
  <c r="H9" i="5"/>
  <c r="H22" i="5" s="1"/>
  <c r="F9" i="5"/>
  <c r="F22" i="5" s="1"/>
  <c r="H27" i="4"/>
  <c r="J27" i="4"/>
  <c r="L27" i="4"/>
  <c r="F27" i="4"/>
  <c r="C77" i="1" l="1"/>
  <c r="B14" i="3"/>
  <c r="B11" i="3"/>
  <c r="B76" i="3" l="1"/>
  <c r="B62" i="3"/>
  <c r="A68" i="3"/>
  <c r="A69" i="3" s="1"/>
  <c r="A70" i="3" s="1"/>
  <c r="A71" i="3" s="1"/>
  <c r="A72" i="3" s="1"/>
  <c r="A73" i="3" s="1"/>
  <c r="A74" i="3" s="1"/>
  <c r="A75" i="3" s="1"/>
  <c r="A76" i="3" s="1"/>
  <c r="B75" i="3"/>
  <c r="B74" i="3"/>
  <c r="B73" i="3"/>
  <c r="B72" i="3"/>
  <c r="B71" i="3"/>
  <c r="B70" i="3"/>
  <c r="B69" i="3"/>
  <c r="B68" i="3"/>
  <c r="B67" i="3"/>
  <c r="B23" i="3"/>
  <c r="B20" i="3"/>
  <c r="B19" i="3"/>
  <c r="B18" i="3"/>
  <c r="B17" i="3"/>
  <c r="B10" i="3"/>
  <c r="B9" i="3"/>
  <c r="B8" i="3"/>
  <c r="B37" i="3"/>
  <c r="A44" i="3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39" i="3"/>
  <c r="A28" i="3"/>
  <c r="A29" i="3" s="1"/>
  <c r="A30" i="3" s="1"/>
  <c r="A31" i="3" s="1"/>
  <c r="A32" i="3" s="1"/>
  <c r="A33" i="3" s="1"/>
  <c r="B33" i="3"/>
  <c r="B32" i="3"/>
  <c r="B31" i="3"/>
  <c r="B30" i="3"/>
  <c r="B29" i="3"/>
  <c r="B28" i="3"/>
  <c r="B27" i="3"/>
  <c r="A5" i="3"/>
  <c r="A1" i="3"/>
  <c r="O81" i="2" l="1"/>
  <c r="C63" i="1"/>
  <c r="F33" i="3" s="1"/>
  <c r="C54" i="1"/>
  <c r="D31" i="3" s="1"/>
  <c r="C9" i="1"/>
  <c r="O10" i="2"/>
  <c r="O6" i="2"/>
  <c r="C27" i="3" l="1"/>
  <c r="B205" i="2"/>
  <c r="B219" i="2" s="1"/>
  <c r="B233" i="2" s="1"/>
  <c r="B247" i="2" s="1"/>
  <c r="B204" i="2"/>
  <c r="B218" i="2" s="1"/>
  <c r="B232" i="2" s="1"/>
  <c r="B246" i="2" s="1"/>
  <c r="B203" i="2"/>
  <c r="B217" i="2" s="1"/>
  <c r="B231" i="2" s="1"/>
  <c r="B245" i="2" s="1"/>
  <c r="B202" i="2"/>
  <c r="B216" i="2" s="1"/>
  <c r="B230" i="2" s="1"/>
  <c r="B244" i="2" s="1"/>
  <c r="B201" i="2"/>
  <c r="B215" i="2" s="1"/>
  <c r="B229" i="2" s="1"/>
  <c r="B243" i="2" s="1"/>
  <c r="B200" i="2"/>
  <c r="B214" i="2" s="1"/>
  <c r="B228" i="2" s="1"/>
  <c r="B242" i="2" s="1"/>
  <c r="B199" i="2"/>
  <c r="B213" i="2" s="1"/>
  <c r="B227" i="2" s="1"/>
  <c r="B241" i="2" s="1"/>
  <c r="B198" i="2"/>
  <c r="B212" i="2" s="1"/>
  <c r="B226" i="2" s="1"/>
  <c r="B240" i="2" s="1"/>
  <c r="B197" i="2"/>
  <c r="B211" i="2" s="1"/>
  <c r="B225" i="2" s="1"/>
  <c r="B239" i="2" s="1"/>
  <c r="B196" i="2"/>
  <c r="B210" i="2" s="1"/>
  <c r="B224" i="2" s="1"/>
  <c r="B238" i="2" s="1"/>
  <c r="B195" i="2"/>
  <c r="B209" i="2" s="1"/>
  <c r="B223" i="2" s="1"/>
  <c r="B237" i="2" s="1"/>
  <c r="B194" i="2"/>
  <c r="B208" i="2" s="1"/>
  <c r="B222" i="2" s="1"/>
  <c r="B236" i="2" s="1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0" i="2"/>
  <c r="B69" i="2"/>
  <c r="O100" i="2"/>
  <c r="O99" i="2"/>
  <c r="O98" i="2"/>
  <c r="O97" i="2"/>
  <c r="O96" i="2"/>
  <c r="O95" i="2"/>
  <c r="O76" i="2"/>
  <c r="O75" i="2"/>
  <c r="O74" i="2"/>
  <c r="O73" i="2"/>
  <c r="O72" i="2"/>
  <c r="O71" i="2"/>
  <c r="O12" i="2" l="1"/>
  <c r="C11" i="1" s="1"/>
  <c r="O247" i="2"/>
  <c r="F76" i="3" s="1"/>
  <c r="O246" i="2"/>
  <c r="F75" i="3" s="1"/>
  <c r="O245" i="2"/>
  <c r="F74" i="3" s="1"/>
  <c r="O244" i="2"/>
  <c r="F73" i="3" s="1"/>
  <c r="O243" i="2"/>
  <c r="F72" i="3" s="1"/>
  <c r="O242" i="2"/>
  <c r="F71" i="3" s="1"/>
  <c r="O241" i="2"/>
  <c r="F70" i="3" s="1"/>
  <c r="O240" i="2"/>
  <c r="F69" i="3" s="1"/>
  <c r="O239" i="2"/>
  <c r="O238" i="2"/>
  <c r="O237" i="2"/>
  <c r="O236" i="2"/>
  <c r="O233" i="2"/>
  <c r="O232" i="2"/>
  <c r="E75" i="3" s="1"/>
  <c r="O231" i="2"/>
  <c r="E74" i="3" s="1"/>
  <c r="O230" i="2"/>
  <c r="E73" i="3" s="1"/>
  <c r="O229" i="2"/>
  <c r="O228" i="2"/>
  <c r="E71" i="3" s="1"/>
  <c r="O227" i="2"/>
  <c r="E70" i="3" s="1"/>
  <c r="O226" i="2"/>
  <c r="E69" i="3" s="1"/>
  <c r="O225" i="2"/>
  <c r="O224" i="2"/>
  <c r="O223" i="2"/>
  <c r="O222" i="2"/>
  <c r="O219" i="2"/>
  <c r="D76" i="3" s="1"/>
  <c r="O218" i="2"/>
  <c r="D75" i="3" s="1"/>
  <c r="O217" i="2"/>
  <c r="D74" i="3" s="1"/>
  <c r="O216" i="2"/>
  <c r="D73" i="3" s="1"/>
  <c r="O215" i="2"/>
  <c r="D72" i="3" s="1"/>
  <c r="O214" i="2"/>
  <c r="D71" i="3" s="1"/>
  <c r="O213" i="2"/>
  <c r="D70" i="3" s="1"/>
  <c r="O212" i="2"/>
  <c r="D69" i="3" s="1"/>
  <c r="O211" i="2"/>
  <c r="O210" i="2"/>
  <c r="O209" i="2"/>
  <c r="O208" i="2"/>
  <c r="O205" i="2"/>
  <c r="C76" i="3" s="1"/>
  <c r="O204" i="2"/>
  <c r="C75" i="3" s="1"/>
  <c r="O203" i="2"/>
  <c r="C74" i="3" s="1"/>
  <c r="O202" i="2"/>
  <c r="C73" i="3" s="1"/>
  <c r="O201" i="2"/>
  <c r="C72" i="3" s="1"/>
  <c r="O200" i="2"/>
  <c r="C71" i="3" s="1"/>
  <c r="O199" i="2"/>
  <c r="C70" i="3" s="1"/>
  <c r="O198" i="2"/>
  <c r="O197" i="2"/>
  <c r="O196" i="2"/>
  <c r="O195" i="2"/>
  <c r="O194" i="2"/>
  <c r="C67" i="3" s="1"/>
  <c r="O166" i="2"/>
  <c r="F62" i="3" s="1"/>
  <c r="O165" i="2"/>
  <c r="F61" i="3" s="1"/>
  <c r="O164" i="2"/>
  <c r="F60" i="3" s="1"/>
  <c r="O163" i="2"/>
  <c r="F59" i="3" s="1"/>
  <c r="O162" i="2"/>
  <c r="F58" i="3" s="1"/>
  <c r="O161" i="2"/>
  <c r="F57" i="3" s="1"/>
  <c r="O160" i="2"/>
  <c r="F56" i="3" s="1"/>
  <c r="O159" i="2"/>
  <c r="F55" i="3" s="1"/>
  <c r="O158" i="2"/>
  <c r="F54" i="3" s="1"/>
  <c r="O157" i="2"/>
  <c r="F53" i="3" s="1"/>
  <c r="O156" i="2"/>
  <c r="F52" i="3" s="1"/>
  <c r="O155" i="2"/>
  <c r="F51" i="3" s="1"/>
  <c r="O154" i="2"/>
  <c r="F50" i="3" s="1"/>
  <c r="O153" i="2"/>
  <c r="F49" i="3" s="1"/>
  <c r="O152" i="2"/>
  <c r="F48" i="3" s="1"/>
  <c r="O151" i="2"/>
  <c r="F47" i="3" s="1"/>
  <c r="O150" i="2"/>
  <c r="F46" i="3" s="1"/>
  <c r="O149" i="2"/>
  <c r="F45" i="3" s="1"/>
  <c r="O147" i="2"/>
  <c r="O144" i="2"/>
  <c r="E62" i="3" s="1"/>
  <c r="O143" i="2"/>
  <c r="E61" i="3" s="1"/>
  <c r="O142" i="2"/>
  <c r="E60" i="3" s="1"/>
  <c r="O141" i="2"/>
  <c r="E59" i="3" s="1"/>
  <c r="O140" i="2"/>
  <c r="E58" i="3" s="1"/>
  <c r="O139" i="2"/>
  <c r="E57" i="3" s="1"/>
  <c r="O138" i="2"/>
  <c r="E56" i="3" s="1"/>
  <c r="O137" i="2"/>
  <c r="E55" i="3" s="1"/>
  <c r="O136" i="2"/>
  <c r="E54" i="3" s="1"/>
  <c r="O135" i="2"/>
  <c r="E53" i="3" s="1"/>
  <c r="O134" i="2"/>
  <c r="E52" i="3" s="1"/>
  <c r="O133" i="2"/>
  <c r="E51" i="3" s="1"/>
  <c r="O132" i="2"/>
  <c r="E50" i="3" s="1"/>
  <c r="O131" i="2"/>
  <c r="O130" i="2"/>
  <c r="E48" i="3" s="1"/>
  <c r="O129" i="2"/>
  <c r="E47" i="3" s="1"/>
  <c r="O128" i="2"/>
  <c r="E46" i="3" s="1"/>
  <c r="O127" i="2"/>
  <c r="E45" i="3" s="1"/>
  <c r="O126" i="2"/>
  <c r="E44" i="3" s="1"/>
  <c r="O125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0" i="2"/>
  <c r="O79" i="2"/>
  <c r="O78" i="2"/>
  <c r="O77" i="2"/>
  <c r="O69" i="2"/>
  <c r="O66" i="2"/>
  <c r="O64" i="2"/>
  <c r="O63" i="2"/>
  <c r="O62" i="2"/>
  <c r="O61" i="2"/>
  <c r="O59" i="2"/>
  <c r="C66" i="1" s="1"/>
  <c r="D33" i="3" s="1"/>
  <c r="O58" i="2"/>
  <c r="C65" i="1" s="1"/>
  <c r="G33" i="3" s="1"/>
  <c r="O57" i="2"/>
  <c r="C64" i="1" s="1"/>
  <c r="E33" i="3" s="1"/>
  <c r="O56" i="2"/>
  <c r="O54" i="2"/>
  <c r="C60" i="1" s="1"/>
  <c r="D32" i="3" s="1"/>
  <c r="O53" i="2"/>
  <c r="C59" i="1" s="1"/>
  <c r="G32" i="3" s="1"/>
  <c r="O52" i="2"/>
  <c r="C58" i="1" s="1"/>
  <c r="E32" i="3" s="1"/>
  <c r="O51" i="2"/>
  <c r="C57" i="1" s="1"/>
  <c r="F32" i="3" s="1"/>
  <c r="O50" i="2"/>
  <c r="O49" i="2"/>
  <c r="O48" i="2"/>
  <c r="C53" i="1" s="1"/>
  <c r="G31" i="3" s="1"/>
  <c r="O47" i="2"/>
  <c r="C52" i="1" s="1"/>
  <c r="E31" i="3" s="1"/>
  <c r="O46" i="2"/>
  <c r="C51" i="1" s="1"/>
  <c r="F31" i="3" s="1"/>
  <c r="O44" i="2"/>
  <c r="C48" i="1" s="1"/>
  <c r="D30" i="3" s="1"/>
  <c r="O43" i="2"/>
  <c r="C47" i="1" s="1"/>
  <c r="G30" i="3" s="1"/>
  <c r="O42" i="2"/>
  <c r="C46" i="1" s="1"/>
  <c r="E30" i="3" s="1"/>
  <c r="O41" i="2"/>
  <c r="C45" i="1" s="1"/>
  <c r="F30" i="3" s="1"/>
  <c r="O39" i="2"/>
  <c r="C42" i="1" s="1"/>
  <c r="D29" i="3" s="1"/>
  <c r="O38" i="2"/>
  <c r="C41" i="1" s="1"/>
  <c r="G29" i="3" s="1"/>
  <c r="O37" i="2"/>
  <c r="C40" i="1" s="1"/>
  <c r="E29" i="3" s="1"/>
  <c r="O36" i="2"/>
  <c r="C39" i="1" s="1"/>
  <c r="F29" i="3" s="1"/>
  <c r="O34" i="2"/>
  <c r="C36" i="1" s="1"/>
  <c r="D28" i="3" s="1"/>
  <c r="O33" i="2"/>
  <c r="C35" i="1" s="1"/>
  <c r="G28" i="3" s="1"/>
  <c r="O32" i="2"/>
  <c r="C34" i="1" s="1"/>
  <c r="E28" i="3" s="1"/>
  <c r="O31" i="2"/>
  <c r="C33" i="1" s="1"/>
  <c r="O24" i="2"/>
  <c r="C24" i="1" s="1"/>
  <c r="D27" i="3" s="1"/>
  <c r="O23" i="2"/>
  <c r="C23" i="1" s="1"/>
  <c r="G27" i="3" s="1"/>
  <c r="O22" i="2"/>
  <c r="C22" i="1" s="1"/>
  <c r="E27" i="3" s="1"/>
  <c r="O21" i="2"/>
  <c r="C21" i="1" s="1"/>
  <c r="O17" i="2"/>
  <c r="C16" i="1" s="1"/>
  <c r="O16" i="2"/>
  <c r="C15" i="1" s="1"/>
  <c r="C32" i="3" s="1"/>
  <c r="O15" i="2"/>
  <c r="C14" i="1" s="1"/>
  <c r="C31" i="3" s="1"/>
  <c r="O14" i="2"/>
  <c r="C13" i="1" s="1"/>
  <c r="C30" i="3" s="1"/>
  <c r="O13" i="2"/>
  <c r="C12" i="1" s="1"/>
  <c r="C29" i="3" s="1"/>
  <c r="F27" i="3" l="1"/>
  <c r="E83" i="1"/>
  <c r="F28" i="3"/>
  <c r="C37" i="1"/>
  <c r="C33" i="3"/>
  <c r="C51" i="3"/>
  <c r="C59" i="3"/>
  <c r="C52" i="3"/>
  <c r="C60" i="3"/>
  <c r="C46" i="3"/>
  <c r="C54" i="3"/>
  <c r="C62" i="3"/>
  <c r="C47" i="3"/>
  <c r="C48" i="3"/>
  <c r="C56" i="3"/>
  <c r="C45" i="3"/>
  <c r="C61" i="3"/>
  <c r="C55" i="3"/>
  <c r="C49" i="3"/>
  <c r="C57" i="3"/>
  <c r="C53" i="3"/>
  <c r="C50" i="3"/>
  <c r="D47" i="3"/>
  <c r="G47" i="3" s="1"/>
  <c r="D56" i="3"/>
  <c r="G56" i="3" s="1"/>
  <c r="D50" i="3"/>
  <c r="G50" i="3" s="1"/>
  <c r="D58" i="3"/>
  <c r="G58" i="3" s="1"/>
  <c r="D55" i="3"/>
  <c r="G55" i="3" s="1"/>
  <c r="D48" i="3"/>
  <c r="G48" i="3" s="1"/>
  <c r="D49" i="3"/>
  <c r="D57" i="3"/>
  <c r="G57" i="3" s="1"/>
  <c r="D44" i="3"/>
  <c r="D52" i="3"/>
  <c r="G52" i="3" s="1"/>
  <c r="D60" i="3"/>
  <c r="G60" i="3" s="1"/>
  <c r="D45" i="3"/>
  <c r="G45" i="3" s="1"/>
  <c r="D53" i="3"/>
  <c r="G53" i="3" s="1"/>
  <c r="D61" i="3"/>
  <c r="G61" i="3" s="1"/>
  <c r="D51" i="3"/>
  <c r="G51" i="3" s="1"/>
  <c r="D59" i="3"/>
  <c r="G59" i="3" s="1"/>
  <c r="C58" i="3"/>
  <c r="D46" i="3"/>
  <c r="G46" i="3" s="1"/>
  <c r="D54" i="3"/>
  <c r="G54" i="3" s="1"/>
  <c r="D62" i="3"/>
  <c r="G62" i="3" s="1"/>
  <c r="E72" i="3"/>
  <c r="G72" i="3" s="1"/>
  <c r="H72" i="3" s="1"/>
  <c r="C28" i="3"/>
  <c r="C17" i="1"/>
  <c r="G71" i="3"/>
  <c r="H71" i="3" s="1"/>
  <c r="C43" i="3"/>
  <c r="E43" i="3"/>
  <c r="D43" i="3"/>
  <c r="F43" i="3"/>
  <c r="C69" i="3"/>
  <c r="D67" i="3"/>
  <c r="F67" i="3"/>
  <c r="E67" i="3"/>
  <c r="E76" i="3"/>
  <c r="G76" i="3" s="1"/>
  <c r="H76" i="3" s="1"/>
  <c r="G69" i="3"/>
  <c r="G73" i="3"/>
  <c r="H73" i="3" s="1"/>
  <c r="G74" i="3"/>
  <c r="H74" i="3" s="1"/>
  <c r="G75" i="3"/>
  <c r="H75" i="3" s="1"/>
  <c r="G70" i="3"/>
  <c r="H70" i="3" s="1"/>
  <c r="E35" i="3"/>
  <c r="H33" i="3"/>
  <c r="H29" i="3"/>
  <c r="D35" i="3"/>
  <c r="H27" i="3"/>
  <c r="H30" i="3"/>
  <c r="H31" i="3"/>
  <c r="H32" i="3"/>
  <c r="G35" i="3"/>
  <c r="E49" i="3"/>
  <c r="E84" i="1"/>
  <c r="C84" i="1" s="1"/>
  <c r="C83" i="1"/>
  <c r="E82" i="1"/>
  <c r="C82" i="1" s="1"/>
  <c r="E81" i="1"/>
  <c r="C81" i="1" s="1"/>
  <c r="C74" i="1"/>
  <c r="C94" i="1" s="1"/>
  <c r="G6" i="1"/>
  <c r="G19" i="1" s="1"/>
  <c r="I5" i="1"/>
  <c r="F35" i="3" l="1"/>
  <c r="H28" i="3"/>
  <c r="H35" i="3" s="1"/>
  <c r="H9" i="3" s="1"/>
  <c r="C87" i="1"/>
  <c r="H52" i="3"/>
  <c r="H59" i="3"/>
  <c r="G29" i="4"/>
  <c r="G24" i="5" s="1"/>
  <c r="H48" i="3"/>
  <c r="H57" i="3"/>
  <c r="H51" i="3"/>
  <c r="H62" i="3"/>
  <c r="H45" i="3"/>
  <c r="H55" i="3"/>
  <c r="H56" i="3"/>
  <c r="H54" i="3"/>
  <c r="H61" i="3"/>
  <c r="H60" i="3"/>
  <c r="H50" i="3"/>
  <c r="H46" i="3"/>
  <c r="H53" i="3"/>
  <c r="H47" i="3"/>
  <c r="H58" i="3"/>
  <c r="C86" i="1"/>
  <c r="G49" i="3"/>
  <c r="H49" i="3" s="1"/>
  <c r="D63" i="3"/>
  <c r="C35" i="3"/>
  <c r="G43" i="3"/>
  <c r="H43" i="3" s="1"/>
  <c r="G67" i="3"/>
  <c r="H67" i="3" s="1"/>
  <c r="H69" i="3"/>
  <c r="E63" i="3"/>
  <c r="H37" i="3"/>
  <c r="H8" i="3" s="1"/>
  <c r="H14" i="3"/>
  <c r="I6" i="1"/>
  <c r="G7" i="1"/>
  <c r="I29" i="4" l="1"/>
  <c r="I24" i="5" s="1"/>
  <c r="C99" i="1"/>
  <c r="H15" i="3"/>
  <c r="H16" i="3" s="1"/>
  <c r="E68" i="3"/>
  <c r="E77" i="3" s="1"/>
  <c r="F68" i="3"/>
  <c r="F77" i="3" s="1"/>
  <c r="C68" i="3"/>
  <c r="C77" i="3" s="1"/>
  <c r="D68" i="3"/>
  <c r="H39" i="3"/>
  <c r="H10" i="3" s="1"/>
  <c r="G8" i="1"/>
  <c r="I7" i="1"/>
  <c r="G68" i="3" l="1"/>
  <c r="G77" i="3" s="1"/>
  <c r="H77" i="3" s="1"/>
  <c r="D77" i="3"/>
  <c r="G9" i="1"/>
  <c r="I8" i="1"/>
  <c r="H68" i="3" l="1"/>
  <c r="I9" i="1"/>
  <c r="G11" i="1"/>
  <c r="I11" i="1" l="1"/>
  <c r="G12" i="1"/>
  <c r="G13" i="1" l="1"/>
  <c r="I12" i="1"/>
  <c r="G14" i="1" l="1"/>
  <c r="I13" i="1"/>
  <c r="G15" i="1" l="1"/>
  <c r="I14" i="1"/>
  <c r="G16" i="1" l="1"/>
  <c r="I15" i="1"/>
  <c r="G17" i="1" l="1"/>
  <c r="I16" i="1"/>
  <c r="G18" i="1" l="1"/>
  <c r="I18" i="1" s="1"/>
  <c r="I17" i="1"/>
  <c r="C4" i="1" s="1"/>
  <c r="C5" i="3" l="1"/>
  <c r="C93" i="1"/>
  <c r="O148" i="2"/>
  <c r="O70" i="2"/>
  <c r="B166" i="2"/>
  <c r="B188" i="2" s="1"/>
  <c r="B165" i="2"/>
  <c r="B187" i="2" s="1"/>
  <c r="B164" i="2"/>
  <c r="B186" i="2" s="1"/>
  <c r="B163" i="2"/>
  <c r="B185" i="2" s="1"/>
  <c r="B162" i="2"/>
  <c r="B184" i="2" s="1"/>
  <c r="B161" i="2"/>
  <c r="B183" i="2" s="1"/>
  <c r="B160" i="2"/>
  <c r="B182" i="2" s="1"/>
  <c r="B159" i="2"/>
  <c r="B181" i="2" s="1"/>
  <c r="B158" i="2"/>
  <c r="B180" i="2" s="1"/>
  <c r="B157" i="2"/>
  <c r="B179" i="2" s="1"/>
  <c r="B156" i="2"/>
  <c r="B178" i="2" s="1"/>
  <c r="B155" i="2"/>
  <c r="B177" i="2" s="1"/>
  <c r="B154" i="2"/>
  <c r="B176" i="2" s="1"/>
  <c r="B153" i="2"/>
  <c r="B175" i="2" s="1"/>
  <c r="B152" i="2"/>
  <c r="B174" i="2" s="1"/>
  <c r="B151" i="2"/>
  <c r="B173" i="2" s="1"/>
  <c r="B150" i="2"/>
  <c r="B172" i="2" s="1"/>
  <c r="B149" i="2"/>
  <c r="B171" i="2" s="1"/>
  <c r="B148" i="2"/>
  <c r="B170" i="2" s="1"/>
  <c r="B147" i="2"/>
  <c r="B169" i="2" s="1"/>
  <c r="A147" i="2"/>
  <c r="A169" i="2" s="1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A125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A103" i="2"/>
  <c r="A70" i="2"/>
  <c r="A148" i="2" s="1"/>
  <c r="A170" i="2" s="1"/>
  <c r="C67" i="1"/>
  <c r="C61" i="1"/>
  <c r="C55" i="1"/>
  <c r="C49" i="1"/>
  <c r="C43" i="1"/>
  <c r="C25" i="1"/>
  <c r="C68" i="1" l="1"/>
  <c r="C71" i="1" s="1"/>
  <c r="C76" i="1" s="1"/>
  <c r="C96" i="1" s="1"/>
  <c r="F44" i="3"/>
  <c r="G44" i="3" s="1"/>
  <c r="G63" i="3" s="1"/>
  <c r="C44" i="3"/>
  <c r="C63" i="3" s="1"/>
  <c r="H11" i="3"/>
  <c r="A77" i="2"/>
  <c r="A149" i="2" s="1"/>
  <c r="A171" i="2" s="1"/>
  <c r="A104" i="2"/>
  <c r="A126" i="2"/>
  <c r="C95" i="1" l="1"/>
  <c r="H12" i="3"/>
  <c r="F63" i="3"/>
  <c r="H63" i="3"/>
  <c r="H44" i="3"/>
  <c r="A105" i="2"/>
  <c r="A127" i="2"/>
  <c r="A78" i="2"/>
  <c r="A150" i="2" s="1"/>
  <c r="A172" i="2" s="1"/>
  <c r="H13" i="3" l="1"/>
  <c r="A79" i="2"/>
  <c r="A80" i="2" s="1"/>
  <c r="A106" i="2"/>
  <c r="A128" i="2"/>
  <c r="E29" i="4" l="1"/>
  <c r="A129" i="2"/>
  <c r="A107" i="2"/>
  <c r="A151" i="2"/>
  <c r="A173" i="2" s="1"/>
  <c r="A152" i="2"/>
  <c r="A174" i="2" s="1"/>
  <c r="A130" i="2"/>
  <c r="A108" i="2"/>
  <c r="A81" i="2"/>
  <c r="E24" i="5" l="1"/>
  <c r="A153" i="2"/>
  <c r="A175" i="2" s="1"/>
  <c r="A131" i="2"/>
  <c r="A109" i="2"/>
  <c r="A82" i="2"/>
  <c r="A110" i="2" l="1"/>
  <c r="A83" i="2"/>
  <c r="A154" i="2"/>
  <c r="A176" i="2" s="1"/>
  <c r="A132" i="2"/>
  <c r="H19" i="3"/>
  <c r="C100" i="1"/>
  <c r="H20" i="3" s="1"/>
  <c r="A84" i="2" l="1"/>
  <c r="A155" i="2"/>
  <c r="A177" i="2" s="1"/>
  <c r="A133" i="2"/>
  <c r="A111" i="2"/>
  <c r="A156" i="2" l="1"/>
  <c r="A178" i="2" s="1"/>
  <c r="A134" i="2"/>
  <c r="A112" i="2"/>
  <c r="A85" i="2"/>
  <c r="A157" i="2" l="1"/>
  <c r="A179" i="2" s="1"/>
  <c r="A135" i="2"/>
  <c r="A113" i="2"/>
  <c r="A86" i="2"/>
  <c r="A136" i="2" l="1"/>
  <c r="A114" i="2"/>
  <c r="A87" i="2"/>
  <c r="A158" i="2"/>
  <c r="A180" i="2" s="1"/>
  <c r="A88" i="2" l="1"/>
  <c r="A159" i="2"/>
  <c r="A181" i="2" s="1"/>
  <c r="A137" i="2"/>
  <c r="A115" i="2"/>
  <c r="A160" i="2" l="1"/>
  <c r="A182" i="2" s="1"/>
  <c r="A138" i="2"/>
  <c r="A116" i="2"/>
  <c r="A89" i="2"/>
  <c r="A161" i="2" l="1"/>
  <c r="A183" i="2" s="1"/>
  <c r="A139" i="2"/>
  <c r="A117" i="2"/>
  <c r="A90" i="2"/>
  <c r="A91" i="2" l="1"/>
  <c r="A118" i="2"/>
  <c r="A162" i="2"/>
  <c r="A184" i="2" s="1"/>
  <c r="A140" i="2"/>
  <c r="A92" i="2" l="1"/>
  <c r="A163" i="2"/>
  <c r="A185" i="2" s="1"/>
  <c r="A141" i="2"/>
  <c r="A119" i="2"/>
  <c r="A93" i="2" l="1"/>
  <c r="A164" i="2"/>
  <c r="A186" i="2" s="1"/>
  <c r="A142" i="2"/>
  <c r="A120" i="2"/>
  <c r="A165" i="2" l="1"/>
  <c r="A187" i="2" s="1"/>
  <c r="A143" i="2"/>
  <c r="A121" i="2"/>
  <c r="A94" i="2"/>
  <c r="A144" i="2" l="1"/>
  <c r="A166" i="2"/>
  <c r="A188" i="2" s="1"/>
  <c r="A122" i="2"/>
  <c r="C98" i="1"/>
  <c r="C102" i="1" l="1"/>
  <c r="H23" i="3" s="1"/>
  <c r="H18" i="3"/>
</calcChain>
</file>

<file path=xl/sharedStrings.xml><?xml version="1.0" encoding="utf-8"?>
<sst xmlns="http://schemas.openxmlformats.org/spreadsheetml/2006/main" count="382" uniqueCount="179">
  <si>
    <t>Sales Report for Supermarket, Stop-Over and Restaurant</t>
  </si>
  <si>
    <t>CASH SALES REPORT</t>
  </si>
  <si>
    <t>Stop Over</t>
  </si>
  <si>
    <t>Nati-Foods</t>
  </si>
  <si>
    <t>Braai</t>
  </si>
  <si>
    <t>Pool Table</t>
  </si>
  <si>
    <t>AirTime</t>
  </si>
  <si>
    <t xml:space="preserve"> </t>
  </si>
  <si>
    <t>Total Cash in Hand</t>
  </si>
  <si>
    <t>Amount Paid</t>
  </si>
  <si>
    <t>Outstanding Amount</t>
  </si>
  <si>
    <t>SALES THRU GADGETS  REPORT</t>
  </si>
  <si>
    <t>Total Cash and Sales Thru Gadgets</t>
  </si>
  <si>
    <t>Total POS Sales</t>
  </si>
  <si>
    <t>Airtel Money</t>
  </si>
  <si>
    <t>TNM Mpamba</t>
  </si>
  <si>
    <t>CASH DEPOSITS TO ACCOUNTS REPORT</t>
  </si>
  <si>
    <t>NBM</t>
  </si>
  <si>
    <t>GOODS SUPPLIED REPORT</t>
  </si>
  <si>
    <t>Suppliers Paid by Cash-In-Hand</t>
  </si>
  <si>
    <t>Universal Industries</t>
  </si>
  <si>
    <t>Unilever</t>
  </si>
  <si>
    <t>Suncrest Ltd</t>
  </si>
  <si>
    <t>Ekhaya Farms</t>
  </si>
  <si>
    <t>Central Poultry</t>
  </si>
  <si>
    <t>Lilongwe Dairy</t>
  </si>
  <si>
    <t>a. Airtel Money</t>
  </si>
  <si>
    <t>b. MO626</t>
  </si>
  <si>
    <t>c. TNM Mpamba</t>
  </si>
  <si>
    <t>FDH Bank</t>
  </si>
  <si>
    <t>Net Cash-in-Hand</t>
  </si>
  <si>
    <t>Suppliers Paid Thru Mobile Wallet</t>
  </si>
  <si>
    <t>Debt Amount</t>
  </si>
  <si>
    <t>Rab Processors</t>
  </si>
  <si>
    <t>EXPENSES REPORT</t>
  </si>
  <si>
    <t>Total Expenses Incurred</t>
  </si>
  <si>
    <t>Wages for the Month</t>
  </si>
  <si>
    <t>Utility Expenses</t>
  </si>
  <si>
    <t>1. Water</t>
  </si>
  <si>
    <t>2. Electricity</t>
  </si>
  <si>
    <t>3. DSTV Subscription</t>
  </si>
  <si>
    <t>Expenses Paid by Cash-In-Hand</t>
  </si>
  <si>
    <t>Expenses Paid by Direct Bank Tranfers</t>
  </si>
  <si>
    <t>Expenses Paid through Mobile Wallets</t>
  </si>
  <si>
    <t>d. FDH Bank</t>
  </si>
  <si>
    <t>Bakeries</t>
  </si>
  <si>
    <t>Chimwemwe Mafeni Trading</t>
  </si>
  <si>
    <t>Bottled Water</t>
  </si>
  <si>
    <t>Limbe Products</t>
  </si>
  <si>
    <t>Zomba Products</t>
  </si>
  <si>
    <t>Chemusa Sausages</t>
  </si>
  <si>
    <t>Licorice Investment (Burundi Shop)</t>
  </si>
  <si>
    <t>Madula Butchery</t>
  </si>
  <si>
    <t>Other Products</t>
  </si>
  <si>
    <t>Siera Shop (Burundi Shop)</t>
  </si>
  <si>
    <t xml:space="preserve">Braai Condiments </t>
  </si>
  <si>
    <t>Other Expenses</t>
  </si>
  <si>
    <t>Shop Cleaning Materials</t>
  </si>
  <si>
    <t>Casual Labourers</t>
  </si>
  <si>
    <t>Suppliers Paid through Bank transfers</t>
  </si>
  <si>
    <t>Balances Remaining after All Payments</t>
  </si>
  <si>
    <t>Total Balances Carried Forward</t>
  </si>
  <si>
    <t>Cold Chain</t>
  </si>
  <si>
    <t xml:space="preserve">Insco Trading </t>
  </si>
  <si>
    <t>Expired and Damage Products</t>
  </si>
  <si>
    <t>MBS Penalties</t>
  </si>
  <si>
    <t>POS Licence and Attendant Costs</t>
  </si>
  <si>
    <t>Maintenance Works</t>
  </si>
  <si>
    <t>Student Accommodation</t>
  </si>
  <si>
    <t>Student Accomodation</t>
  </si>
  <si>
    <t>Kwacha Fund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</si>
  <si>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</si>
  <si>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</si>
  <si>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</si>
  <si>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</si>
  <si>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</si>
  <si>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</si>
  <si>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</si>
  <si>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</si>
  <si>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</si>
  <si>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</si>
  <si>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</si>
  <si>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</si>
  <si>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Totals</t>
  </si>
  <si>
    <t xml:space="preserve">Calendar </t>
  </si>
  <si>
    <t>Concanation of Calendar Months and year</t>
  </si>
  <si>
    <t xml:space="preserve">December </t>
  </si>
  <si>
    <t xml:space="preserve">January </t>
  </si>
  <si>
    <t xml:space="preserve">February </t>
  </si>
  <si>
    <t xml:space="preserve">March </t>
  </si>
  <si>
    <t xml:space="preserve">April </t>
  </si>
  <si>
    <t xml:space="preserve">May 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</si>
  <si>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</si>
  <si>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</si>
  <si>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</si>
  <si>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</si>
  <si>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</si>
  <si>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</si>
  <si>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>password</t>
  </si>
  <si>
    <t>wag3s</t>
  </si>
  <si>
    <t>POS SALES REPORT</t>
  </si>
  <si>
    <t xml:space="preserve">Use This Sheet to Input Figures For Each Complete Month </t>
  </si>
  <si>
    <t>`</t>
  </si>
  <si>
    <t>Month being reported upon</t>
  </si>
  <si>
    <t>Cash Overage/Shortfall</t>
  </si>
  <si>
    <t>Net Balances after Payments</t>
  </si>
  <si>
    <t>a. Net Cash in- Hand</t>
  </si>
  <si>
    <t>b. Net Company Bank Balances</t>
  </si>
  <si>
    <t>c. Net Company Wallet Balances</t>
  </si>
  <si>
    <t>iii.  Kick Water</t>
  </si>
  <si>
    <t>i.    Aqua Pure</t>
  </si>
  <si>
    <t>iv.   Namadzi Water</t>
  </si>
  <si>
    <t>ii.   Cool Drop</t>
  </si>
  <si>
    <t>v.    Omega Water</t>
  </si>
  <si>
    <t>vi.   Other</t>
  </si>
  <si>
    <t>i.    Naturals Limited</t>
  </si>
  <si>
    <t>ii.   Osman Foods Ltd</t>
  </si>
  <si>
    <t>iii.  Chibale Investments</t>
  </si>
  <si>
    <t>iv.   Harbison Global Trading</t>
  </si>
  <si>
    <t>v.    H Adams</t>
  </si>
  <si>
    <t>Department</t>
  </si>
  <si>
    <t>MO626</t>
  </si>
  <si>
    <t>FDH</t>
  </si>
  <si>
    <t>Mpamba</t>
  </si>
  <si>
    <t>Cash sales</t>
  </si>
  <si>
    <t>Amount Due</t>
  </si>
  <si>
    <t>Bank Transfer</t>
  </si>
  <si>
    <t>Cash Payment</t>
  </si>
  <si>
    <t>Wallet Transfer</t>
  </si>
  <si>
    <t>Total Paid</t>
  </si>
  <si>
    <t>Total Outstanding</t>
  </si>
  <si>
    <t>Staus of Debts to Suppliers</t>
  </si>
  <si>
    <t>Name of Supplier</t>
  </si>
  <si>
    <t>Month of Report</t>
  </si>
  <si>
    <t>Enter Month to Report on Here -----------&gt;</t>
  </si>
  <si>
    <t>Summary of Sales and Expenses</t>
  </si>
  <si>
    <t>Description of Expense</t>
  </si>
  <si>
    <t>Total Amount Paid to Suppliers</t>
  </si>
  <si>
    <t>Total Amount Outstanding to Suppliers</t>
  </si>
  <si>
    <t>Total Expenses Paid</t>
  </si>
  <si>
    <t>Total Outstaning Expenses to be Paid</t>
  </si>
  <si>
    <t>a.</t>
  </si>
  <si>
    <t>b.</t>
  </si>
  <si>
    <t>c.</t>
  </si>
  <si>
    <t>d.</t>
  </si>
  <si>
    <t>Company Contributions</t>
  </si>
  <si>
    <t>Total Bank, wallets and Contributions</t>
  </si>
  <si>
    <t>Company Contribution</t>
  </si>
  <si>
    <t>Suppliers Paid by Company Contribution</t>
  </si>
  <si>
    <t>d. Net Company Contributions</t>
  </si>
  <si>
    <t>Repayments to Company Contribution</t>
  </si>
  <si>
    <t>Repayment of Company Cotribution</t>
  </si>
  <si>
    <t>e. Status of Company Contribution</t>
  </si>
  <si>
    <t>Amount repaid</t>
  </si>
  <si>
    <t>Amount Outstanding</t>
  </si>
  <si>
    <t>Sales as at</t>
  </si>
  <si>
    <t>Amount Due to Suppliers</t>
  </si>
  <si>
    <t>Net Balances</t>
  </si>
  <si>
    <t>Totals Due</t>
  </si>
  <si>
    <t>Payments by Cash-in-Hand</t>
  </si>
  <si>
    <t>Payments by Bank Transfer</t>
  </si>
  <si>
    <t>Payments by Wallet</t>
  </si>
  <si>
    <t>Payments by Capital Injection</t>
  </si>
  <si>
    <t>Supplier Name</t>
  </si>
  <si>
    <t xml:space="preserve">Total Expenses </t>
  </si>
  <si>
    <t xml:space="preserve">Expense Distribution </t>
  </si>
  <si>
    <t>Domasi Supermarket</t>
  </si>
  <si>
    <t>Chinyonga Supermarket</t>
  </si>
  <si>
    <t>Domasi POS end of Month</t>
  </si>
  <si>
    <t>Chinyonga POS end of Month</t>
  </si>
  <si>
    <t>Sub-Total</t>
  </si>
  <si>
    <t>Total Domasi POS Sales</t>
  </si>
  <si>
    <t>Total Chinyonga POS Sales</t>
  </si>
  <si>
    <t>Domasi Overage/Shortfall</t>
  </si>
  <si>
    <t>Chinyonga Overage/Shortfall</t>
  </si>
  <si>
    <t>Total Domasi Sales Thru Mobile Gadgets</t>
  </si>
  <si>
    <t>Total Chinyonga Sales Thru Mobile Gadgets</t>
  </si>
  <si>
    <t>Total Domasi Cash and Sales Thru Gadgets</t>
  </si>
  <si>
    <t>Total Chinyonga Cash and Sales Thru Gadgets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</si>
</sst>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0"/>
      <name val="Arial"/>
      <family val="2"/>
    </font>
    <font>
      <b/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sz val="8"/>
      <color rgb="FF222222"/>
      <name val="Arial"/>
      <family val="2"/>
    </font>
    <font>
      <sz val="8"/>
      <color theme="1"/>
      <name val="Calibri"/>
      <family val="2"/>
      <scheme val="minor"/>
    </font>
    <font>
      <i/>
      <u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FF00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222222"/>
      <name val="Arial"/>
      <family val="2"/>
    </font>
    <font>
      <b/>
      <sz val="9"/>
      <color rgb="FFFF00FF"/>
      <name val="Calibri"/>
      <family val="2"/>
      <scheme val="minor"/>
    </font>
    <font>
      <sz val="10"/>
      <name val="Arial"/>
      <family val="2"/>
    </font>
    <font>
      <b/>
      <u/>
      <sz val="9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9"/>
      <color rgb="FF00B0F0"/>
      <name val="Calibri"/>
      <family val="2"/>
      <scheme val="minor"/>
    </font>
    <font>
      <b/>
      <sz val="9"/>
      <color rgb="FF7030A0"/>
      <name val="Calibri"/>
      <family val="2"/>
      <scheme val="minor"/>
    </font>
    <font>
      <sz val="10"/>
      <color theme="0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rgb="FFFF00FF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28"/>
      <color rgb="FF00B050"/>
      <name val="Calibri"/>
      <family val="2"/>
      <scheme val="minor"/>
    </font>
    <font>
      <sz val="28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C000"/>
      <name val="Calibri"/>
      <family val="2"/>
      <scheme val="minor"/>
    </font>
    <font>
      <sz val="14"/>
      <color rgb="FF222222"/>
      <name val="Arial"/>
      <family val="2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6969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7" fillId="0" borderId="0"/>
  </cellStyleXfs>
  <cellXfs count="21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43" fontId="5" fillId="0" borderId="1" xfId="1" applyFont="1" applyBorder="1" applyAlignment="1" applyProtection="1">
      <alignment horizontal="center" wrapText="1"/>
    </xf>
    <xf numFmtId="0" fontId="12" fillId="0" borderId="0" xfId="0" applyFont="1"/>
    <xf numFmtId="43" fontId="4" fillId="0" borderId="0" xfId="1" applyFont="1"/>
    <xf numFmtId="43" fontId="4" fillId="0" borderId="0" xfId="1" applyFont="1" applyProtection="1"/>
    <xf numFmtId="43" fontId="4" fillId="0" borderId="0" xfId="1" applyFont="1" applyBorder="1" applyProtection="1"/>
    <xf numFmtId="43" fontId="0" fillId="0" borderId="0" xfId="1" applyFont="1"/>
    <xf numFmtId="43" fontId="11" fillId="2" borderId="0" xfId="1" applyFont="1" applyFill="1" applyProtection="1"/>
    <xf numFmtId="43" fontId="11" fillId="2" borderId="0" xfId="1" applyFont="1" applyFill="1" applyBorder="1" applyProtection="1"/>
    <xf numFmtId="43" fontId="16" fillId="2" borderId="0" xfId="1" applyFont="1" applyFill="1" applyProtection="1"/>
    <xf numFmtId="0" fontId="21" fillId="0" borderId="0" xfId="0" applyFont="1"/>
    <xf numFmtId="0" fontId="7" fillId="0" borderId="0" xfId="0" applyFont="1" applyAlignment="1">
      <alignment vertical="center" wrapText="1"/>
    </xf>
    <xf numFmtId="0" fontId="9" fillId="0" borderId="0" xfId="0" applyFont="1"/>
    <xf numFmtId="0" fontId="8" fillId="0" borderId="0" xfId="0" applyFont="1"/>
    <xf numFmtId="0" fontId="6" fillId="0" borderId="0" xfId="0" applyFont="1"/>
    <xf numFmtId="0" fontId="8" fillId="0" borderId="0" xfId="0" applyFont="1" applyAlignment="1">
      <alignment vertical="center" wrapText="1"/>
    </xf>
    <xf numFmtId="43" fontId="0" fillId="0" borderId="0" xfId="1" applyFont="1" applyBorder="1"/>
    <xf numFmtId="43" fontId="4" fillId="0" borderId="0" xfId="1" applyFont="1" applyBorder="1"/>
    <xf numFmtId="43" fontId="18" fillId="0" borderId="0" xfId="1" applyFont="1"/>
    <xf numFmtId="43" fontId="18" fillId="0" borderId="0" xfId="1" applyFont="1" applyProtection="1"/>
    <xf numFmtId="43" fontId="3" fillId="0" borderId="0" xfId="1" applyFont="1" applyProtection="1"/>
    <xf numFmtId="43" fontId="11" fillId="0" borderId="0" xfId="1" applyFont="1" applyProtection="1"/>
    <xf numFmtId="0" fontId="10" fillId="0" borderId="0" xfId="0" applyFont="1"/>
    <xf numFmtId="0" fontId="15" fillId="0" borderId="0" xfId="0" applyFont="1" applyAlignment="1">
      <alignment vertical="center" wrapText="1"/>
    </xf>
    <xf numFmtId="0" fontId="13" fillId="0" borderId="0" xfId="0" applyFont="1"/>
    <xf numFmtId="43" fontId="21" fillId="0" borderId="0" xfId="1" applyFont="1"/>
    <xf numFmtId="0" fontId="0" fillId="0" borderId="10" xfId="0" applyBorder="1"/>
    <xf numFmtId="0" fontId="6" fillId="0" borderId="10" xfId="0" applyFont="1" applyBorder="1"/>
    <xf numFmtId="0" fontId="8" fillId="0" borderId="10" xfId="0" applyFont="1" applyBorder="1"/>
    <xf numFmtId="43" fontId="8" fillId="0" borderId="0" xfId="1" applyFont="1" applyBorder="1"/>
    <xf numFmtId="43" fontId="8" fillId="0" borderId="11" xfId="1" applyFont="1" applyBorder="1"/>
    <xf numFmtId="43" fontId="8" fillId="0" borderId="0" xfId="1" applyFont="1" applyBorder="1" applyProtection="1">
      <protection locked="0"/>
    </xf>
    <xf numFmtId="0" fontId="7" fillId="0" borderId="10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0" fillId="0" borderId="12" xfId="0" applyBorder="1"/>
    <xf numFmtId="43" fontId="8" fillId="0" borderId="17" xfId="1" applyFont="1" applyBorder="1"/>
    <xf numFmtId="43" fontId="8" fillId="0" borderId="17" xfId="1" applyFont="1" applyBorder="1" applyProtection="1"/>
    <xf numFmtId="43" fontId="8" fillId="0" borderId="17" xfId="1" applyFont="1" applyBorder="1" applyProtection="1">
      <protection locked="0"/>
    </xf>
    <xf numFmtId="0" fontId="27" fillId="0" borderId="0" xfId="0" applyFont="1"/>
    <xf numFmtId="0" fontId="14" fillId="0" borderId="0" xfId="0" applyFont="1"/>
    <xf numFmtId="0" fontId="27" fillId="0" borderId="5" xfId="2" applyFont="1" applyBorder="1"/>
    <xf numFmtId="0" fontId="27" fillId="0" borderId="3" xfId="2" applyFont="1" applyBorder="1"/>
    <xf numFmtId="0" fontId="27" fillId="3" borderId="0" xfId="0" applyFont="1" applyFill="1"/>
    <xf numFmtId="0" fontId="27" fillId="0" borderId="6" xfId="2" quotePrefix="1" applyFont="1" applyBorder="1"/>
    <xf numFmtId="0" fontId="27" fillId="0" borderId="7" xfId="2" applyFont="1" applyBorder="1"/>
    <xf numFmtId="0" fontId="27" fillId="0" borderId="8" xfId="2" applyFont="1" applyBorder="1"/>
    <xf numFmtId="0" fontId="7" fillId="0" borderId="19" xfId="0" applyFont="1" applyBorder="1" applyAlignment="1">
      <alignment vertical="center" wrapText="1"/>
    </xf>
    <xf numFmtId="0" fontId="8" fillId="0" borderId="3" xfId="0" applyFont="1" applyBorder="1"/>
    <xf numFmtId="43" fontId="8" fillId="0" borderId="20" xfId="1" applyFont="1" applyBorder="1" applyProtection="1"/>
    <xf numFmtId="43" fontId="8" fillId="0" borderId="21" xfId="1" applyFont="1" applyBorder="1"/>
    <xf numFmtId="0" fontId="8" fillId="0" borderId="19" xfId="0" applyFont="1" applyBorder="1" applyAlignment="1">
      <alignment vertical="center" wrapText="1"/>
    </xf>
    <xf numFmtId="0" fontId="0" fillId="0" borderId="19" xfId="0" applyBorder="1"/>
    <xf numFmtId="0" fontId="0" fillId="0" borderId="3" xfId="0" applyBorder="1"/>
    <xf numFmtId="43" fontId="19" fillId="0" borderId="0" xfId="1" applyFont="1" applyAlignment="1" applyProtection="1">
      <alignment horizontal="right"/>
    </xf>
    <xf numFmtId="43" fontId="5" fillId="0" borderId="2" xfId="1" applyFont="1" applyBorder="1" applyAlignment="1" applyProtection="1">
      <alignment horizontal="right"/>
    </xf>
    <xf numFmtId="43" fontId="4" fillId="0" borderId="0" xfId="1" applyFont="1" applyAlignment="1" applyProtection="1">
      <alignment horizontal="right"/>
    </xf>
    <xf numFmtId="43" fontId="5" fillId="0" borderId="1" xfId="1" applyFont="1" applyBorder="1" applyAlignment="1" applyProtection="1">
      <alignment horizontal="right" wrapText="1"/>
    </xf>
    <xf numFmtId="43" fontId="5" fillId="0" borderId="0" xfId="1" applyFont="1" applyAlignment="1" applyProtection="1">
      <alignment horizontal="right"/>
    </xf>
    <xf numFmtId="43" fontId="5" fillId="0" borderId="3" xfId="1" applyFont="1" applyBorder="1" applyAlignment="1" applyProtection="1">
      <alignment horizontal="right"/>
    </xf>
    <xf numFmtId="43" fontId="22" fillId="0" borderId="0" xfId="1" applyFont="1" applyAlignment="1" applyProtection="1">
      <alignment horizontal="right"/>
    </xf>
    <xf numFmtId="43" fontId="5" fillId="0" borderId="0" xfId="1" applyFont="1" applyBorder="1" applyAlignment="1" applyProtection="1">
      <alignment horizontal="right"/>
    </xf>
    <xf numFmtId="43" fontId="23" fillId="0" borderId="0" xfId="1" applyFont="1" applyAlignment="1" applyProtection="1">
      <alignment horizontal="right"/>
    </xf>
    <xf numFmtId="43" fontId="24" fillId="0" borderId="0" xfId="1" applyFont="1" applyAlignment="1" applyProtection="1">
      <alignment horizontal="right"/>
    </xf>
    <xf numFmtId="43" fontId="25" fillId="0" borderId="0" xfId="1" applyFont="1" applyAlignment="1" applyProtection="1">
      <alignment horizontal="right"/>
    </xf>
    <xf numFmtId="43" fontId="26" fillId="0" borderId="2" xfId="1" applyFont="1" applyBorder="1" applyAlignment="1" applyProtection="1">
      <alignment horizontal="right"/>
    </xf>
    <xf numFmtId="43" fontId="4" fillId="0" borderId="0" xfId="1" applyFont="1" applyAlignment="1">
      <alignment horizontal="right"/>
    </xf>
    <xf numFmtId="0" fontId="0" fillId="0" borderId="22" xfId="0" applyBorder="1"/>
    <xf numFmtId="0" fontId="0" fillId="0" borderId="23" xfId="0" applyBorder="1"/>
    <xf numFmtId="43" fontId="0" fillId="0" borderId="23" xfId="1" applyFont="1" applyBorder="1"/>
    <xf numFmtId="43" fontId="4" fillId="0" borderId="24" xfId="1" applyFont="1" applyBorder="1"/>
    <xf numFmtId="43" fontId="8" fillId="0" borderId="0" xfId="0" applyNumberFormat="1" applyFont="1"/>
    <xf numFmtId="0" fontId="12" fillId="0" borderId="10" xfId="0" applyFont="1" applyBorder="1"/>
    <xf numFmtId="0" fontId="12" fillId="0" borderId="12" xfId="0" applyFont="1" applyBorder="1"/>
    <xf numFmtId="0" fontId="12" fillId="0" borderId="13" xfId="0" applyFont="1" applyBorder="1"/>
    <xf numFmtId="0" fontId="0" fillId="0" borderId="25" xfId="0" applyBorder="1"/>
    <xf numFmtId="0" fontId="0" fillId="0" borderId="29" xfId="0" applyBorder="1"/>
    <xf numFmtId="43" fontId="0" fillId="0" borderId="1" xfId="1" applyFont="1" applyBorder="1"/>
    <xf numFmtId="43" fontId="12" fillId="0" borderId="31" xfId="1" applyFont="1" applyBorder="1"/>
    <xf numFmtId="43" fontId="12" fillId="0" borderId="0" xfId="1" applyFont="1" applyBorder="1"/>
    <xf numFmtId="43" fontId="12" fillId="0" borderId="11" xfId="1" applyFont="1" applyBorder="1"/>
    <xf numFmtId="43" fontId="12" fillId="0" borderId="13" xfId="1" applyFont="1" applyBorder="1"/>
    <xf numFmtId="43" fontId="12" fillId="0" borderId="32" xfId="1" applyFont="1" applyBorder="1"/>
    <xf numFmtId="0" fontId="12" fillId="0" borderId="37" xfId="0" applyFont="1" applyBorder="1"/>
    <xf numFmtId="43" fontId="0" fillId="0" borderId="33" xfId="1" applyFont="1" applyBorder="1"/>
    <xf numFmtId="43" fontId="0" fillId="6" borderId="39" xfId="1" applyFont="1" applyFill="1" applyBorder="1"/>
    <xf numFmtId="43" fontId="0" fillId="6" borderId="30" xfId="1" applyFont="1" applyFill="1" applyBorder="1"/>
    <xf numFmtId="43" fontId="0" fillId="6" borderId="35" xfId="1" applyFont="1" applyFill="1" applyBorder="1"/>
    <xf numFmtId="0" fontId="12" fillId="6" borderId="13" xfId="0" applyFont="1" applyFill="1" applyBorder="1"/>
    <xf numFmtId="43" fontId="12" fillId="6" borderId="34" xfId="1" applyFont="1" applyFill="1" applyBorder="1"/>
    <xf numFmtId="43" fontId="0" fillId="6" borderId="11" xfId="1" applyFont="1" applyFill="1" applyBorder="1"/>
    <xf numFmtId="43" fontId="12" fillId="6" borderId="31" xfId="1" applyFont="1" applyFill="1" applyBorder="1"/>
    <xf numFmtId="0" fontId="12" fillId="6" borderId="2" xfId="0" applyFont="1" applyFill="1" applyBorder="1"/>
    <xf numFmtId="43" fontId="12" fillId="6" borderId="2" xfId="1" applyFont="1" applyFill="1" applyBorder="1"/>
    <xf numFmtId="43" fontId="12" fillId="5" borderId="40" xfId="1" applyFont="1" applyFill="1" applyBorder="1" applyAlignment="1">
      <alignment horizontal="center"/>
    </xf>
    <xf numFmtId="43" fontId="12" fillId="5" borderId="41" xfId="1" applyFont="1" applyFill="1" applyBorder="1" applyAlignment="1">
      <alignment horizontal="center"/>
    </xf>
    <xf numFmtId="43" fontId="12" fillId="5" borderId="42" xfId="1" applyFont="1" applyFill="1" applyBorder="1" applyAlignment="1">
      <alignment horizontal="center"/>
    </xf>
    <xf numFmtId="0" fontId="12" fillId="5" borderId="22" xfId="0" applyFont="1" applyFill="1" applyBorder="1"/>
    <xf numFmtId="0" fontId="12" fillId="5" borderId="23" xfId="0" applyFont="1" applyFill="1" applyBorder="1"/>
    <xf numFmtId="43" fontId="12" fillId="5" borderId="36" xfId="1" applyFont="1" applyFill="1" applyBorder="1"/>
    <xf numFmtId="43" fontId="12" fillId="5" borderId="18" xfId="1" applyFont="1" applyFill="1" applyBorder="1"/>
    <xf numFmtId="43" fontId="12" fillId="5" borderId="43" xfId="1" applyFont="1" applyFill="1" applyBorder="1"/>
    <xf numFmtId="43" fontId="12" fillId="5" borderId="40" xfId="1" applyFont="1" applyFill="1" applyBorder="1"/>
    <xf numFmtId="43" fontId="12" fillId="5" borderId="41" xfId="1" applyFont="1" applyFill="1" applyBorder="1"/>
    <xf numFmtId="43" fontId="12" fillId="5" borderId="42" xfId="1" applyFont="1" applyFill="1" applyBorder="1"/>
    <xf numFmtId="164" fontId="0" fillId="4" borderId="0" xfId="1" applyNumberFormat="1" applyFont="1" applyFill="1" applyProtection="1">
      <protection locked="0"/>
    </xf>
    <xf numFmtId="164" fontId="19" fillId="3" borderId="0" xfId="1" applyNumberFormat="1" applyFont="1" applyFill="1" applyAlignment="1" applyProtection="1">
      <alignment horizontal="left"/>
    </xf>
    <xf numFmtId="0" fontId="20" fillId="0" borderId="0" xfId="0" applyFont="1" applyAlignment="1">
      <alignment horizontal="right"/>
    </xf>
    <xf numFmtId="0" fontId="28" fillId="0" borderId="5" xfId="0" applyFont="1" applyBorder="1"/>
    <xf numFmtId="43" fontId="0" fillId="0" borderId="3" xfId="1" applyFont="1" applyBorder="1"/>
    <xf numFmtId="0" fontId="28" fillId="0" borderId="6" xfId="0" applyFont="1" applyBorder="1"/>
    <xf numFmtId="0" fontId="28" fillId="0" borderId="7" xfId="0" applyFont="1" applyBorder="1"/>
    <xf numFmtId="43" fontId="0" fillId="0" borderId="8" xfId="1" applyFont="1" applyBorder="1"/>
    <xf numFmtId="0" fontId="28" fillId="0" borderId="38" xfId="0" applyFont="1" applyBorder="1"/>
    <xf numFmtId="43" fontId="30" fillId="0" borderId="24" xfId="1" applyFont="1" applyBorder="1"/>
    <xf numFmtId="43" fontId="31" fillId="0" borderId="11" xfId="1" applyFont="1" applyBorder="1"/>
    <xf numFmtId="43" fontId="33" fillId="0" borderId="44" xfId="1" applyFont="1" applyBorder="1"/>
    <xf numFmtId="43" fontId="33" fillId="0" borderId="21" xfId="1" applyFont="1" applyBorder="1"/>
    <xf numFmtId="43" fontId="33" fillId="0" borderId="11" xfId="1" applyFont="1" applyBorder="1"/>
    <xf numFmtId="43" fontId="29" fillId="0" borderId="44" xfId="1" applyFont="1" applyBorder="1"/>
    <xf numFmtId="43" fontId="0" fillId="0" borderId="21" xfId="1" applyFont="1" applyBorder="1"/>
    <xf numFmtId="43" fontId="34" fillId="0" borderId="11" xfId="1" applyFont="1" applyBorder="1"/>
    <xf numFmtId="0" fontId="28" fillId="0" borderId="45" xfId="0" applyFont="1" applyBorder="1"/>
    <xf numFmtId="43" fontId="0" fillId="0" borderId="13" xfId="1" applyFont="1" applyBorder="1"/>
    <xf numFmtId="43" fontId="32" fillId="0" borderId="32" xfId="1" applyFont="1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36" xfId="0" applyBorder="1"/>
    <xf numFmtId="43" fontId="29" fillId="0" borderId="11" xfId="1" applyFont="1" applyBorder="1"/>
    <xf numFmtId="0" fontId="0" fillId="0" borderId="50" xfId="0" applyBorder="1"/>
    <xf numFmtId="43" fontId="8" fillId="0" borderId="1" xfId="1" applyFont="1" applyBorder="1" applyProtection="1">
      <protection locked="0"/>
    </xf>
    <xf numFmtId="43" fontId="8" fillId="0" borderId="52" xfId="1" applyFont="1" applyBorder="1"/>
    <xf numFmtId="0" fontId="8" fillId="0" borderId="51" xfId="0" applyFont="1" applyBorder="1" applyAlignment="1">
      <alignment wrapText="1"/>
    </xf>
    <xf numFmtId="43" fontId="4" fillId="0" borderId="1" xfId="1" applyFont="1" applyBorder="1" applyAlignment="1" applyProtection="1">
      <alignment horizontal="right"/>
    </xf>
    <xf numFmtId="43" fontId="28" fillId="0" borderId="6" xfId="0" applyNumberFormat="1" applyFont="1" applyBorder="1"/>
    <xf numFmtId="43" fontId="38" fillId="0" borderId="1" xfId="1" applyFont="1" applyBorder="1"/>
    <xf numFmtId="43" fontId="37" fillId="0" borderId="1" xfId="1" applyFont="1" applyBorder="1"/>
    <xf numFmtId="0" fontId="12" fillId="0" borderId="0" xfId="0" applyFont="1" applyAlignment="1">
      <alignment horizontal="right" vertical="center"/>
    </xf>
    <xf numFmtId="0" fontId="39" fillId="0" borderId="0" xfId="0" applyFont="1" applyAlignment="1">
      <alignment vertical="center" wrapText="1"/>
    </xf>
    <xf numFmtId="0" fontId="40" fillId="0" borderId="0" xfId="0" applyFont="1"/>
    <xf numFmtId="0" fontId="41" fillId="0" borderId="0" xfId="0" applyFont="1"/>
    <xf numFmtId="43" fontId="40" fillId="0" borderId="0" xfId="1" applyFont="1" applyProtection="1"/>
    <xf numFmtId="43" fontId="40" fillId="0" borderId="2" xfId="1" applyFont="1" applyBorder="1" applyAlignment="1" applyProtection="1">
      <alignment horizontal="right"/>
    </xf>
    <xf numFmtId="0" fontId="40" fillId="0" borderId="0" xfId="0" applyFont="1" applyAlignment="1">
      <alignment vertical="center" wrapText="1"/>
    </xf>
    <xf numFmtId="43" fontId="28" fillId="0" borderId="2" xfId="1" applyFont="1" applyBorder="1" applyAlignment="1" applyProtection="1">
      <alignment horizontal="right"/>
    </xf>
    <xf numFmtId="0" fontId="28" fillId="0" borderId="0" xfId="0" applyFont="1"/>
    <xf numFmtId="43" fontId="28" fillId="0" borderId="4" xfId="1" applyFont="1" applyBorder="1" applyAlignment="1" applyProtection="1">
      <alignment horizontal="right"/>
    </xf>
    <xf numFmtId="43" fontId="28" fillId="0" borderId="0" xfId="1" applyFont="1" applyBorder="1" applyAlignment="1" applyProtection="1">
      <alignment horizontal="right"/>
    </xf>
    <xf numFmtId="43" fontId="40" fillId="0" borderId="0" xfId="1" applyFont="1"/>
    <xf numFmtId="43" fontId="28" fillId="0" borderId="2" xfId="1" applyFont="1" applyBorder="1" applyProtection="1"/>
    <xf numFmtId="43" fontId="40" fillId="0" borderId="0" xfId="1" applyFont="1" applyBorder="1" applyAlignment="1" applyProtection="1">
      <alignment horizontal="right"/>
    </xf>
    <xf numFmtId="43" fontId="8" fillId="0" borderId="18" xfId="1" applyFont="1" applyBorder="1" applyProtection="1">
      <protection locked="0"/>
    </xf>
    <xf numFmtId="43" fontId="0" fillId="0" borderId="20" xfId="1" applyFont="1" applyBorder="1"/>
    <xf numFmtId="0" fontId="8" fillId="0" borderId="13" xfId="0" applyFont="1" applyBorder="1"/>
    <xf numFmtId="43" fontId="8" fillId="0" borderId="54" xfId="1" applyFont="1" applyBorder="1"/>
    <xf numFmtId="0" fontId="12" fillId="0" borderId="14" xfId="0" applyFont="1" applyBorder="1"/>
    <xf numFmtId="0" fontId="12" fillId="0" borderId="9" xfId="0" applyFont="1" applyBorder="1"/>
    <xf numFmtId="43" fontId="12" fillId="0" borderId="23" xfId="1" applyFont="1" applyBorder="1"/>
    <xf numFmtId="43" fontId="12" fillId="0" borderId="53" xfId="1" applyFont="1" applyBorder="1"/>
    <xf numFmtId="43" fontId="12" fillId="0" borderId="9" xfId="1" applyFont="1" applyBorder="1"/>
    <xf numFmtId="43" fontId="5" fillId="0" borderId="16" xfId="1" applyFont="1" applyBorder="1"/>
    <xf numFmtId="43" fontId="40" fillId="0" borderId="55" xfId="1" applyFont="1" applyBorder="1" applyProtection="1"/>
    <xf numFmtId="43" fontId="42" fillId="0" borderId="6" xfId="1" applyFont="1" applyBorder="1" applyAlignment="1" applyProtection="1">
      <alignment horizontal="right"/>
    </xf>
    <xf numFmtId="0" fontId="28" fillId="0" borderId="0" xfId="0" applyFont="1" applyAlignment="1">
      <alignment horizontal="center"/>
    </xf>
    <xf numFmtId="43" fontId="40" fillId="0" borderId="0" xfId="1" applyFont="1" applyBorder="1" applyProtection="1"/>
    <xf numFmtId="43" fontId="42" fillId="0" borderId="0" xfId="1" applyFont="1" applyBorder="1" applyAlignment="1" applyProtection="1">
      <alignment horizontal="right"/>
    </xf>
    <xf numFmtId="0" fontId="40" fillId="0" borderId="56" xfId="0" applyFont="1" applyBorder="1"/>
    <xf numFmtId="0" fontId="40" fillId="0" borderId="57" xfId="0" applyFont="1" applyBorder="1"/>
    <xf numFmtId="0" fontId="40" fillId="0" borderId="10" xfId="0" applyFont="1" applyBorder="1"/>
    <xf numFmtId="0" fontId="40" fillId="0" borderId="12" xfId="0" applyFont="1" applyBorder="1"/>
    <xf numFmtId="43" fontId="42" fillId="0" borderId="10" xfId="1" applyFont="1" applyBorder="1" applyAlignment="1" applyProtection="1">
      <alignment horizontal="right"/>
    </xf>
    <xf numFmtId="43" fontId="40" fillId="0" borderId="11" xfId="1" applyFont="1" applyBorder="1" applyProtection="1"/>
    <xf numFmtId="43" fontId="42" fillId="0" borderId="12" xfId="1" applyFont="1" applyBorder="1" applyAlignment="1" applyProtection="1">
      <alignment horizontal="right"/>
    </xf>
    <xf numFmtId="43" fontId="40" fillId="0" borderId="54" xfId="1" applyFont="1" applyBorder="1" applyProtection="1"/>
    <xf numFmtId="43" fontId="28" fillId="0" borderId="14" xfId="1" applyFont="1" applyBorder="1" applyAlignment="1" applyProtection="1">
      <alignment horizontal="left" wrapText="1"/>
    </xf>
    <xf numFmtId="43" fontId="28" fillId="0" borderId="59" xfId="1" applyFont="1" applyBorder="1" applyAlignment="1" applyProtection="1">
      <alignment horizontal="right"/>
    </xf>
    <xf numFmtId="43" fontId="42" fillId="0" borderId="13" xfId="1" applyFont="1" applyBorder="1" applyAlignment="1" applyProtection="1">
      <alignment horizontal="right"/>
    </xf>
    <xf numFmtId="43" fontId="28" fillId="0" borderId="16" xfId="1" applyFont="1" applyBorder="1" applyAlignment="1" applyProtection="1">
      <alignment horizontal="center" wrapText="1"/>
    </xf>
    <xf numFmtId="43" fontId="28" fillId="0" borderId="9" xfId="1" applyFont="1" applyBorder="1" applyAlignment="1" applyProtection="1">
      <alignment horizontal="center" wrapText="1"/>
    </xf>
    <xf numFmtId="0" fontId="28" fillId="0" borderId="14" xfId="0" applyFont="1" applyBorder="1"/>
    <xf numFmtId="43" fontId="28" fillId="0" borderId="58" xfId="1" applyFont="1" applyBorder="1" applyProtection="1"/>
    <xf numFmtId="43" fontId="28" fillId="0" borderId="16" xfId="1" applyFont="1" applyBorder="1" applyProtection="1"/>
    <xf numFmtId="43" fontId="28" fillId="0" borderId="11" xfId="1" applyFont="1" applyBorder="1" applyProtection="1"/>
    <xf numFmtId="0" fontId="41" fillId="0" borderId="53" xfId="0" applyFont="1" applyBorder="1"/>
    <xf numFmtId="0" fontId="28" fillId="0" borderId="56" xfId="0" applyFont="1" applyBorder="1"/>
    <xf numFmtId="4" fontId="0" fillId="0" borderId="17" xfId="0" applyNumberFormat="1" applyBorder="1"/>
    <xf numFmtId="0" fontId="0" fillId="0" borderId="17" xfId="0" applyBorder="1"/>
    <xf numFmtId="0" fontId="0" fillId="0" borderId="0" xfId="0" applyBorder="1"/>
    <xf numFmtId="0" fontId="8" fillId="0" borderId="0" xfId="0" applyFont="1" applyBorder="1"/>
    <xf numFmtId="0" fontId="6" fillId="0" borderId="0" xfId="0" applyFont="1" applyBorder="1"/>
    <xf numFmtId="0" fontId="9" fillId="0" borderId="0" xfId="0" applyFont="1" applyBorder="1"/>
    <xf numFmtId="4" fontId="0" fillId="0" borderId="18" xfId="0" applyNumberFormat="1" applyBorder="1"/>
    <xf numFmtId="0" fontId="28" fillId="0" borderId="14" xfId="0" applyFont="1" applyBorder="1" applyAlignment="1">
      <alignment horizontal="center"/>
    </xf>
    <xf numFmtId="0" fontId="28" fillId="0" borderId="16" xfId="0" applyFont="1" applyBorder="1" applyAlignment="1">
      <alignment horizontal="center"/>
    </xf>
    <xf numFmtId="0" fontId="28" fillId="0" borderId="22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12" fillId="5" borderId="26" xfId="0" applyFont="1" applyFill="1" applyBorder="1"/>
    <xf numFmtId="0" fontId="12" fillId="5" borderId="28" xfId="0" applyFont="1" applyFill="1" applyBorder="1"/>
    <xf numFmtId="0" fontId="12" fillId="5" borderId="29" xfId="0" applyFont="1" applyFill="1" applyBorder="1"/>
    <xf numFmtId="0" fontId="12" fillId="5" borderId="8" xfId="0" applyFont="1" applyFill="1" applyBorder="1"/>
    <xf numFmtId="43" fontId="12" fillId="5" borderId="14" xfId="1" applyFont="1" applyFill="1" applyBorder="1" applyAlignment="1">
      <alignment horizontal="center"/>
    </xf>
    <xf numFmtId="43" fontId="12" fillId="5" borderId="15" xfId="1" applyFont="1" applyFill="1" applyBorder="1" applyAlignment="1">
      <alignment horizontal="center"/>
    </xf>
    <xf numFmtId="43" fontId="12" fillId="5" borderId="16" xfId="1" applyFont="1" applyFill="1" applyBorder="1" applyAlignment="1">
      <alignment horizontal="center"/>
    </xf>
    <xf numFmtId="43" fontId="12" fillId="5" borderId="38" xfId="1" applyFont="1" applyFill="1" applyBorder="1" applyAlignment="1">
      <alignment horizontal="center"/>
    </xf>
    <xf numFmtId="43" fontId="12" fillId="5" borderId="23" xfId="1" applyFont="1" applyFill="1" applyBorder="1" applyAlignment="1">
      <alignment horizontal="center"/>
    </xf>
    <xf numFmtId="43" fontId="12" fillId="5" borderId="24" xfId="1" applyFont="1" applyFill="1" applyBorder="1" applyAlignment="1">
      <alignment horizontal="center"/>
    </xf>
    <xf numFmtId="0" fontId="12" fillId="5" borderId="22" xfId="0" applyFont="1" applyFill="1" applyBorder="1"/>
    <xf numFmtId="0" fontId="0" fillId="5" borderId="27" xfId="0" applyFill="1" applyBorder="1"/>
    <xf numFmtId="0" fontId="0" fillId="5" borderId="29" xfId="0" applyFill="1" applyBorder="1"/>
    <xf numFmtId="0" fontId="0" fillId="5" borderId="8" xfId="0" applyFill="1" applyBorder="1"/>
  </cellXfs>
  <cellStyles count="3">
    <cellStyle name="Bold text" xfId="2"/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00FF"/>
      <color rgb="FF969696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3"/>
  <sheetViews>
    <sheetView topLeftCell="A189" workbookViewId="0">
      <selection activeCell="J198" sqref="J198"/>
    </sheetView>
  </sheetViews>
  <sheetFormatPr defaultRowHeight="15" x14ac:dyDescent="0.25"/>
  <cols>
    <col min="1" max="1" width="2.7109375" customWidth="1"/>
    <col min="2" max="2" width="27" customWidth="1"/>
    <col min="3" max="14" width="11.5703125" style="8" customWidth="1"/>
    <col min="15" max="15" width="13.140625" style="5" customWidth="1"/>
    <col min="18" max="18" width="13.42578125" customWidth="1"/>
  </cols>
  <sheetData>
    <row r="1" spans="1:15" ht="15.75" x14ac:dyDescent="0.25">
      <c r="A1" s="12" t="s">
        <v>101</v>
      </c>
      <c r="B1" s="12"/>
      <c r="C1" s="27"/>
    </row>
    <row r="2" spans="1:15" ht="15.75" thickBot="1" x14ac:dyDescent="0.3"/>
    <row r="3" spans="1:15" ht="15.75" thickBot="1" x14ac:dyDescent="0.3">
      <c r="A3" s="158" t="s">
        <v>103</v>
      </c>
      <c r="B3" s="159"/>
      <c r="C3" s="160" t="s">
        <v>71</v>
      </c>
      <c r="D3" s="161" t="s">
        <v>72</v>
      </c>
      <c r="E3" s="160" t="s">
        <v>73</v>
      </c>
      <c r="F3" s="161" t="s">
        <v>74</v>
      </c>
      <c r="G3" s="160" t="s">
        <v>75</v>
      </c>
      <c r="H3" s="161" t="s">
        <v>76</v>
      </c>
      <c r="I3" s="160" t="s">
        <v>77</v>
      </c>
      <c r="J3" s="161" t="s">
        <v>78</v>
      </c>
      <c r="K3" s="160" t="s">
        <v>79</v>
      </c>
      <c r="L3" s="161" t="s">
        <v>80</v>
      </c>
      <c r="M3" s="160" t="s">
        <v>81</v>
      </c>
      <c r="N3" s="162" t="s">
        <v>82</v>
      </c>
      <c r="O3" s="163" t="s">
        <v>83</v>
      </c>
    </row>
    <row r="4" spans="1:15" x14ac:dyDescent="0.25">
      <c r="A4" s="68"/>
      <c r="B4" s="69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71"/>
    </row>
    <row r="5" spans="1:15" x14ac:dyDescent="0.25">
      <c r="A5" s="29" t="s">
        <v>100</v>
      </c>
      <c r="B5" s="190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2"/>
    </row>
    <row r="6" spans="1:15" x14ac:dyDescent="0.25">
      <c r="A6" s="28"/>
      <c r="B6" s="191" t="s">
        <v>168</v>
      </c>
      <c r="C6" s="188">
        <v>7458030</v>
      </c>
      <c r="D6" s="39">
        <v>0</v>
      </c>
      <c r="E6" s="39">
        <v>0</v>
      </c>
      <c r="F6" s="39">
        <v>0</v>
      </c>
      <c r="G6" s="39">
        <v>0</v>
      </c>
      <c r="H6" s="39">
        <v>0</v>
      </c>
      <c r="I6" s="39">
        <v>0</v>
      </c>
      <c r="J6" s="39">
        <v>0</v>
      </c>
      <c r="K6" s="39">
        <v>0</v>
      </c>
      <c r="L6" s="39">
        <v>0</v>
      </c>
      <c r="M6" s="39">
        <v>0</v>
      </c>
      <c r="N6" s="39">
        <v>0</v>
      </c>
      <c r="O6" s="32">
        <f>SUM(C6:N6)</f>
        <v>7458030</v>
      </c>
    </row>
    <row r="7" spans="1:15" x14ac:dyDescent="0.25">
      <c r="A7" s="28"/>
      <c r="B7" s="191" t="s">
        <v>169</v>
      </c>
      <c r="C7" s="39">
        <v>0</v>
      </c>
      <c r="D7" s="39">
        <v>0</v>
      </c>
      <c r="E7" s="39">
        <v>0</v>
      </c>
      <c r="F7" s="39">
        <v>0</v>
      </c>
      <c r="G7" s="39">
        <v>0</v>
      </c>
      <c r="H7" s="39">
        <v>0</v>
      </c>
      <c r="I7" s="39">
        <v>0</v>
      </c>
      <c r="J7" s="39">
        <v>0</v>
      </c>
      <c r="K7" s="39">
        <v>0</v>
      </c>
      <c r="L7" s="39">
        <v>0</v>
      </c>
      <c r="M7" s="39">
        <v>0</v>
      </c>
      <c r="N7" s="39">
        <v>0</v>
      </c>
      <c r="O7" s="32">
        <f>SUM(C7:N7)</f>
        <v>0</v>
      </c>
    </row>
    <row r="8" spans="1:15" x14ac:dyDescent="0.25">
      <c r="A8" s="28"/>
      <c r="B8" s="190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2"/>
    </row>
    <row r="9" spans="1:15" x14ac:dyDescent="0.25">
      <c r="A9" s="29" t="s">
        <v>1</v>
      </c>
      <c r="B9" s="192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2" t="s">
        <v>7</v>
      </c>
    </row>
    <row r="10" spans="1:15" x14ac:dyDescent="0.25">
      <c r="A10" s="34">
        <v>1</v>
      </c>
      <c r="B10" s="191" t="s">
        <v>166</v>
      </c>
      <c r="C10" s="188">
        <v>5014630</v>
      </c>
      <c r="D10" s="39">
        <v>0</v>
      </c>
      <c r="E10" s="39">
        <v>0</v>
      </c>
      <c r="F10" s="39">
        <v>0</v>
      </c>
      <c r="G10" s="39">
        <v>0</v>
      </c>
      <c r="H10" s="39">
        <v>0</v>
      </c>
      <c r="I10" s="39">
        <v>0</v>
      </c>
      <c r="J10" s="39">
        <v>4715460</v>
      </c>
      <c r="K10" s="39">
        <v>0</v>
      </c>
      <c r="L10" s="39">
        <v>0</v>
      </c>
      <c r="M10" s="39">
        <v>0</v>
      </c>
      <c r="N10" s="39">
        <v>0</v>
      </c>
      <c r="O10" s="32">
        <f>SUM(C10:N10)</f>
        <v>9730090</v>
      </c>
    </row>
    <row r="11" spans="1:15" x14ac:dyDescent="0.25">
      <c r="A11" s="34">
        <f>A10+1</f>
        <v>2</v>
      </c>
      <c r="B11" s="191" t="s">
        <v>167</v>
      </c>
      <c r="C11" s="39">
        <v>0</v>
      </c>
      <c r="D11" s="39">
        <v>0</v>
      </c>
      <c r="E11" s="39">
        <v>0</v>
      </c>
      <c r="F11" s="39">
        <v>0</v>
      </c>
      <c r="G11" s="39">
        <v>0</v>
      </c>
      <c r="H11" s="39">
        <v>0</v>
      </c>
      <c r="I11" s="39">
        <v>0</v>
      </c>
      <c r="J11" s="39">
        <v>0</v>
      </c>
      <c r="K11" s="39">
        <v>0</v>
      </c>
      <c r="L11" s="39">
        <v>0</v>
      </c>
      <c r="M11" s="39">
        <v>0</v>
      </c>
      <c r="N11" s="39">
        <v>0</v>
      </c>
      <c r="O11" s="32">
        <f>SUM(C11:N11)</f>
        <v>0</v>
      </c>
    </row>
    <row r="12" spans="1:15" x14ac:dyDescent="0.25">
      <c r="A12" s="34">
        <f t="shared" ref="A12:A17" si="0">A11+1</f>
        <v>3</v>
      </c>
      <c r="B12" s="191" t="s">
        <v>2</v>
      </c>
      <c r="C12" s="188">
        <v>1354050</v>
      </c>
      <c r="D12" s="39">
        <v>0</v>
      </c>
      <c r="E12" s="39">
        <v>0</v>
      </c>
      <c r="F12" s="39">
        <v>0</v>
      </c>
      <c r="G12" s="39">
        <v>0</v>
      </c>
      <c r="H12" s="39">
        <v>0</v>
      </c>
      <c r="I12" s="39">
        <v>0</v>
      </c>
      <c r="J12" s="39">
        <v>3303950</v>
      </c>
      <c r="K12" s="39">
        <v>0</v>
      </c>
      <c r="L12" s="39">
        <v>0</v>
      </c>
      <c r="M12" s="39">
        <v>0</v>
      </c>
      <c r="N12" s="39">
        <v>0</v>
      </c>
      <c r="O12" s="32">
        <f>SUM(C12:N12)</f>
        <v>4658000</v>
      </c>
    </row>
    <row r="13" spans="1:15" x14ac:dyDescent="0.25">
      <c r="A13" s="34">
        <f t="shared" si="0"/>
        <v>4</v>
      </c>
      <c r="B13" s="191" t="s">
        <v>3</v>
      </c>
      <c r="C13" s="189">
        <v>0</v>
      </c>
      <c r="D13" s="39">
        <v>0</v>
      </c>
      <c r="E13" s="39">
        <v>0</v>
      </c>
      <c r="F13" s="39">
        <v>0</v>
      </c>
      <c r="G13" s="39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2">
        <f t="shared" ref="O13:O82" si="1">SUM(C13:N13)</f>
        <v>0</v>
      </c>
    </row>
    <row r="14" spans="1:15" x14ac:dyDescent="0.25">
      <c r="A14" s="34">
        <f t="shared" si="0"/>
        <v>5</v>
      </c>
      <c r="B14" s="191" t="s">
        <v>4</v>
      </c>
      <c r="C14" s="188">
        <v>75200</v>
      </c>
      <c r="D14" s="39">
        <v>0</v>
      </c>
      <c r="E14" s="39">
        <v>0</v>
      </c>
      <c r="F14" s="39">
        <v>0</v>
      </c>
      <c r="G14" s="39">
        <v>0</v>
      </c>
      <c r="H14" s="39">
        <v>0</v>
      </c>
      <c r="I14" s="39">
        <v>0</v>
      </c>
      <c r="J14" s="39">
        <v>120000</v>
      </c>
      <c r="K14" s="39">
        <v>0</v>
      </c>
      <c r="L14" s="39">
        <v>0</v>
      </c>
      <c r="M14" s="39">
        <v>0</v>
      </c>
      <c r="N14" s="39">
        <v>0</v>
      </c>
      <c r="O14" s="32">
        <f t="shared" si="1"/>
        <v>195200</v>
      </c>
    </row>
    <row r="15" spans="1:15" x14ac:dyDescent="0.25">
      <c r="A15" s="34">
        <f t="shared" si="0"/>
        <v>6</v>
      </c>
      <c r="B15" s="191" t="s">
        <v>5</v>
      </c>
      <c r="C15" s="188">
        <v>102500</v>
      </c>
      <c r="D15" s="39">
        <v>0</v>
      </c>
      <c r="E15" s="39">
        <v>0</v>
      </c>
      <c r="F15" s="39">
        <v>0</v>
      </c>
      <c r="G15" s="39">
        <v>0</v>
      </c>
      <c r="H15" s="39">
        <v>0</v>
      </c>
      <c r="I15" s="39">
        <v>0</v>
      </c>
      <c r="J15" s="39">
        <v>236500</v>
      </c>
      <c r="K15" s="39">
        <v>0</v>
      </c>
      <c r="L15" s="39">
        <v>0</v>
      </c>
      <c r="M15" s="39">
        <v>0</v>
      </c>
      <c r="N15" s="39">
        <v>0</v>
      </c>
      <c r="O15" s="32">
        <f t="shared" si="1"/>
        <v>339000</v>
      </c>
    </row>
    <row r="16" spans="1:15" x14ac:dyDescent="0.25">
      <c r="A16" s="34">
        <f t="shared" si="0"/>
        <v>7</v>
      </c>
      <c r="B16" s="191" t="s">
        <v>6</v>
      </c>
      <c r="C16" s="189">
        <v>0</v>
      </c>
      <c r="D16" s="39">
        <v>0</v>
      </c>
      <c r="E16" s="39">
        <v>0</v>
      </c>
      <c r="F16" s="39">
        <v>0</v>
      </c>
      <c r="G16" s="39">
        <v>0</v>
      </c>
      <c r="H16" s="39">
        <v>0</v>
      </c>
      <c r="I16" s="39">
        <v>0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2">
        <f t="shared" si="1"/>
        <v>0</v>
      </c>
    </row>
    <row r="17" spans="1:15" x14ac:dyDescent="0.25">
      <c r="A17" s="34">
        <f t="shared" si="0"/>
        <v>8</v>
      </c>
      <c r="B17" s="191" t="s">
        <v>68</v>
      </c>
      <c r="C17" s="39">
        <v>0</v>
      </c>
      <c r="D17" s="39">
        <v>0</v>
      </c>
      <c r="E17" s="39">
        <v>0</v>
      </c>
      <c r="F17" s="39">
        <v>0</v>
      </c>
      <c r="G17" s="39">
        <v>0</v>
      </c>
      <c r="H17" s="39">
        <v>0</v>
      </c>
      <c r="I17" s="39">
        <v>0</v>
      </c>
      <c r="J17" s="39">
        <v>460000</v>
      </c>
      <c r="K17" s="39">
        <v>0</v>
      </c>
      <c r="L17" s="39">
        <v>0</v>
      </c>
      <c r="M17" s="39">
        <v>0</v>
      </c>
      <c r="N17" s="39">
        <v>0</v>
      </c>
      <c r="O17" s="32">
        <f t="shared" si="1"/>
        <v>460000</v>
      </c>
    </row>
    <row r="18" spans="1:15" x14ac:dyDescent="0.25">
      <c r="A18" s="30"/>
      <c r="B18" s="191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2" t="s">
        <v>7</v>
      </c>
    </row>
    <row r="19" spans="1:15" x14ac:dyDescent="0.25">
      <c r="A19" s="29" t="s">
        <v>11</v>
      </c>
      <c r="B19" s="191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2" t="s">
        <v>7</v>
      </c>
    </row>
    <row r="20" spans="1:15" x14ac:dyDescent="0.25">
      <c r="A20" s="34">
        <v>1</v>
      </c>
      <c r="B20" s="193" t="s">
        <v>166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2" t="s">
        <v>7</v>
      </c>
    </row>
    <row r="21" spans="1:15" x14ac:dyDescent="0.25">
      <c r="A21" s="34"/>
      <c r="B21" s="191" t="s">
        <v>26</v>
      </c>
      <c r="C21" s="188">
        <v>412090</v>
      </c>
      <c r="D21" s="39">
        <v>0</v>
      </c>
      <c r="E21" s="39">
        <v>0</v>
      </c>
      <c r="F21" s="39">
        <v>0</v>
      </c>
      <c r="G21" s="39">
        <v>0</v>
      </c>
      <c r="H21" s="39">
        <v>0</v>
      </c>
      <c r="I21" s="39">
        <v>0</v>
      </c>
      <c r="J21" s="39">
        <v>784650</v>
      </c>
      <c r="K21" s="39">
        <v>0</v>
      </c>
      <c r="L21" s="39">
        <v>0</v>
      </c>
      <c r="M21" s="39">
        <v>0</v>
      </c>
      <c r="N21" s="39">
        <v>0</v>
      </c>
      <c r="O21" s="32">
        <f>SUM(C21:N21)</f>
        <v>1196740</v>
      </c>
    </row>
    <row r="22" spans="1:15" x14ac:dyDescent="0.25">
      <c r="A22" s="34"/>
      <c r="B22" s="191" t="s">
        <v>27</v>
      </c>
      <c r="C22" s="39">
        <v>0</v>
      </c>
      <c r="D22" s="39">
        <v>0</v>
      </c>
      <c r="E22" s="39">
        <v>0</v>
      </c>
      <c r="F22" s="39">
        <v>0</v>
      </c>
      <c r="G22" s="39">
        <v>0</v>
      </c>
      <c r="H22" s="39">
        <v>0</v>
      </c>
      <c r="I22" s="39">
        <v>0</v>
      </c>
      <c r="J22" s="39">
        <v>205650</v>
      </c>
      <c r="K22" s="39">
        <v>0</v>
      </c>
      <c r="L22" s="39">
        <v>0</v>
      </c>
      <c r="M22" s="39">
        <v>0</v>
      </c>
      <c r="N22" s="39">
        <v>0</v>
      </c>
      <c r="O22" s="32">
        <f>SUM(C22:N22)</f>
        <v>205650</v>
      </c>
    </row>
    <row r="23" spans="1:15" x14ac:dyDescent="0.25">
      <c r="A23" s="34"/>
      <c r="B23" s="191" t="s">
        <v>28</v>
      </c>
      <c r="C23" s="39">
        <v>0</v>
      </c>
      <c r="D23" s="39">
        <v>0</v>
      </c>
      <c r="E23" s="39">
        <v>0</v>
      </c>
      <c r="F23" s="39">
        <v>0</v>
      </c>
      <c r="G23" s="39">
        <v>0</v>
      </c>
      <c r="H23" s="39">
        <v>0</v>
      </c>
      <c r="I23" s="39">
        <v>0</v>
      </c>
      <c r="J23" s="39">
        <v>74900</v>
      </c>
      <c r="K23" s="39">
        <v>0</v>
      </c>
      <c r="L23" s="39">
        <v>0</v>
      </c>
      <c r="M23" s="39">
        <v>0</v>
      </c>
      <c r="N23" s="39">
        <v>0</v>
      </c>
      <c r="O23" s="32">
        <f>SUM(C23:N23)</f>
        <v>74900</v>
      </c>
    </row>
    <row r="24" spans="1:15" x14ac:dyDescent="0.25">
      <c r="A24" s="34"/>
      <c r="B24" s="191" t="s">
        <v>44</v>
      </c>
      <c r="C24" s="39">
        <v>0</v>
      </c>
      <c r="D24" s="39">
        <v>0</v>
      </c>
      <c r="E24" s="39">
        <v>0</v>
      </c>
      <c r="F24" s="39">
        <v>0</v>
      </c>
      <c r="G24" s="39">
        <v>0</v>
      </c>
      <c r="H24" s="39">
        <v>0</v>
      </c>
      <c r="I24" s="39">
        <v>0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32">
        <f>SUM(C24:N24)</f>
        <v>0</v>
      </c>
    </row>
    <row r="25" spans="1:15" x14ac:dyDescent="0.25">
      <c r="A25" s="34">
        <v>1</v>
      </c>
      <c r="B25" s="193" t="s">
        <v>167</v>
      </c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2" t="s">
        <v>7</v>
      </c>
    </row>
    <row r="26" spans="1:15" x14ac:dyDescent="0.25">
      <c r="A26" s="34"/>
      <c r="B26" s="191" t="s">
        <v>26</v>
      </c>
      <c r="C26" s="39">
        <v>0</v>
      </c>
      <c r="D26" s="39">
        <v>0</v>
      </c>
      <c r="E26" s="39">
        <v>0</v>
      </c>
      <c r="F26" s="39">
        <v>0</v>
      </c>
      <c r="G26" s="39">
        <v>0</v>
      </c>
      <c r="H26" s="39">
        <v>0</v>
      </c>
      <c r="I26" s="39">
        <v>0</v>
      </c>
      <c r="J26" s="39">
        <v>0</v>
      </c>
      <c r="K26" s="39">
        <v>0</v>
      </c>
      <c r="L26" s="39">
        <v>0</v>
      </c>
      <c r="M26" s="39">
        <v>0</v>
      </c>
      <c r="N26" s="39">
        <v>0</v>
      </c>
      <c r="O26" s="32">
        <f>SUM(C26:N26)</f>
        <v>0</v>
      </c>
    </row>
    <row r="27" spans="1:15" x14ac:dyDescent="0.25">
      <c r="A27" s="34"/>
      <c r="B27" s="191" t="s">
        <v>27</v>
      </c>
      <c r="C27" s="39">
        <v>0</v>
      </c>
      <c r="D27" s="39">
        <v>0</v>
      </c>
      <c r="E27" s="39">
        <v>0</v>
      </c>
      <c r="F27" s="39">
        <v>0</v>
      </c>
      <c r="G27" s="39">
        <v>0</v>
      </c>
      <c r="H27" s="39">
        <v>0</v>
      </c>
      <c r="I27" s="39">
        <v>0</v>
      </c>
      <c r="J27" s="39">
        <v>0</v>
      </c>
      <c r="K27" s="39">
        <v>0</v>
      </c>
      <c r="L27" s="39">
        <v>0</v>
      </c>
      <c r="M27" s="39">
        <v>0</v>
      </c>
      <c r="N27" s="39">
        <v>0</v>
      </c>
      <c r="O27" s="32">
        <f>SUM(C27:N27)</f>
        <v>0</v>
      </c>
    </row>
    <row r="28" spans="1:15" x14ac:dyDescent="0.25">
      <c r="A28" s="34"/>
      <c r="B28" s="191" t="s">
        <v>28</v>
      </c>
      <c r="C28" s="39">
        <v>0</v>
      </c>
      <c r="D28" s="39">
        <v>0</v>
      </c>
      <c r="E28" s="39">
        <v>0</v>
      </c>
      <c r="F28" s="39">
        <v>0</v>
      </c>
      <c r="G28" s="39">
        <v>0</v>
      </c>
      <c r="H28" s="39">
        <v>0</v>
      </c>
      <c r="I28" s="39">
        <v>0</v>
      </c>
      <c r="J28" s="39">
        <v>0</v>
      </c>
      <c r="K28" s="39">
        <v>0</v>
      </c>
      <c r="L28" s="39">
        <v>0</v>
      </c>
      <c r="M28" s="39">
        <v>0</v>
      </c>
      <c r="N28" s="39">
        <v>0</v>
      </c>
      <c r="O28" s="32">
        <f>SUM(C28:N28)</f>
        <v>0</v>
      </c>
    </row>
    <row r="29" spans="1:15" x14ac:dyDescent="0.25">
      <c r="A29" s="34"/>
      <c r="B29" s="191" t="s">
        <v>44</v>
      </c>
      <c r="C29" s="39">
        <v>0</v>
      </c>
      <c r="D29" s="39">
        <v>0</v>
      </c>
      <c r="E29" s="39">
        <v>0</v>
      </c>
      <c r="F29" s="39">
        <v>0</v>
      </c>
      <c r="G29" s="39">
        <v>0</v>
      </c>
      <c r="H29" s="39">
        <v>0</v>
      </c>
      <c r="I29" s="39">
        <v>0</v>
      </c>
      <c r="J29" s="39">
        <v>0</v>
      </c>
      <c r="K29" s="39">
        <v>0</v>
      </c>
      <c r="L29" s="39">
        <v>0</v>
      </c>
      <c r="M29" s="39">
        <v>0</v>
      </c>
      <c r="N29" s="39">
        <v>0</v>
      </c>
      <c r="O29" s="32">
        <f>SUM(C29:N29)</f>
        <v>0</v>
      </c>
    </row>
    <row r="30" spans="1:15" x14ac:dyDescent="0.25">
      <c r="A30" s="34">
        <v>2</v>
      </c>
      <c r="B30" s="193" t="s">
        <v>2</v>
      </c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2" t="s">
        <v>7</v>
      </c>
    </row>
    <row r="31" spans="1:15" x14ac:dyDescent="0.25">
      <c r="A31" s="34"/>
      <c r="B31" s="191" t="s">
        <v>26</v>
      </c>
      <c r="C31" s="188">
        <v>600550</v>
      </c>
      <c r="D31" s="39">
        <v>0</v>
      </c>
      <c r="E31" s="39">
        <v>0</v>
      </c>
      <c r="F31" s="39">
        <v>0</v>
      </c>
      <c r="G31" s="39">
        <v>0</v>
      </c>
      <c r="H31" s="39">
        <v>0</v>
      </c>
      <c r="I31" s="39">
        <v>0</v>
      </c>
      <c r="J31" s="39">
        <v>1526450</v>
      </c>
      <c r="K31" s="39">
        <v>0</v>
      </c>
      <c r="L31" s="39">
        <v>0</v>
      </c>
      <c r="M31" s="39">
        <v>0</v>
      </c>
      <c r="N31" s="39">
        <v>0</v>
      </c>
      <c r="O31" s="32">
        <f t="shared" si="1"/>
        <v>2127000</v>
      </c>
    </row>
    <row r="32" spans="1:15" x14ac:dyDescent="0.25">
      <c r="A32" s="34"/>
      <c r="B32" s="191" t="s">
        <v>27</v>
      </c>
      <c r="C32" s="39">
        <v>0</v>
      </c>
      <c r="D32" s="39">
        <v>0</v>
      </c>
      <c r="E32" s="39">
        <v>0</v>
      </c>
      <c r="F32" s="39">
        <v>0</v>
      </c>
      <c r="G32" s="39">
        <v>0</v>
      </c>
      <c r="H32" s="39">
        <v>0</v>
      </c>
      <c r="I32" s="39">
        <v>0</v>
      </c>
      <c r="J32" s="39">
        <v>566700</v>
      </c>
      <c r="K32" s="39">
        <v>0</v>
      </c>
      <c r="L32" s="39">
        <v>0</v>
      </c>
      <c r="M32" s="39">
        <v>0</v>
      </c>
      <c r="N32" s="39">
        <v>0</v>
      </c>
      <c r="O32" s="32">
        <f t="shared" si="1"/>
        <v>566700</v>
      </c>
    </row>
    <row r="33" spans="1:15" x14ac:dyDescent="0.25">
      <c r="A33" s="34"/>
      <c r="B33" s="191" t="s">
        <v>28</v>
      </c>
      <c r="C33" s="39">
        <v>0</v>
      </c>
      <c r="D33" s="39">
        <v>0</v>
      </c>
      <c r="E33" s="39">
        <v>0</v>
      </c>
      <c r="F33" s="39">
        <v>0</v>
      </c>
      <c r="G33" s="39">
        <v>0</v>
      </c>
      <c r="H33" s="39">
        <v>0</v>
      </c>
      <c r="I33" s="39">
        <v>0</v>
      </c>
      <c r="J33" s="39">
        <v>223700</v>
      </c>
      <c r="K33" s="39">
        <v>0</v>
      </c>
      <c r="L33" s="39">
        <v>0</v>
      </c>
      <c r="M33" s="39">
        <v>0</v>
      </c>
      <c r="N33" s="39">
        <v>0</v>
      </c>
      <c r="O33" s="32">
        <f t="shared" si="1"/>
        <v>223700</v>
      </c>
    </row>
    <row r="34" spans="1:15" x14ac:dyDescent="0.25">
      <c r="A34" s="34"/>
      <c r="B34" s="191" t="s">
        <v>44</v>
      </c>
      <c r="C34" s="39">
        <v>0</v>
      </c>
      <c r="D34" s="39">
        <v>0</v>
      </c>
      <c r="E34" s="39">
        <v>0</v>
      </c>
      <c r="F34" s="39">
        <v>0</v>
      </c>
      <c r="G34" s="39">
        <v>0</v>
      </c>
      <c r="H34" s="39">
        <v>0</v>
      </c>
      <c r="I34" s="39">
        <v>0</v>
      </c>
      <c r="J34" s="39">
        <v>0</v>
      </c>
      <c r="K34" s="39">
        <v>0</v>
      </c>
      <c r="L34" s="39">
        <v>0</v>
      </c>
      <c r="M34" s="39">
        <v>0</v>
      </c>
      <c r="N34" s="39">
        <v>0</v>
      </c>
      <c r="O34" s="32">
        <f t="shared" si="1"/>
        <v>0</v>
      </c>
    </row>
    <row r="35" spans="1:15" x14ac:dyDescent="0.25">
      <c r="A35" s="34">
        <v>3</v>
      </c>
      <c r="B35" s="193" t="s">
        <v>3</v>
      </c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2" t="s">
        <v>7</v>
      </c>
    </row>
    <row r="36" spans="1:15" x14ac:dyDescent="0.25">
      <c r="A36" s="34"/>
      <c r="B36" s="191" t="s">
        <v>26</v>
      </c>
      <c r="C36" s="39">
        <v>0</v>
      </c>
      <c r="D36" s="39">
        <v>0</v>
      </c>
      <c r="E36" s="39">
        <v>0</v>
      </c>
      <c r="F36" s="39">
        <v>0</v>
      </c>
      <c r="G36" s="39">
        <v>0</v>
      </c>
      <c r="H36" s="39">
        <v>0</v>
      </c>
      <c r="I36" s="39">
        <v>0</v>
      </c>
      <c r="J36" s="39">
        <v>0</v>
      </c>
      <c r="K36" s="39">
        <v>0</v>
      </c>
      <c r="L36" s="39">
        <v>0</v>
      </c>
      <c r="M36" s="39">
        <v>0</v>
      </c>
      <c r="N36" s="39">
        <v>0</v>
      </c>
      <c r="O36" s="32">
        <f t="shared" si="1"/>
        <v>0</v>
      </c>
    </row>
    <row r="37" spans="1:15" x14ac:dyDescent="0.25">
      <c r="A37" s="34"/>
      <c r="B37" s="191" t="s">
        <v>27</v>
      </c>
      <c r="C37" s="39">
        <v>0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2">
        <f t="shared" si="1"/>
        <v>0</v>
      </c>
    </row>
    <row r="38" spans="1:15" x14ac:dyDescent="0.25">
      <c r="A38" s="34"/>
      <c r="B38" s="191" t="s">
        <v>28</v>
      </c>
      <c r="C38" s="39">
        <v>0</v>
      </c>
      <c r="D38" s="39">
        <v>0</v>
      </c>
      <c r="E38" s="39">
        <v>0</v>
      </c>
      <c r="F38" s="39">
        <v>0</v>
      </c>
      <c r="G38" s="39">
        <v>0</v>
      </c>
      <c r="H38" s="39">
        <v>0</v>
      </c>
      <c r="I38" s="39">
        <v>0</v>
      </c>
      <c r="J38" s="39">
        <v>0</v>
      </c>
      <c r="K38" s="39">
        <v>0</v>
      </c>
      <c r="L38" s="39">
        <v>0</v>
      </c>
      <c r="M38" s="39">
        <v>0</v>
      </c>
      <c r="N38" s="39">
        <v>0</v>
      </c>
      <c r="O38" s="32">
        <f t="shared" si="1"/>
        <v>0</v>
      </c>
    </row>
    <row r="39" spans="1:15" x14ac:dyDescent="0.25">
      <c r="A39" s="34"/>
      <c r="B39" s="191" t="s">
        <v>44</v>
      </c>
      <c r="C39" s="39">
        <v>0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2">
        <f t="shared" si="1"/>
        <v>0</v>
      </c>
    </row>
    <row r="40" spans="1:15" x14ac:dyDescent="0.25">
      <c r="A40" s="34">
        <v>4</v>
      </c>
      <c r="B40" s="193" t="s">
        <v>4</v>
      </c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2" t="s">
        <v>7</v>
      </c>
    </row>
    <row r="41" spans="1:15" x14ac:dyDescent="0.25">
      <c r="A41" s="34"/>
      <c r="B41" s="191" t="s">
        <v>26</v>
      </c>
      <c r="C41" s="39">
        <v>0</v>
      </c>
      <c r="D41" s="39">
        <v>0</v>
      </c>
      <c r="E41" s="39">
        <v>0</v>
      </c>
      <c r="F41" s="39">
        <v>0</v>
      </c>
      <c r="G41" s="39">
        <v>0</v>
      </c>
      <c r="H41" s="39">
        <v>0</v>
      </c>
      <c r="I41" s="39">
        <v>0</v>
      </c>
      <c r="J41" s="39">
        <v>0</v>
      </c>
      <c r="K41" s="39">
        <v>0</v>
      </c>
      <c r="L41" s="39">
        <v>0</v>
      </c>
      <c r="M41" s="39">
        <v>0</v>
      </c>
      <c r="N41" s="39">
        <v>0</v>
      </c>
      <c r="O41" s="32">
        <f t="shared" si="1"/>
        <v>0</v>
      </c>
    </row>
    <row r="42" spans="1:15" x14ac:dyDescent="0.25">
      <c r="A42" s="34"/>
      <c r="B42" s="191" t="s">
        <v>27</v>
      </c>
      <c r="C42" s="39">
        <v>0</v>
      </c>
      <c r="D42" s="39">
        <v>0</v>
      </c>
      <c r="E42" s="39">
        <v>0</v>
      </c>
      <c r="F42" s="39">
        <v>0</v>
      </c>
      <c r="G42" s="39">
        <v>0</v>
      </c>
      <c r="H42" s="39">
        <v>0</v>
      </c>
      <c r="I42" s="39">
        <v>0</v>
      </c>
      <c r="J42" s="39">
        <v>0</v>
      </c>
      <c r="K42" s="39">
        <v>0</v>
      </c>
      <c r="L42" s="39">
        <v>0</v>
      </c>
      <c r="M42" s="39">
        <v>0</v>
      </c>
      <c r="N42" s="39">
        <v>0</v>
      </c>
      <c r="O42" s="32">
        <f t="shared" si="1"/>
        <v>0</v>
      </c>
    </row>
    <row r="43" spans="1:15" x14ac:dyDescent="0.25">
      <c r="A43" s="34"/>
      <c r="B43" s="191" t="s">
        <v>28</v>
      </c>
      <c r="C43" s="39">
        <v>0</v>
      </c>
      <c r="D43" s="39">
        <v>0</v>
      </c>
      <c r="E43" s="39">
        <v>0</v>
      </c>
      <c r="F43" s="39">
        <v>0</v>
      </c>
      <c r="G43" s="39">
        <v>0</v>
      </c>
      <c r="H43" s="39">
        <v>0</v>
      </c>
      <c r="I43" s="39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2">
        <f t="shared" si="1"/>
        <v>0</v>
      </c>
    </row>
    <row r="44" spans="1:15" x14ac:dyDescent="0.25">
      <c r="A44" s="34"/>
      <c r="B44" s="191" t="s">
        <v>44</v>
      </c>
      <c r="C44" s="39">
        <v>0</v>
      </c>
      <c r="D44" s="39">
        <v>0</v>
      </c>
      <c r="E44" s="39">
        <v>0</v>
      </c>
      <c r="F44" s="39">
        <v>0</v>
      </c>
      <c r="G44" s="39">
        <v>0</v>
      </c>
      <c r="H44" s="39">
        <v>0</v>
      </c>
      <c r="I44" s="39">
        <v>0</v>
      </c>
      <c r="J44" s="39">
        <v>0</v>
      </c>
      <c r="K44" s="39">
        <v>0</v>
      </c>
      <c r="L44" s="39">
        <v>0</v>
      </c>
      <c r="M44" s="39">
        <v>0</v>
      </c>
      <c r="N44" s="39">
        <v>0</v>
      </c>
      <c r="O44" s="32">
        <f t="shared" si="1"/>
        <v>0</v>
      </c>
    </row>
    <row r="45" spans="1:15" x14ac:dyDescent="0.25">
      <c r="A45" s="34">
        <v>5</v>
      </c>
      <c r="B45" s="193" t="s">
        <v>5</v>
      </c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2" t="s">
        <v>7</v>
      </c>
    </row>
    <row r="46" spans="1:15" x14ac:dyDescent="0.25">
      <c r="A46" s="34"/>
      <c r="B46" s="191" t="s">
        <v>26</v>
      </c>
      <c r="C46" s="39">
        <v>0</v>
      </c>
      <c r="D46" s="39">
        <v>0</v>
      </c>
      <c r="E46" s="39">
        <v>0</v>
      </c>
      <c r="F46" s="39">
        <v>0</v>
      </c>
      <c r="G46" s="39">
        <v>0</v>
      </c>
      <c r="H46" s="39">
        <v>0</v>
      </c>
      <c r="I46" s="39">
        <v>0</v>
      </c>
      <c r="J46" s="39">
        <v>0</v>
      </c>
      <c r="K46" s="39">
        <v>0</v>
      </c>
      <c r="L46" s="39">
        <v>0</v>
      </c>
      <c r="M46" s="39">
        <v>0</v>
      </c>
      <c r="N46" s="39">
        <v>0</v>
      </c>
      <c r="O46" s="32">
        <f t="shared" si="1"/>
        <v>0</v>
      </c>
    </row>
    <row r="47" spans="1:15" x14ac:dyDescent="0.25">
      <c r="A47" s="34"/>
      <c r="B47" s="191" t="s">
        <v>27</v>
      </c>
      <c r="C47" s="39">
        <v>0</v>
      </c>
      <c r="D47" s="39">
        <v>0</v>
      </c>
      <c r="E47" s="39">
        <v>0</v>
      </c>
      <c r="F47" s="39">
        <v>0</v>
      </c>
      <c r="G47" s="39">
        <v>0</v>
      </c>
      <c r="H47" s="39">
        <v>0</v>
      </c>
      <c r="I47" s="39">
        <v>0</v>
      </c>
      <c r="J47" s="39">
        <v>0</v>
      </c>
      <c r="K47" s="39">
        <v>0</v>
      </c>
      <c r="L47" s="39">
        <v>0</v>
      </c>
      <c r="M47" s="39">
        <v>0</v>
      </c>
      <c r="N47" s="39">
        <v>0</v>
      </c>
      <c r="O47" s="32">
        <f t="shared" si="1"/>
        <v>0</v>
      </c>
    </row>
    <row r="48" spans="1:15" x14ac:dyDescent="0.25">
      <c r="A48" s="34"/>
      <c r="B48" s="191" t="s">
        <v>28</v>
      </c>
      <c r="C48" s="39">
        <v>0</v>
      </c>
      <c r="D48" s="39">
        <v>0</v>
      </c>
      <c r="E48" s="39">
        <v>0</v>
      </c>
      <c r="F48" s="39">
        <v>0</v>
      </c>
      <c r="G48" s="39">
        <v>0</v>
      </c>
      <c r="H48" s="39">
        <v>0</v>
      </c>
      <c r="I48" s="39">
        <v>0</v>
      </c>
      <c r="J48" s="39">
        <v>0</v>
      </c>
      <c r="K48" s="39">
        <v>0</v>
      </c>
      <c r="L48" s="39">
        <v>0</v>
      </c>
      <c r="M48" s="39">
        <v>0</v>
      </c>
      <c r="N48" s="39">
        <v>0</v>
      </c>
      <c r="O48" s="32">
        <f t="shared" si="1"/>
        <v>0</v>
      </c>
    </row>
    <row r="49" spans="1:15" x14ac:dyDescent="0.25">
      <c r="A49" s="34"/>
      <c r="B49" s="191" t="s">
        <v>44</v>
      </c>
      <c r="C49" s="39">
        <v>0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2">
        <f t="shared" si="1"/>
        <v>0</v>
      </c>
    </row>
    <row r="50" spans="1:15" x14ac:dyDescent="0.25">
      <c r="A50" s="34">
        <v>6</v>
      </c>
      <c r="B50" s="193" t="s">
        <v>6</v>
      </c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2">
        <f t="shared" si="1"/>
        <v>0</v>
      </c>
    </row>
    <row r="51" spans="1:15" x14ac:dyDescent="0.25">
      <c r="A51" s="34"/>
      <c r="B51" s="191" t="s">
        <v>26</v>
      </c>
      <c r="C51" s="39">
        <v>0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2">
        <f t="shared" si="1"/>
        <v>0</v>
      </c>
    </row>
    <row r="52" spans="1:15" x14ac:dyDescent="0.25">
      <c r="A52" s="34"/>
      <c r="B52" s="191" t="s">
        <v>27</v>
      </c>
      <c r="C52" s="39">
        <v>0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2">
        <f t="shared" si="1"/>
        <v>0</v>
      </c>
    </row>
    <row r="53" spans="1:15" x14ac:dyDescent="0.25">
      <c r="A53" s="34"/>
      <c r="B53" s="191" t="s">
        <v>28</v>
      </c>
      <c r="C53" s="39">
        <v>0</v>
      </c>
      <c r="D53" s="39">
        <v>0</v>
      </c>
      <c r="E53" s="39">
        <v>0</v>
      </c>
      <c r="F53" s="39">
        <v>0</v>
      </c>
      <c r="G53" s="39">
        <v>0</v>
      </c>
      <c r="H53" s="39">
        <v>0</v>
      </c>
      <c r="I53" s="39">
        <v>0</v>
      </c>
      <c r="J53" s="39">
        <v>0</v>
      </c>
      <c r="K53" s="39">
        <v>0</v>
      </c>
      <c r="L53" s="39">
        <v>0</v>
      </c>
      <c r="M53" s="39">
        <v>0</v>
      </c>
      <c r="N53" s="39">
        <v>0</v>
      </c>
      <c r="O53" s="32">
        <f t="shared" si="1"/>
        <v>0</v>
      </c>
    </row>
    <row r="54" spans="1:15" x14ac:dyDescent="0.25">
      <c r="A54" s="34"/>
      <c r="B54" s="191" t="s">
        <v>44</v>
      </c>
      <c r="C54" s="39">
        <v>0</v>
      </c>
      <c r="D54" s="39">
        <v>0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2">
        <f t="shared" si="1"/>
        <v>0</v>
      </c>
    </row>
    <row r="55" spans="1:15" x14ac:dyDescent="0.25">
      <c r="A55" s="34">
        <v>7</v>
      </c>
      <c r="B55" s="193" t="s">
        <v>69</v>
      </c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2" t="s">
        <v>7</v>
      </c>
    </row>
    <row r="56" spans="1:15" x14ac:dyDescent="0.25">
      <c r="A56" s="34"/>
      <c r="B56" s="191" t="s">
        <v>26</v>
      </c>
      <c r="C56" s="39">
        <v>0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2">
        <f t="shared" si="1"/>
        <v>0</v>
      </c>
    </row>
    <row r="57" spans="1:15" x14ac:dyDescent="0.25">
      <c r="A57" s="34"/>
      <c r="B57" s="191" t="s">
        <v>27</v>
      </c>
      <c r="C57" s="39">
        <v>0</v>
      </c>
      <c r="D57" s="39">
        <v>0</v>
      </c>
      <c r="E57" s="39">
        <v>0</v>
      </c>
      <c r="F57" s="39">
        <v>0</v>
      </c>
      <c r="G57" s="39">
        <v>0</v>
      </c>
      <c r="H57" s="39">
        <v>0</v>
      </c>
      <c r="I57" s="39">
        <v>0</v>
      </c>
      <c r="J57" s="39">
        <v>0</v>
      </c>
      <c r="K57" s="39">
        <v>0</v>
      </c>
      <c r="L57" s="39">
        <v>0</v>
      </c>
      <c r="M57" s="39">
        <v>0</v>
      </c>
      <c r="N57" s="39">
        <v>0</v>
      </c>
      <c r="O57" s="32">
        <f t="shared" si="1"/>
        <v>0</v>
      </c>
    </row>
    <row r="58" spans="1:15" x14ac:dyDescent="0.25">
      <c r="A58" s="34"/>
      <c r="B58" s="191" t="s">
        <v>28</v>
      </c>
      <c r="C58" s="39">
        <v>0</v>
      </c>
      <c r="D58" s="39">
        <v>0</v>
      </c>
      <c r="E58" s="39">
        <v>0</v>
      </c>
      <c r="F58" s="39">
        <v>0</v>
      </c>
      <c r="G58" s="39">
        <v>0</v>
      </c>
      <c r="H58" s="39">
        <v>0</v>
      </c>
      <c r="I58" s="39">
        <v>0</v>
      </c>
      <c r="J58" s="39">
        <v>0</v>
      </c>
      <c r="K58" s="39">
        <v>0</v>
      </c>
      <c r="L58" s="39">
        <v>0</v>
      </c>
      <c r="M58" s="39">
        <v>0</v>
      </c>
      <c r="N58" s="39">
        <v>0</v>
      </c>
      <c r="O58" s="32">
        <f t="shared" si="1"/>
        <v>0</v>
      </c>
    </row>
    <row r="59" spans="1:15" x14ac:dyDescent="0.25">
      <c r="A59" s="34"/>
      <c r="B59" s="191" t="s">
        <v>44</v>
      </c>
      <c r="C59" s="39">
        <v>0</v>
      </c>
      <c r="D59" s="39">
        <v>0</v>
      </c>
      <c r="E59" s="39">
        <v>0</v>
      </c>
      <c r="F59" s="39">
        <v>0</v>
      </c>
      <c r="G59" s="39">
        <v>0</v>
      </c>
      <c r="H59" s="39">
        <v>0</v>
      </c>
      <c r="I59" s="39">
        <v>0</v>
      </c>
      <c r="J59" s="39">
        <v>0</v>
      </c>
      <c r="K59" s="39">
        <v>0</v>
      </c>
      <c r="L59" s="39">
        <v>0</v>
      </c>
      <c r="M59" s="39">
        <v>0</v>
      </c>
      <c r="N59" s="39">
        <v>0</v>
      </c>
      <c r="O59" s="32">
        <f t="shared" si="1"/>
        <v>0</v>
      </c>
    </row>
    <row r="60" spans="1:15" x14ac:dyDescent="0.25">
      <c r="A60" s="48"/>
      <c r="B60" s="49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1" t="s">
        <v>7</v>
      </c>
    </row>
    <row r="61" spans="1:15" x14ac:dyDescent="0.25">
      <c r="A61" s="29" t="s">
        <v>16</v>
      </c>
      <c r="B61" s="191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2">
        <f t="shared" si="1"/>
        <v>0</v>
      </c>
    </row>
    <row r="62" spans="1:15" x14ac:dyDescent="0.25">
      <c r="A62" s="34">
        <v>1</v>
      </c>
      <c r="B62" s="191" t="s">
        <v>17</v>
      </c>
      <c r="C62" s="39">
        <v>0</v>
      </c>
      <c r="D62" s="39">
        <v>0</v>
      </c>
      <c r="E62" s="39">
        <v>0</v>
      </c>
      <c r="F62" s="39">
        <v>0</v>
      </c>
      <c r="G62" s="39">
        <v>0</v>
      </c>
      <c r="H62" s="39">
        <v>0</v>
      </c>
      <c r="I62" s="39">
        <v>0</v>
      </c>
      <c r="J62" s="39">
        <v>0</v>
      </c>
      <c r="K62" s="39">
        <v>0</v>
      </c>
      <c r="L62" s="39">
        <v>0</v>
      </c>
      <c r="M62" s="39">
        <v>0</v>
      </c>
      <c r="N62" s="39">
        <v>0</v>
      </c>
      <c r="O62" s="32">
        <f t="shared" si="1"/>
        <v>0</v>
      </c>
    </row>
    <row r="63" spans="1:15" x14ac:dyDescent="0.25">
      <c r="A63" s="34">
        <v>2</v>
      </c>
      <c r="B63" s="191" t="s">
        <v>29</v>
      </c>
      <c r="C63" s="188">
        <v>6471180</v>
      </c>
      <c r="D63" s="39">
        <v>0</v>
      </c>
      <c r="E63" s="39">
        <v>0</v>
      </c>
      <c r="F63" s="39">
        <v>0</v>
      </c>
      <c r="G63" s="39">
        <v>0</v>
      </c>
      <c r="H63" s="39">
        <v>0</v>
      </c>
      <c r="I63" s="39">
        <v>0</v>
      </c>
      <c r="J63" s="39">
        <v>8255910</v>
      </c>
      <c r="K63" s="39">
        <v>0</v>
      </c>
      <c r="L63" s="39">
        <v>0</v>
      </c>
      <c r="M63" s="39">
        <v>0</v>
      </c>
      <c r="N63" s="39">
        <v>0</v>
      </c>
      <c r="O63" s="32">
        <f t="shared" si="1"/>
        <v>14727090</v>
      </c>
    </row>
    <row r="64" spans="1:15" x14ac:dyDescent="0.25">
      <c r="A64" s="34">
        <v>2</v>
      </c>
      <c r="B64" s="191" t="s">
        <v>14</v>
      </c>
      <c r="C64" s="39">
        <v>0</v>
      </c>
      <c r="D64" s="39">
        <v>0</v>
      </c>
      <c r="E64" s="39">
        <v>0</v>
      </c>
      <c r="F64" s="39">
        <v>0</v>
      </c>
      <c r="G64" s="39">
        <v>0</v>
      </c>
      <c r="H64" s="39">
        <v>0</v>
      </c>
      <c r="I64" s="39">
        <v>0</v>
      </c>
      <c r="J64" s="39">
        <v>0</v>
      </c>
      <c r="K64" s="39">
        <v>0</v>
      </c>
      <c r="L64" s="39">
        <v>0</v>
      </c>
      <c r="M64" s="39">
        <v>0</v>
      </c>
      <c r="N64" s="39">
        <v>0</v>
      </c>
      <c r="O64" s="32">
        <f t="shared" si="1"/>
        <v>0</v>
      </c>
    </row>
    <row r="65" spans="1:15" x14ac:dyDescent="0.25">
      <c r="A65" s="34">
        <v>3</v>
      </c>
      <c r="B65" s="191" t="s">
        <v>15</v>
      </c>
      <c r="C65" s="39">
        <v>0</v>
      </c>
      <c r="D65" s="39">
        <v>0</v>
      </c>
      <c r="E65" s="39">
        <v>0</v>
      </c>
      <c r="F65" s="39">
        <v>0</v>
      </c>
      <c r="G65" s="39">
        <v>0</v>
      </c>
      <c r="H65" s="39">
        <v>0</v>
      </c>
      <c r="I65" s="39">
        <v>0</v>
      </c>
      <c r="J65" s="39">
        <v>0</v>
      </c>
      <c r="K65" s="39">
        <v>0</v>
      </c>
      <c r="L65" s="39">
        <v>0</v>
      </c>
      <c r="M65" s="39">
        <v>0</v>
      </c>
      <c r="N65" s="39">
        <v>0</v>
      </c>
      <c r="O65" s="32">
        <f t="shared" ref="O65" si="2">SUM(C65:N65)</f>
        <v>0</v>
      </c>
    </row>
    <row r="66" spans="1:15" x14ac:dyDescent="0.25">
      <c r="A66" s="34">
        <v>4</v>
      </c>
      <c r="B66" s="191" t="s">
        <v>147</v>
      </c>
      <c r="C66" s="39">
        <v>0</v>
      </c>
      <c r="D66" s="39">
        <v>0</v>
      </c>
      <c r="E66" s="39">
        <v>0</v>
      </c>
      <c r="F66" s="39">
        <v>0</v>
      </c>
      <c r="G66" s="39">
        <v>0</v>
      </c>
      <c r="H66" s="39">
        <v>0</v>
      </c>
      <c r="I66" s="39">
        <v>0</v>
      </c>
      <c r="J66" s="39">
        <v>0</v>
      </c>
      <c r="K66" s="39">
        <v>0</v>
      </c>
      <c r="L66" s="39">
        <v>0</v>
      </c>
      <c r="M66" s="39">
        <v>0</v>
      </c>
      <c r="N66" s="39">
        <v>0</v>
      </c>
      <c r="O66" s="32">
        <f t="shared" si="1"/>
        <v>0</v>
      </c>
    </row>
    <row r="67" spans="1:15" x14ac:dyDescent="0.25">
      <c r="A67" s="48"/>
      <c r="B67" s="49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1" t="s">
        <v>7</v>
      </c>
    </row>
    <row r="68" spans="1:15" x14ac:dyDescent="0.25">
      <c r="A68" s="29" t="s">
        <v>18</v>
      </c>
      <c r="B68" s="191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2" t="s">
        <v>7</v>
      </c>
    </row>
    <row r="69" spans="1:15" x14ac:dyDescent="0.25">
      <c r="A69" s="35">
        <v>1</v>
      </c>
      <c r="B69" s="191" t="str">
        <f>+'Suppliers Report'!B6</f>
        <v>Universal Industries</v>
      </c>
      <c r="C69" s="188">
        <v>208900</v>
      </c>
      <c r="D69" s="39">
        <v>0</v>
      </c>
      <c r="E69" s="39">
        <v>0</v>
      </c>
      <c r="F69" s="39">
        <v>0</v>
      </c>
      <c r="G69" s="39">
        <v>0</v>
      </c>
      <c r="H69" s="39">
        <v>0</v>
      </c>
      <c r="I69" s="39">
        <v>0</v>
      </c>
      <c r="J69" s="39">
        <v>323500.02</v>
      </c>
      <c r="K69" s="39">
        <v>0</v>
      </c>
      <c r="L69" s="39">
        <v>0</v>
      </c>
      <c r="M69" s="39">
        <v>0</v>
      </c>
      <c r="N69" s="39">
        <v>0</v>
      </c>
      <c r="O69" s="32">
        <f t="shared" si="1"/>
        <v>532400.02</v>
      </c>
    </row>
    <row r="70" spans="1:15" x14ac:dyDescent="0.25">
      <c r="A70" s="35">
        <f>SUM(A69+1)</f>
        <v>2</v>
      </c>
      <c r="B70" s="191" t="str">
        <f>+'Suppliers Report'!B7</f>
        <v>Bottled Water</v>
      </c>
      <c r="C70" s="38">
        <f t="shared" ref="C70:K70" si="3">SUM(C71:C76)</f>
        <v>333954</v>
      </c>
      <c r="D70" s="38">
        <f t="shared" si="3"/>
        <v>0</v>
      </c>
      <c r="E70" s="38">
        <f t="shared" si="3"/>
        <v>0</v>
      </c>
      <c r="F70" s="38">
        <f t="shared" si="3"/>
        <v>0</v>
      </c>
      <c r="G70" s="38">
        <f t="shared" si="3"/>
        <v>0</v>
      </c>
      <c r="H70" s="38">
        <f t="shared" si="3"/>
        <v>0</v>
      </c>
      <c r="I70" s="38">
        <f t="shared" si="3"/>
        <v>0</v>
      </c>
      <c r="J70" s="38">
        <f t="shared" si="3"/>
        <v>0</v>
      </c>
      <c r="K70" s="38">
        <f t="shared" si="3"/>
        <v>0</v>
      </c>
      <c r="L70" s="38">
        <f t="shared" ref="L70:N70" si="4">SUM(L71:L76)</f>
        <v>0</v>
      </c>
      <c r="M70" s="38">
        <f t="shared" si="4"/>
        <v>0</v>
      </c>
      <c r="N70" s="38">
        <f t="shared" si="4"/>
        <v>0</v>
      </c>
      <c r="O70" s="32">
        <f t="shared" si="1"/>
        <v>333954</v>
      </c>
    </row>
    <row r="71" spans="1:15" x14ac:dyDescent="0.25">
      <c r="A71" s="35"/>
      <c r="B71" s="191" t="s">
        <v>110</v>
      </c>
      <c r="C71" s="188">
        <v>191954</v>
      </c>
      <c r="D71" s="39">
        <v>0</v>
      </c>
      <c r="E71" s="39">
        <v>0</v>
      </c>
      <c r="F71" s="39">
        <v>0</v>
      </c>
      <c r="G71" s="39">
        <v>0</v>
      </c>
      <c r="H71" s="39">
        <v>0</v>
      </c>
      <c r="I71" s="39">
        <v>0</v>
      </c>
      <c r="J71" s="39">
        <v>0</v>
      </c>
      <c r="K71" s="39">
        <v>0</v>
      </c>
      <c r="L71" s="39">
        <v>0</v>
      </c>
      <c r="M71" s="39">
        <v>0</v>
      </c>
      <c r="N71" s="39">
        <v>0</v>
      </c>
      <c r="O71" s="32">
        <f t="shared" si="1"/>
        <v>191954</v>
      </c>
    </row>
    <row r="72" spans="1:15" x14ac:dyDescent="0.25">
      <c r="A72" s="35"/>
      <c r="B72" s="191" t="s">
        <v>112</v>
      </c>
      <c r="C72" s="39">
        <v>0</v>
      </c>
      <c r="D72" s="39">
        <v>0</v>
      </c>
      <c r="E72" s="39">
        <v>0</v>
      </c>
      <c r="F72" s="39">
        <v>0</v>
      </c>
      <c r="G72" s="39">
        <v>0</v>
      </c>
      <c r="H72" s="39">
        <v>0</v>
      </c>
      <c r="I72" s="39">
        <v>0</v>
      </c>
      <c r="J72" s="39">
        <v>0</v>
      </c>
      <c r="K72" s="39">
        <v>0</v>
      </c>
      <c r="L72" s="39">
        <v>0</v>
      </c>
      <c r="M72" s="39">
        <v>0</v>
      </c>
      <c r="N72" s="39">
        <v>0</v>
      </c>
      <c r="O72" s="32">
        <f t="shared" si="1"/>
        <v>0</v>
      </c>
    </row>
    <row r="73" spans="1:15" x14ac:dyDescent="0.25">
      <c r="A73" s="35"/>
      <c r="B73" s="191" t="s">
        <v>109</v>
      </c>
      <c r="C73" s="39">
        <v>0</v>
      </c>
      <c r="D73" s="39">
        <v>0</v>
      </c>
      <c r="E73" s="39">
        <v>0</v>
      </c>
      <c r="F73" s="39">
        <v>0</v>
      </c>
      <c r="G73" s="39">
        <v>0</v>
      </c>
      <c r="H73" s="39">
        <v>0</v>
      </c>
      <c r="I73" s="39">
        <v>0</v>
      </c>
      <c r="J73" s="39">
        <v>0</v>
      </c>
      <c r="K73" s="39">
        <v>0</v>
      </c>
      <c r="L73" s="39">
        <v>0</v>
      </c>
      <c r="M73" s="39">
        <v>0</v>
      </c>
      <c r="N73" s="39">
        <v>0</v>
      </c>
      <c r="O73" s="32">
        <f t="shared" si="1"/>
        <v>0</v>
      </c>
    </row>
    <row r="74" spans="1:15" x14ac:dyDescent="0.25">
      <c r="A74" s="35"/>
      <c r="B74" s="191" t="s">
        <v>111</v>
      </c>
      <c r="C74" s="39">
        <v>0</v>
      </c>
      <c r="D74" s="39">
        <v>0</v>
      </c>
      <c r="E74" s="39">
        <v>0</v>
      </c>
      <c r="F74" s="39">
        <v>0</v>
      </c>
      <c r="G74" s="39">
        <v>0</v>
      </c>
      <c r="H74" s="39">
        <v>0</v>
      </c>
      <c r="I74" s="39">
        <v>0</v>
      </c>
      <c r="J74" s="39">
        <v>0</v>
      </c>
      <c r="K74" s="39">
        <v>0</v>
      </c>
      <c r="L74" s="39">
        <v>0</v>
      </c>
      <c r="M74" s="39">
        <v>0</v>
      </c>
      <c r="N74" s="39">
        <v>0</v>
      </c>
      <c r="O74" s="32">
        <f t="shared" si="1"/>
        <v>0</v>
      </c>
    </row>
    <row r="75" spans="1:15" x14ac:dyDescent="0.25">
      <c r="A75" s="35"/>
      <c r="B75" s="191" t="s">
        <v>113</v>
      </c>
      <c r="C75" s="188">
        <v>142000</v>
      </c>
      <c r="D75" s="39">
        <v>0</v>
      </c>
      <c r="E75" s="39">
        <v>0</v>
      </c>
      <c r="F75" s="39">
        <v>0</v>
      </c>
      <c r="G75" s="39">
        <v>0</v>
      </c>
      <c r="H75" s="39">
        <v>0</v>
      </c>
      <c r="I75" s="39">
        <v>0</v>
      </c>
      <c r="J75" s="39">
        <v>0</v>
      </c>
      <c r="K75" s="39">
        <v>0</v>
      </c>
      <c r="L75" s="39">
        <v>0</v>
      </c>
      <c r="M75" s="39">
        <v>0</v>
      </c>
      <c r="N75" s="39">
        <v>0</v>
      </c>
      <c r="O75" s="32">
        <f t="shared" si="1"/>
        <v>142000</v>
      </c>
    </row>
    <row r="76" spans="1:15" x14ac:dyDescent="0.25">
      <c r="A76" s="35"/>
      <c r="B76" s="191" t="s">
        <v>114</v>
      </c>
      <c r="C76" s="39">
        <v>0</v>
      </c>
      <c r="D76" s="39">
        <v>0</v>
      </c>
      <c r="E76" s="39">
        <v>0</v>
      </c>
      <c r="F76" s="39">
        <v>0</v>
      </c>
      <c r="G76" s="39">
        <v>0</v>
      </c>
      <c r="H76" s="39">
        <v>0</v>
      </c>
      <c r="I76" s="39">
        <v>0</v>
      </c>
      <c r="J76" s="39">
        <v>0</v>
      </c>
      <c r="K76" s="39">
        <v>0</v>
      </c>
      <c r="L76" s="39">
        <v>0</v>
      </c>
      <c r="M76" s="39">
        <v>0</v>
      </c>
      <c r="N76" s="39">
        <v>0</v>
      </c>
      <c r="O76" s="32">
        <f t="shared" si="1"/>
        <v>0</v>
      </c>
    </row>
    <row r="77" spans="1:15" x14ac:dyDescent="0.25">
      <c r="A77" s="35">
        <f>SUM(A70+1)</f>
        <v>3</v>
      </c>
      <c r="B77" s="191" t="str">
        <f>+'Suppliers Report'!B8</f>
        <v>Bakeries</v>
      </c>
      <c r="C77" s="188">
        <v>128300</v>
      </c>
      <c r="D77" s="39">
        <v>0</v>
      </c>
      <c r="E77" s="39">
        <v>0</v>
      </c>
      <c r="F77" s="39">
        <v>0</v>
      </c>
      <c r="G77" s="39">
        <v>0</v>
      </c>
      <c r="H77" s="39">
        <v>0</v>
      </c>
      <c r="I77" s="39">
        <v>0</v>
      </c>
      <c r="J77" s="39">
        <v>104700</v>
      </c>
      <c r="K77" s="39">
        <v>0</v>
      </c>
      <c r="L77" s="39">
        <v>0</v>
      </c>
      <c r="M77" s="39">
        <v>0</v>
      </c>
      <c r="N77" s="39">
        <v>0</v>
      </c>
      <c r="O77" s="32">
        <f t="shared" si="1"/>
        <v>233000</v>
      </c>
    </row>
    <row r="78" spans="1:15" x14ac:dyDescent="0.25">
      <c r="A78" s="35">
        <f t="shared" ref="A78:A94" si="5">SUM(A77+1)</f>
        <v>4</v>
      </c>
      <c r="B78" s="191" t="str">
        <f>+'Suppliers Report'!B9</f>
        <v>Suncrest Ltd</v>
      </c>
      <c r="C78" s="188">
        <v>192050</v>
      </c>
      <c r="D78" s="39">
        <v>0</v>
      </c>
      <c r="E78" s="39">
        <v>0</v>
      </c>
      <c r="F78" s="39">
        <v>0</v>
      </c>
      <c r="G78" s="39">
        <v>0</v>
      </c>
      <c r="H78" s="39">
        <v>0</v>
      </c>
      <c r="I78" s="39">
        <v>0</v>
      </c>
      <c r="J78" s="39">
        <v>0</v>
      </c>
      <c r="K78" s="39">
        <v>0</v>
      </c>
      <c r="L78" s="39">
        <v>0</v>
      </c>
      <c r="M78" s="39">
        <v>0</v>
      </c>
      <c r="N78" s="39">
        <v>0</v>
      </c>
      <c r="O78" s="32">
        <f t="shared" si="1"/>
        <v>192050</v>
      </c>
    </row>
    <row r="79" spans="1:15" x14ac:dyDescent="0.25">
      <c r="A79" s="35">
        <f t="shared" si="5"/>
        <v>5</v>
      </c>
      <c r="B79" s="191" t="str">
        <f>+'Suppliers Report'!B10</f>
        <v>Cold Chain</v>
      </c>
      <c r="C79" s="39">
        <v>0</v>
      </c>
      <c r="D79" s="39">
        <v>0</v>
      </c>
      <c r="E79" s="39">
        <v>0</v>
      </c>
      <c r="F79" s="39">
        <v>0</v>
      </c>
      <c r="G79" s="39">
        <v>0</v>
      </c>
      <c r="H79" s="39">
        <v>0</v>
      </c>
      <c r="I79" s="39">
        <v>0</v>
      </c>
      <c r="J79" s="39">
        <v>0</v>
      </c>
      <c r="K79" s="39">
        <v>0</v>
      </c>
      <c r="L79" s="39">
        <v>0</v>
      </c>
      <c r="M79" s="39">
        <v>0</v>
      </c>
      <c r="N79" s="39">
        <v>0</v>
      </c>
      <c r="O79" s="32">
        <f t="shared" si="1"/>
        <v>0</v>
      </c>
    </row>
    <row r="80" spans="1:15" x14ac:dyDescent="0.25">
      <c r="A80" s="35">
        <f t="shared" si="5"/>
        <v>6</v>
      </c>
      <c r="B80" s="191" t="str">
        <f>+'Suppliers Report'!B11</f>
        <v>Unilever</v>
      </c>
      <c r="C80" s="39">
        <v>0</v>
      </c>
      <c r="D80" s="39">
        <v>0</v>
      </c>
      <c r="E80" s="39">
        <v>0</v>
      </c>
      <c r="F80" s="39">
        <v>0</v>
      </c>
      <c r="G80" s="39">
        <v>0</v>
      </c>
      <c r="H80" s="39">
        <v>0</v>
      </c>
      <c r="I80" s="39">
        <v>0</v>
      </c>
      <c r="J80" s="39">
        <v>0</v>
      </c>
      <c r="K80" s="39">
        <v>0</v>
      </c>
      <c r="L80" s="39">
        <v>0</v>
      </c>
      <c r="M80" s="39">
        <v>0</v>
      </c>
      <c r="N80" s="39">
        <v>0</v>
      </c>
      <c r="O80" s="32">
        <f t="shared" si="1"/>
        <v>0</v>
      </c>
    </row>
    <row r="81" spans="1:15" x14ac:dyDescent="0.25">
      <c r="A81" s="35">
        <f t="shared" si="5"/>
        <v>7</v>
      </c>
      <c r="B81" s="191" t="str">
        <f>+'Suppliers Report'!B12</f>
        <v>Rab Processors</v>
      </c>
      <c r="C81" s="39">
        <v>0</v>
      </c>
      <c r="D81" s="39">
        <v>0</v>
      </c>
      <c r="E81" s="39">
        <v>0</v>
      </c>
      <c r="F81" s="39">
        <v>0</v>
      </c>
      <c r="G81" s="39">
        <v>0</v>
      </c>
      <c r="H81" s="39">
        <v>0</v>
      </c>
      <c r="I81" s="39">
        <v>0</v>
      </c>
      <c r="J81" s="39">
        <v>0</v>
      </c>
      <c r="K81" s="39">
        <v>0</v>
      </c>
      <c r="L81" s="39">
        <v>0</v>
      </c>
      <c r="M81" s="39">
        <v>0</v>
      </c>
      <c r="N81" s="39">
        <v>0</v>
      </c>
      <c r="O81" s="32">
        <f t="shared" si="1"/>
        <v>0</v>
      </c>
    </row>
    <row r="82" spans="1:15" x14ac:dyDescent="0.25">
      <c r="A82" s="35">
        <f t="shared" si="5"/>
        <v>8</v>
      </c>
      <c r="B82" s="191" t="str">
        <f>+'Suppliers Report'!B13</f>
        <v>Kwacha Fund</v>
      </c>
      <c r="C82" s="188">
        <v>1464353</v>
      </c>
      <c r="D82" s="39">
        <v>0</v>
      </c>
      <c r="E82" s="39">
        <v>0</v>
      </c>
      <c r="F82" s="39">
        <v>0</v>
      </c>
      <c r="G82" s="39">
        <v>0</v>
      </c>
      <c r="H82" s="39">
        <v>0</v>
      </c>
      <c r="I82" s="39">
        <v>0</v>
      </c>
      <c r="J82" s="39">
        <v>3323620.49</v>
      </c>
      <c r="K82" s="39">
        <v>0</v>
      </c>
      <c r="L82" s="39">
        <v>0</v>
      </c>
      <c r="M82" s="39">
        <v>0</v>
      </c>
      <c r="N82" s="39">
        <v>0</v>
      </c>
      <c r="O82" s="32">
        <f t="shared" si="1"/>
        <v>4787973.49</v>
      </c>
    </row>
    <row r="83" spans="1:15" x14ac:dyDescent="0.25">
      <c r="A83" s="35">
        <f t="shared" si="5"/>
        <v>9</v>
      </c>
      <c r="B83" s="191" t="str">
        <f>+'Suppliers Report'!B14</f>
        <v>Ekhaya Farms</v>
      </c>
      <c r="C83" s="39">
        <v>0</v>
      </c>
      <c r="D83" s="39">
        <v>0</v>
      </c>
      <c r="E83" s="39">
        <v>0</v>
      </c>
      <c r="F83" s="39">
        <v>0</v>
      </c>
      <c r="G83" s="39">
        <v>0</v>
      </c>
      <c r="H83" s="39">
        <v>0</v>
      </c>
      <c r="I83" s="39">
        <v>0</v>
      </c>
      <c r="J83" s="39">
        <v>0</v>
      </c>
      <c r="K83" s="39">
        <v>0</v>
      </c>
      <c r="L83" s="39">
        <v>0</v>
      </c>
      <c r="M83" s="39">
        <v>0</v>
      </c>
      <c r="N83" s="39">
        <v>0</v>
      </c>
      <c r="O83" s="32">
        <f t="shared" ref="O83:O152" si="6">SUM(C83:N83)</f>
        <v>0</v>
      </c>
    </row>
    <row r="84" spans="1:15" x14ac:dyDescent="0.25">
      <c r="A84" s="35">
        <f t="shared" si="5"/>
        <v>10</v>
      </c>
      <c r="B84" s="191" t="str">
        <f>+'Suppliers Report'!B15</f>
        <v>Central Poultry</v>
      </c>
      <c r="C84" s="39">
        <v>0</v>
      </c>
      <c r="D84" s="39">
        <v>0</v>
      </c>
      <c r="E84" s="39">
        <v>0</v>
      </c>
      <c r="F84" s="39">
        <v>0</v>
      </c>
      <c r="G84" s="39">
        <v>0</v>
      </c>
      <c r="H84" s="39">
        <v>0</v>
      </c>
      <c r="I84" s="39">
        <v>0</v>
      </c>
      <c r="J84" s="39">
        <v>0</v>
      </c>
      <c r="K84" s="39">
        <v>0</v>
      </c>
      <c r="L84" s="39">
        <v>0</v>
      </c>
      <c r="M84" s="39">
        <v>0</v>
      </c>
      <c r="N84" s="39">
        <v>0</v>
      </c>
      <c r="O84" s="32">
        <f t="shared" si="6"/>
        <v>0</v>
      </c>
    </row>
    <row r="85" spans="1:15" x14ac:dyDescent="0.25">
      <c r="A85" s="35">
        <f t="shared" si="5"/>
        <v>11</v>
      </c>
      <c r="B85" s="191" t="str">
        <f>+'Suppliers Report'!B16</f>
        <v>Licorice Investment (Burundi Shop)</v>
      </c>
      <c r="C85" s="39">
        <v>0</v>
      </c>
      <c r="D85" s="39">
        <v>0</v>
      </c>
      <c r="E85" s="39">
        <v>0</v>
      </c>
      <c r="F85" s="39">
        <v>0</v>
      </c>
      <c r="G85" s="39">
        <v>0</v>
      </c>
      <c r="H85" s="39">
        <v>0</v>
      </c>
      <c r="I85" s="39">
        <v>0</v>
      </c>
      <c r="J85" s="39">
        <v>0</v>
      </c>
      <c r="K85" s="39">
        <v>0</v>
      </c>
      <c r="L85" s="39">
        <v>0</v>
      </c>
      <c r="M85" s="39">
        <v>0</v>
      </c>
      <c r="N85" s="39">
        <v>0</v>
      </c>
      <c r="O85" s="32">
        <f t="shared" si="6"/>
        <v>0</v>
      </c>
    </row>
    <row r="86" spans="1:15" x14ac:dyDescent="0.25">
      <c r="A86" s="35">
        <f t="shared" si="5"/>
        <v>12</v>
      </c>
      <c r="B86" s="191" t="str">
        <f>+'Suppliers Report'!B17</f>
        <v xml:space="preserve">Insco Trading </v>
      </c>
      <c r="C86" s="39">
        <v>0</v>
      </c>
      <c r="D86" s="39">
        <v>0</v>
      </c>
      <c r="E86" s="39">
        <v>0</v>
      </c>
      <c r="F86" s="39">
        <v>0</v>
      </c>
      <c r="G86" s="39">
        <v>0</v>
      </c>
      <c r="H86" s="39">
        <v>0</v>
      </c>
      <c r="I86" s="39">
        <v>0</v>
      </c>
      <c r="J86" s="39">
        <v>647850</v>
      </c>
      <c r="K86" s="39">
        <v>0</v>
      </c>
      <c r="L86" s="39">
        <v>0</v>
      </c>
      <c r="M86" s="39">
        <v>0</v>
      </c>
      <c r="N86" s="39">
        <v>0</v>
      </c>
      <c r="O86" s="32">
        <f t="shared" si="6"/>
        <v>647850</v>
      </c>
    </row>
    <row r="87" spans="1:15" x14ac:dyDescent="0.25">
      <c r="A87" s="35">
        <f t="shared" si="5"/>
        <v>13</v>
      </c>
      <c r="B87" s="191" t="str">
        <f>+'Suppliers Report'!B18</f>
        <v>Chimwemwe Mafeni Trading</v>
      </c>
      <c r="C87" s="188">
        <v>309150</v>
      </c>
      <c r="D87" s="39">
        <v>0</v>
      </c>
      <c r="E87" s="39">
        <v>0</v>
      </c>
      <c r="F87" s="39">
        <v>0</v>
      </c>
      <c r="G87" s="39">
        <v>0</v>
      </c>
      <c r="H87" s="39">
        <v>0</v>
      </c>
      <c r="I87" s="39">
        <v>0</v>
      </c>
      <c r="J87" s="39">
        <v>736199.99</v>
      </c>
      <c r="K87" s="39">
        <v>0</v>
      </c>
      <c r="L87" s="39">
        <v>0</v>
      </c>
      <c r="M87" s="39">
        <v>0</v>
      </c>
      <c r="N87" s="39">
        <v>0</v>
      </c>
      <c r="O87" s="32">
        <f t="shared" si="6"/>
        <v>1045349.99</v>
      </c>
    </row>
    <row r="88" spans="1:15" x14ac:dyDescent="0.25">
      <c r="A88" s="35">
        <f t="shared" si="5"/>
        <v>14</v>
      </c>
      <c r="B88" s="191" t="str">
        <f>+'Suppliers Report'!B19</f>
        <v>Lilongwe Dairy</v>
      </c>
      <c r="C88" s="39">
        <v>0</v>
      </c>
      <c r="D88" s="39">
        <v>0</v>
      </c>
      <c r="E88" s="39">
        <v>0</v>
      </c>
      <c r="F88" s="39">
        <v>0</v>
      </c>
      <c r="G88" s="39">
        <v>0</v>
      </c>
      <c r="H88" s="39">
        <v>0</v>
      </c>
      <c r="I88" s="39">
        <v>0</v>
      </c>
      <c r="J88" s="39">
        <v>0</v>
      </c>
      <c r="K88" s="39">
        <v>0</v>
      </c>
      <c r="L88" s="39">
        <v>0</v>
      </c>
      <c r="M88" s="39">
        <v>0</v>
      </c>
      <c r="N88" s="39">
        <v>0</v>
      </c>
      <c r="O88" s="32">
        <f t="shared" si="6"/>
        <v>0</v>
      </c>
    </row>
    <row r="89" spans="1:15" x14ac:dyDescent="0.25">
      <c r="A89" s="35">
        <f t="shared" si="5"/>
        <v>15</v>
      </c>
      <c r="B89" s="191" t="str">
        <f>+'Suppliers Report'!B20</f>
        <v>Limbe Products</v>
      </c>
      <c r="C89" s="39">
        <v>0</v>
      </c>
      <c r="D89" s="39">
        <v>0</v>
      </c>
      <c r="E89" s="39">
        <v>0</v>
      </c>
      <c r="F89" s="39">
        <v>0</v>
      </c>
      <c r="G89" s="39">
        <v>0</v>
      </c>
      <c r="H89" s="39">
        <v>0</v>
      </c>
      <c r="I89" s="39">
        <v>0</v>
      </c>
      <c r="J89" s="39">
        <v>1563800</v>
      </c>
      <c r="K89" s="39">
        <v>0</v>
      </c>
      <c r="L89" s="39">
        <v>0</v>
      </c>
      <c r="M89" s="39">
        <v>0</v>
      </c>
      <c r="N89" s="39">
        <v>0</v>
      </c>
      <c r="O89" s="32">
        <f t="shared" si="6"/>
        <v>1563800</v>
      </c>
    </row>
    <row r="90" spans="1:15" x14ac:dyDescent="0.25">
      <c r="A90" s="35">
        <f t="shared" si="5"/>
        <v>16</v>
      </c>
      <c r="B90" s="191" t="str">
        <f>+'Suppliers Report'!B21</f>
        <v>Chemusa Sausages</v>
      </c>
      <c r="C90" s="188">
        <v>220000</v>
      </c>
      <c r="D90" s="39">
        <v>0</v>
      </c>
      <c r="E90" s="39">
        <v>0</v>
      </c>
      <c r="F90" s="39">
        <v>0</v>
      </c>
      <c r="G90" s="39">
        <v>0</v>
      </c>
      <c r="H90" s="39">
        <v>0</v>
      </c>
      <c r="I90" s="39">
        <v>0</v>
      </c>
      <c r="J90" s="39">
        <v>0</v>
      </c>
      <c r="K90" s="39">
        <v>0</v>
      </c>
      <c r="L90" s="39">
        <v>0</v>
      </c>
      <c r="M90" s="39">
        <v>0</v>
      </c>
      <c r="N90" s="39">
        <v>0</v>
      </c>
      <c r="O90" s="32">
        <f t="shared" si="6"/>
        <v>220000</v>
      </c>
    </row>
    <row r="91" spans="1:15" x14ac:dyDescent="0.25">
      <c r="A91" s="35">
        <f t="shared" si="5"/>
        <v>17</v>
      </c>
      <c r="B91" s="191" t="str">
        <f>+'Suppliers Report'!B22</f>
        <v>Madula Butchery</v>
      </c>
      <c r="C91" s="39">
        <v>0</v>
      </c>
      <c r="D91" s="39">
        <v>0</v>
      </c>
      <c r="E91" s="39">
        <v>0</v>
      </c>
      <c r="F91" s="39">
        <v>0</v>
      </c>
      <c r="G91" s="39">
        <v>0</v>
      </c>
      <c r="H91" s="39">
        <v>0</v>
      </c>
      <c r="I91" s="39">
        <v>0</v>
      </c>
      <c r="J91" s="39">
        <v>0</v>
      </c>
      <c r="K91" s="39">
        <v>0</v>
      </c>
      <c r="L91" s="39">
        <v>0</v>
      </c>
      <c r="M91" s="39">
        <v>0</v>
      </c>
      <c r="N91" s="39">
        <v>0</v>
      </c>
      <c r="O91" s="32">
        <f t="shared" si="6"/>
        <v>0</v>
      </c>
    </row>
    <row r="92" spans="1:15" x14ac:dyDescent="0.25">
      <c r="A92" s="35">
        <f t="shared" si="5"/>
        <v>18</v>
      </c>
      <c r="B92" s="191" t="str">
        <f>+'Suppliers Report'!B23</f>
        <v>Zomba Products</v>
      </c>
      <c r="C92" s="188">
        <v>2102650</v>
      </c>
      <c r="D92" s="39">
        <v>0</v>
      </c>
      <c r="E92" s="39">
        <v>0</v>
      </c>
      <c r="F92" s="39">
        <v>0</v>
      </c>
      <c r="G92" s="39">
        <v>0</v>
      </c>
      <c r="H92" s="39">
        <v>0</v>
      </c>
      <c r="I92" s="39">
        <v>0</v>
      </c>
      <c r="J92" s="39">
        <v>1141415</v>
      </c>
      <c r="K92" s="39">
        <v>0</v>
      </c>
      <c r="L92" s="39">
        <v>0</v>
      </c>
      <c r="M92" s="39">
        <v>0</v>
      </c>
      <c r="N92" s="39">
        <v>0</v>
      </c>
      <c r="O92" s="32">
        <f t="shared" si="6"/>
        <v>3244065</v>
      </c>
    </row>
    <row r="93" spans="1:15" x14ac:dyDescent="0.25">
      <c r="A93" s="35">
        <f t="shared" si="5"/>
        <v>19</v>
      </c>
      <c r="B93" s="191" t="str">
        <f>+'Suppliers Report'!B24</f>
        <v>Siera Shop (Burundi Shop)</v>
      </c>
      <c r="C93" s="39">
        <v>0</v>
      </c>
      <c r="D93" s="39">
        <v>0</v>
      </c>
      <c r="E93" s="39">
        <v>0</v>
      </c>
      <c r="F93" s="39">
        <v>0</v>
      </c>
      <c r="G93" s="39">
        <v>0</v>
      </c>
      <c r="H93" s="39">
        <v>0</v>
      </c>
      <c r="I93" s="39">
        <v>0</v>
      </c>
      <c r="J93" s="39">
        <v>0</v>
      </c>
      <c r="K93" s="39">
        <v>0</v>
      </c>
      <c r="L93" s="39">
        <v>0</v>
      </c>
      <c r="M93" s="39">
        <v>0</v>
      </c>
      <c r="N93" s="39">
        <v>0</v>
      </c>
      <c r="O93" s="32">
        <f t="shared" si="6"/>
        <v>0</v>
      </c>
    </row>
    <row r="94" spans="1:15" x14ac:dyDescent="0.25">
      <c r="A94" s="35">
        <f t="shared" si="5"/>
        <v>20</v>
      </c>
      <c r="B94" s="191" t="str">
        <f>+'Suppliers Report'!B25</f>
        <v>Other Products</v>
      </c>
      <c r="C94" s="38">
        <f t="shared" ref="C94:K94" si="7">+SUM(C95:C100)</f>
        <v>88000</v>
      </c>
      <c r="D94" s="38">
        <f t="shared" si="7"/>
        <v>0</v>
      </c>
      <c r="E94" s="38">
        <f t="shared" si="7"/>
        <v>0</v>
      </c>
      <c r="F94" s="38">
        <f t="shared" si="7"/>
        <v>0</v>
      </c>
      <c r="G94" s="38">
        <f t="shared" si="7"/>
        <v>0</v>
      </c>
      <c r="H94" s="38">
        <f t="shared" si="7"/>
        <v>0</v>
      </c>
      <c r="I94" s="38">
        <f t="shared" si="7"/>
        <v>0</v>
      </c>
      <c r="J94" s="38">
        <f t="shared" si="7"/>
        <v>64000</v>
      </c>
      <c r="K94" s="38">
        <f t="shared" si="7"/>
        <v>0</v>
      </c>
      <c r="L94" s="38">
        <f t="shared" ref="L94:N94" si="8">+SUM(L95:L100)</f>
        <v>0</v>
      </c>
      <c r="M94" s="38">
        <f t="shared" si="8"/>
        <v>0</v>
      </c>
      <c r="N94" s="38">
        <f t="shared" si="8"/>
        <v>0</v>
      </c>
      <c r="O94" s="32">
        <f t="shared" si="6"/>
        <v>152000</v>
      </c>
    </row>
    <row r="95" spans="1:15" x14ac:dyDescent="0.25">
      <c r="A95" s="35"/>
      <c r="B95" s="191" t="s">
        <v>115</v>
      </c>
      <c r="C95" s="39">
        <v>0</v>
      </c>
      <c r="D95" s="39">
        <v>0</v>
      </c>
      <c r="E95" s="39">
        <v>0</v>
      </c>
      <c r="F95" s="39">
        <v>0</v>
      </c>
      <c r="G95" s="39">
        <v>0</v>
      </c>
      <c r="H95" s="39">
        <v>0</v>
      </c>
      <c r="I95" s="39">
        <v>0</v>
      </c>
      <c r="J95" s="39">
        <v>0</v>
      </c>
      <c r="K95" s="39">
        <v>0</v>
      </c>
      <c r="L95" s="39">
        <v>0</v>
      </c>
      <c r="M95" s="39">
        <v>0</v>
      </c>
      <c r="N95" s="39">
        <v>0</v>
      </c>
      <c r="O95" s="32">
        <f t="shared" ref="O95:O100" si="9">SUM(C95:N95)</f>
        <v>0</v>
      </c>
    </row>
    <row r="96" spans="1:15" x14ac:dyDescent="0.25">
      <c r="A96" s="35"/>
      <c r="B96" s="191" t="s">
        <v>116</v>
      </c>
      <c r="C96" s="39">
        <v>0</v>
      </c>
      <c r="D96" s="39">
        <v>0</v>
      </c>
      <c r="E96" s="39">
        <v>0</v>
      </c>
      <c r="F96" s="39">
        <v>0</v>
      </c>
      <c r="G96" s="39">
        <v>0</v>
      </c>
      <c r="H96" s="39">
        <v>0</v>
      </c>
      <c r="I96" s="39">
        <v>0</v>
      </c>
      <c r="J96" s="39">
        <v>0</v>
      </c>
      <c r="K96" s="39">
        <v>0</v>
      </c>
      <c r="L96" s="39">
        <v>0</v>
      </c>
      <c r="M96" s="39">
        <v>0</v>
      </c>
      <c r="N96" s="39">
        <v>0</v>
      </c>
      <c r="O96" s="32">
        <f t="shared" si="9"/>
        <v>0</v>
      </c>
    </row>
    <row r="97" spans="1:15" x14ac:dyDescent="0.25">
      <c r="A97" s="35"/>
      <c r="B97" s="191" t="s">
        <v>117</v>
      </c>
      <c r="C97" s="39">
        <v>0</v>
      </c>
      <c r="D97" s="39">
        <v>0</v>
      </c>
      <c r="E97" s="39">
        <v>0</v>
      </c>
      <c r="F97" s="39">
        <v>0</v>
      </c>
      <c r="G97" s="39">
        <v>0</v>
      </c>
      <c r="H97" s="39">
        <v>0</v>
      </c>
      <c r="I97" s="39">
        <v>0</v>
      </c>
      <c r="J97" s="39">
        <v>0</v>
      </c>
      <c r="K97" s="39">
        <v>0</v>
      </c>
      <c r="L97" s="39">
        <v>0</v>
      </c>
      <c r="M97" s="39">
        <v>0</v>
      </c>
      <c r="N97" s="39">
        <v>0</v>
      </c>
      <c r="O97" s="32">
        <f t="shared" si="9"/>
        <v>0</v>
      </c>
    </row>
    <row r="98" spans="1:15" x14ac:dyDescent="0.25">
      <c r="A98" s="35"/>
      <c r="B98" s="191" t="s">
        <v>118</v>
      </c>
      <c r="C98" s="188">
        <v>56000</v>
      </c>
      <c r="D98" s="39">
        <v>0</v>
      </c>
      <c r="E98" s="39">
        <v>0</v>
      </c>
      <c r="F98" s="39">
        <v>0</v>
      </c>
      <c r="G98" s="39">
        <v>0</v>
      </c>
      <c r="H98" s="39">
        <v>0</v>
      </c>
      <c r="I98" s="39">
        <v>0</v>
      </c>
      <c r="J98" s="39">
        <v>0</v>
      </c>
      <c r="K98" s="39">
        <v>0</v>
      </c>
      <c r="L98" s="39">
        <v>0</v>
      </c>
      <c r="M98" s="39">
        <v>0</v>
      </c>
      <c r="N98" s="39">
        <v>0</v>
      </c>
      <c r="O98" s="32">
        <f t="shared" si="9"/>
        <v>56000</v>
      </c>
    </row>
    <row r="99" spans="1:15" x14ac:dyDescent="0.25">
      <c r="A99" s="35"/>
      <c r="B99" s="191" t="s">
        <v>119</v>
      </c>
      <c r="C99" s="39">
        <v>0</v>
      </c>
      <c r="D99" s="39">
        <v>0</v>
      </c>
      <c r="E99" s="39">
        <v>0</v>
      </c>
      <c r="F99" s="39">
        <v>0</v>
      </c>
      <c r="G99" s="39">
        <v>0</v>
      </c>
      <c r="H99" s="39">
        <v>0</v>
      </c>
      <c r="I99" s="39">
        <v>0</v>
      </c>
      <c r="J99" s="39">
        <v>0</v>
      </c>
      <c r="K99" s="39">
        <v>0</v>
      </c>
      <c r="L99" s="39">
        <v>0</v>
      </c>
      <c r="M99" s="39">
        <v>0</v>
      </c>
      <c r="N99" s="39">
        <v>0</v>
      </c>
      <c r="O99" s="32">
        <f t="shared" si="9"/>
        <v>0</v>
      </c>
    </row>
    <row r="100" spans="1:15" x14ac:dyDescent="0.25">
      <c r="A100" s="35"/>
      <c r="B100" s="191" t="s">
        <v>114</v>
      </c>
      <c r="C100" s="188">
        <v>32000</v>
      </c>
      <c r="D100" s="39">
        <v>0</v>
      </c>
      <c r="E100" s="39">
        <v>0</v>
      </c>
      <c r="F100" s="39">
        <v>0</v>
      </c>
      <c r="G100" s="39">
        <v>0</v>
      </c>
      <c r="H100" s="39">
        <v>0</v>
      </c>
      <c r="I100" s="39">
        <v>0</v>
      </c>
      <c r="J100" s="39">
        <v>64000</v>
      </c>
      <c r="K100" s="39">
        <v>0</v>
      </c>
      <c r="L100" s="39">
        <v>0</v>
      </c>
      <c r="M100" s="39">
        <v>0</v>
      </c>
      <c r="N100" s="39">
        <v>0</v>
      </c>
      <c r="O100" s="32">
        <f t="shared" si="9"/>
        <v>96000</v>
      </c>
    </row>
    <row r="101" spans="1:15" x14ac:dyDescent="0.25">
      <c r="A101" s="52"/>
      <c r="B101" s="49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1" t="s">
        <v>7</v>
      </c>
    </row>
    <row r="102" spans="1:15" x14ac:dyDescent="0.25">
      <c r="A102" s="34" t="s">
        <v>141</v>
      </c>
      <c r="B102" s="192" t="s">
        <v>19</v>
      </c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2" t="s">
        <v>7</v>
      </c>
    </row>
    <row r="103" spans="1:15" x14ac:dyDescent="0.25">
      <c r="A103" s="30">
        <f>A69</f>
        <v>1</v>
      </c>
      <c r="B103" s="191" t="str">
        <f>B69</f>
        <v>Universal Industries</v>
      </c>
      <c r="C103" s="39">
        <v>0</v>
      </c>
      <c r="D103" s="39">
        <v>0</v>
      </c>
      <c r="E103" s="39">
        <v>0</v>
      </c>
      <c r="F103" s="39">
        <v>0</v>
      </c>
      <c r="G103" s="39">
        <v>0</v>
      </c>
      <c r="H103" s="39">
        <v>0</v>
      </c>
      <c r="I103" s="39">
        <v>0</v>
      </c>
      <c r="J103" s="39">
        <v>0</v>
      </c>
      <c r="K103" s="39">
        <v>0</v>
      </c>
      <c r="L103" s="39">
        <v>0</v>
      </c>
      <c r="M103" s="39">
        <v>0</v>
      </c>
      <c r="N103" s="39">
        <v>0</v>
      </c>
      <c r="O103" s="32">
        <f t="shared" si="6"/>
        <v>0</v>
      </c>
    </row>
    <row r="104" spans="1:15" x14ac:dyDescent="0.25">
      <c r="A104" s="35">
        <f>A70</f>
        <v>2</v>
      </c>
      <c r="B104" s="191" t="str">
        <f>B70</f>
        <v>Bottled Water</v>
      </c>
      <c r="C104" s="39">
        <v>0</v>
      </c>
      <c r="D104" s="39">
        <v>0</v>
      </c>
      <c r="E104" s="39">
        <v>0</v>
      </c>
      <c r="F104" s="39">
        <v>0</v>
      </c>
      <c r="G104" s="39">
        <v>0</v>
      </c>
      <c r="H104" s="39">
        <v>0</v>
      </c>
      <c r="I104" s="39">
        <v>0</v>
      </c>
      <c r="J104" s="39">
        <v>0</v>
      </c>
      <c r="K104" s="39">
        <v>0</v>
      </c>
      <c r="L104" s="39">
        <v>0</v>
      </c>
      <c r="M104" s="39">
        <v>0</v>
      </c>
      <c r="N104" s="39">
        <v>0</v>
      </c>
      <c r="O104" s="32">
        <f t="shared" si="6"/>
        <v>0</v>
      </c>
    </row>
    <row r="105" spans="1:15" x14ac:dyDescent="0.25">
      <c r="A105" s="35">
        <f t="shared" ref="A105:B122" si="10">A77</f>
        <v>3</v>
      </c>
      <c r="B105" s="191" t="str">
        <f t="shared" si="10"/>
        <v>Bakeries</v>
      </c>
      <c r="C105" s="39">
        <v>0</v>
      </c>
      <c r="D105" s="39">
        <v>0</v>
      </c>
      <c r="E105" s="39">
        <v>0</v>
      </c>
      <c r="F105" s="39">
        <v>0</v>
      </c>
      <c r="G105" s="39">
        <v>0</v>
      </c>
      <c r="H105" s="39">
        <v>0</v>
      </c>
      <c r="I105" s="39">
        <v>0</v>
      </c>
      <c r="J105" s="39">
        <v>0</v>
      </c>
      <c r="K105" s="39">
        <v>0</v>
      </c>
      <c r="L105" s="39">
        <v>0</v>
      </c>
      <c r="M105" s="39">
        <v>0</v>
      </c>
      <c r="N105" s="39">
        <v>0</v>
      </c>
      <c r="O105" s="32">
        <f t="shared" si="6"/>
        <v>0</v>
      </c>
    </row>
    <row r="106" spans="1:15" x14ac:dyDescent="0.25">
      <c r="A106" s="35">
        <f t="shared" si="10"/>
        <v>4</v>
      </c>
      <c r="B106" s="191" t="str">
        <f t="shared" si="10"/>
        <v>Suncrest Ltd</v>
      </c>
      <c r="C106" s="39">
        <v>0</v>
      </c>
      <c r="D106" s="39">
        <v>0</v>
      </c>
      <c r="E106" s="39">
        <v>0</v>
      </c>
      <c r="F106" s="39">
        <v>0</v>
      </c>
      <c r="G106" s="39">
        <v>0</v>
      </c>
      <c r="H106" s="39">
        <v>0</v>
      </c>
      <c r="I106" s="39">
        <v>0</v>
      </c>
      <c r="J106" s="39">
        <v>0</v>
      </c>
      <c r="K106" s="39">
        <v>0</v>
      </c>
      <c r="L106" s="39">
        <v>0</v>
      </c>
      <c r="M106" s="39">
        <v>0</v>
      </c>
      <c r="N106" s="39">
        <v>0</v>
      </c>
      <c r="O106" s="32">
        <f t="shared" si="6"/>
        <v>0</v>
      </c>
    </row>
    <row r="107" spans="1:15" x14ac:dyDescent="0.25">
      <c r="A107" s="35">
        <f t="shared" si="10"/>
        <v>5</v>
      </c>
      <c r="B107" s="191" t="str">
        <f t="shared" si="10"/>
        <v>Cold Chain</v>
      </c>
      <c r="C107" s="39">
        <v>0</v>
      </c>
      <c r="D107" s="39">
        <v>0</v>
      </c>
      <c r="E107" s="39">
        <v>0</v>
      </c>
      <c r="F107" s="39">
        <v>0</v>
      </c>
      <c r="G107" s="39">
        <v>0</v>
      </c>
      <c r="H107" s="39">
        <v>0</v>
      </c>
      <c r="I107" s="39">
        <v>0</v>
      </c>
      <c r="J107" s="39">
        <v>0</v>
      </c>
      <c r="K107" s="39">
        <v>0</v>
      </c>
      <c r="L107" s="39">
        <v>0</v>
      </c>
      <c r="M107" s="39">
        <v>0</v>
      </c>
      <c r="N107" s="39">
        <v>0</v>
      </c>
      <c r="O107" s="32">
        <f t="shared" si="6"/>
        <v>0</v>
      </c>
    </row>
    <row r="108" spans="1:15" x14ac:dyDescent="0.25">
      <c r="A108" s="35">
        <f t="shared" si="10"/>
        <v>6</v>
      </c>
      <c r="B108" s="191" t="str">
        <f t="shared" si="10"/>
        <v>Unilever</v>
      </c>
      <c r="C108" s="39">
        <v>0</v>
      </c>
      <c r="D108" s="39">
        <v>0</v>
      </c>
      <c r="E108" s="39">
        <v>0</v>
      </c>
      <c r="F108" s="39">
        <v>0</v>
      </c>
      <c r="G108" s="39">
        <v>0</v>
      </c>
      <c r="H108" s="39">
        <v>0</v>
      </c>
      <c r="I108" s="39">
        <v>0</v>
      </c>
      <c r="J108" s="39">
        <v>0</v>
      </c>
      <c r="K108" s="39">
        <v>0</v>
      </c>
      <c r="L108" s="39">
        <v>0</v>
      </c>
      <c r="M108" s="39">
        <v>0</v>
      </c>
      <c r="N108" s="39">
        <v>0</v>
      </c>
      <c r="O108" s="32">
        <f t="shared" si="6"/>
        <v>0</v>
      </c>
    </row>
    <row r="109" spans="1:15" x14ac:dyDescent="0.25">
      <c r="A109" s="35">
        <f t="shared" si="10"/>
        <v>7</v>
      </c>
      <c r="B109" s="191" t="str">
        <f t="shared" si="10"/>
        <v>Rab Processors</v>
      </c>
      <c r="C109" s="39">
        <v>0</v>
      </c>
      <c r="D109" s="39">
        <v>0</v>
      </c>
      <c r="E109" s="39">
        <v>0</v>
      </c>
      <c r="F109" s="39">
        <v>0</v>
      </c>
      <c r="G109" s="39">
        <v>0</v>
      </c>
      <c r="H109" s="39">
        <v>0</v>
      </c>
      <c r="I109" s="39">
        <v>0</v>
      </c>
      <c r="J109" s="39">
        <v>0</v>
      </c>
      <c r="K109" s="39">
        <v>0</v>
      </c>
      <c r="L109" s="39">
        <v>0</v>
      </c>
      <c r="M109" s="39">
        <v>0</v>
      </c>
      <c r="N109" s="39">
        <v>0</v>
      </c>
      <c r="O109" s="32">
        <f t="shared" si="6"/>
        <v>0</v>
      </c>
    </row>
    <row r="110" spans="1:15" x14ac:dyDescent="0.25">
      <c r="A110" s="35">
        <f t="shared" si="10"/>
        <v>8</v>
      </c>
      <c r="B110" s="191" t="str">
        <f t="shared" si="10"/>
        <v>Kwacha Fund</v>
      </c>
      <c r="C110" s="39">
        <v>0</v>
      </c>
      <c r="D110" s="39">
        <v>0</v>
      </c>
      <c r="E110" s="39">
        <v>0</v>
      </c>
      <c r="F110" s="39">
        <v>0</v>
      </c>
      <c r="G110" s="39">
        <v>0</v>
      </c>
      <c r="H110" s="39">
        <v>0</v>
      </c>
      <c r="I110" s="39">
        <v>0</v>
      </c>
      <c r="J110" s="39">
        <v>0</v>
      </c>
      <c r="K110" s="39">
        <v>0</v>
      </c>
      <c r="L110" s="39">
        <v>0</v>
      </c>
      <c r="M110" s="39">
        <v>0</v>
      </c>
      <c r="N110" s="39">
        <v>0</v>
      </c>
      <c r="O110" s="32">
        <f t="shared" si="6"/>
        <v>0</v>
      </c>
    </row>
    <row r="111" spans="1:15" x14ac:dyDescent="0.25">
      <c r="A111" s="35">
        <f t="shared" si="10"/>
        <v>9</v>
      </c>
      <c r="B111" s="191" t="str">
        <f t="shared" si="10"/>
        <v>Ekhaya Farms</v>
      </c>
      <c r="C111" s="39">
        <v>0</v>
      </c>
      <c r="D111" s="39">
        <v>0</v>
      </c>
      <c r="E111" s="39">
        <v>0</v>
      </c>
      <c r="F111" s="39">
        <v>0</v>
      </c>
      <c r="G111" s="39">
        <v>0</v>
      </c>
      <c r="H111" s="39">
        <v>0</v>
      </c>
      <c r="I111" s="39">
        <v>0</v>
      </c>
      <c r="J111" s="39">
        <v>0</v>
      </c>
      <c r="K111" s="39">
        <v>0</v>
      </c>
      <c r="L111" s="39">
        <v>0</v>
      </c>
      <c r="M111" s="39">
        <v>0</v>
      </c>
      <c r="N111" s="39">
        <v>0</v>
      </c>
      <c r="O111" s="32">
        <f t="shared" si="6"/>
        <v>0</v>
      </c>
    </row>
    <row r="112" spans="1:15" x14ac:dyDescent="0.25">
      <c r="A112" s="35">
        <f t="shared" si="10"/>
        <v>10</v>
      </c>
      <c r="B112" s="191" t="str">
        <f t="shared" si="10"/>
        <v>Central Poultry</v>
      </c>
      <c r="C112" s="39">
        <v>0</v>
      </c>
      <c r="D112" s="39">
        <v>0</v>
      </c>
      <c r="E112" s="39">
        <v>0</v>
      </c>
      <c r="F112" s="39">
        <v>0</v>
      </c>
      <c r="G112" s="39">
        <v>0</v>
      </c>
      <c r="H112" s="39">
        <v>0</v>
      </c>
      <c r="I112" s="39">
        <v>0</v>
      </c>
      <c r="J112" s="39">
        <v>0</v>
      </c>
      <c r="K112" s="39">
        <v>0</v>
      </c>
      <c r="L112" s="39">
        <v>0</v>
      </c>
      <c r="M112" s="39">
        <v>0</v>
      </c>
      <c r="N112" s="39">
        <v>0</v>
      </c>
      <c r="O112" s="32">
        <f t="shared" si="6"/>
        <v>0</v>
      </c>
    </row>
    <row r="113" spans="1:15" x14ac:dyDescent="0.25">
      <c r="A113" s="35">
        <f t="shared" si="10"/>
        <v>11</v>
      </c>
      <c r="B113" s="191" t="str">
        <f t="shared" si="10"/>
        <v>Licorice Investment (Burundi Shop)</v>
      </c>
      <c r="C113" s="39">
        <v>0</v>
      </c>
      <c r="D113" s="39">
        <v>0</v>
      </c>
      <c r="E113" s="39">
        <v>0</v>
      </c>
      <c r="F113" s="39">
        <v>0</v>
      </c>
      <c r="G113" s="39">
        <v>0</v>
      </c>
      <c r="H113" s="39">
        <v>0</v>
      </c>
      <c r="I113" s="39">
        <v>0</v>
      </c>
      <c r="J113" s="39">
        <v>0</v>
      </c>
      <c r="K113" s="39">
        <v>0</v>
      </c>
      <c r="L113" s="39">
        <v>0</v>
      </c>
      <c r="M113" s="39">
        <v>0</v>
      </c>
      <c r="N113" s="39">
        <v>0</v>
      </c>
      <c r="O113" s="32">
        <f t="shared" si="6"/>
        <v>0</v>
      </c>
    </row>
    <row r="114" spans="1:15" x14ac:dyDescent="0.25">
      <c r="A114" s="35">
        <f t="shared" si="10"/>
        <v>12</v>
      </c>
      <c r="B114" s="191" t="str">
        <f t="shared" si="10"/>
        <v xml:space="preserve">Insco Trading </v>
      </c>
      <c r="C114" s="39">
        <v>0</v>
      </c>
      <c r="D114" s="39">
        <v>0</v>
      </c>
      <c r="E114" s="39">
        <v>0</v>
      </c>
      <c r="F114" s="39">
        <v>0</v>
      </c>
      <c r="G114" s="39">
        <v>0</v>
      </c>
      <c r="H114" s="39">
        <v>0</v>
      </c>
      <c r="I114" s="39">
        <v>0</v>
      </c>
      <c r="J114" s="39">
        <v>0</v>
      </c>
      <c r="K114" s="39">
        <v>0</v>
      </c>
      <c r="L114" s="39">
        <v>0</v>
      </c>
      <c r="M114" s="39">
        <v>0</v>
      </c>
      <c r="N114" s="39">
        <v>0</v>
      </c>
      <c r="O114" s="32">
        <f t="shared" si="6"/>
        <v>0</v>
      </c>
    </row>
    <row r="115" spans="1:15" x14ac:dyDescent="0.25">
      <c r="A115" s="35">
        <f t="shared" si="10"/>
        <v>13</v>
      </c>
      <c r="B115" s="191" t="str">
        <f t="shared" si="10"/>
        <v>Chimwemwe Mafeni Trading</v>
      </c>
      <c r="C115" s="39">
        <v>0</v>
      </c>
      <c r="D115" s="39">
        <v>0</v>
      </c>
      <c r="E115" s="39">
        <v>0</v>
      </c>
      <c r="F115" s="39">
        <v>0</v>
      </c>
      <c r="G115" s="39">
        <v>0</v>
      </c>
      <c r="H115" s="39">
        <v>0</v>
      </c>
      <c r="I115" s="39">
        <v>0</v>
      </c>
      <c r="J115" s="39">
        <v>0</v>
      </c>
      <c r="K115" s="39">
        <v>0</v>
      </c>
      <c r="L115" s="39">
        <v>0</v>
      </c>
      <c r="M115" s="39">
        <v>0</v>
      </c>
      <c r="N115" s="39">
        <v>0</v>
      </c>
      <c r="O115" s="32">
        <f t="shared" si="6"/>
        <v>0</v>
      </c>
    </row>
    <row r="116" spans="1:15" x14ac:dyDescent="0.25">
      <c r="A116" s="35">
        <f t="shared" si="10"/>
        <v>14</v>
      </c>
      <c r="B116" s="191" t="str">
        <f t="shared" si="10"/>
        <v>Lilongwe Dairy</v>
      </c>
      <c r="C116" s="39">
        <v>0</v>
      </c>
      <c r="D116" s="39">
        <v>0</v>
      </c>
      <c r="E116" s="39">
        <v>0</v>
      </c>
      <c r="F116" s="39">
        <v>0</v>
      </c>
      <c r="G116" s="39">
        <v>0</v>
      </c>
      <c r="H116" s="39">
        <v>0</v>
      </c>
      <c r="I116" s="39">
        <v>0</v>
      </c>
      <c r="J116" s="39">
        <v>0</v>
      </c>
      <c r="K116" s="39">
        <v>0</v>
      </c>
      <c r="L116" s="39">
        <v>0</v>
      </c>
      <c r="M116" s="39">
        <v>0</v>
      </c>
      <c r="N116" s="39">
        <v>0</v>
      </c>
      <c r="O116" s="32">
        <f t="shared" si="6"/>
        <v>0</v>
      </c>
    </row>
    <row r="117" spans="1:15" x14ac:dyDescent="0.25">
      <c r="A117" s="35">
        <f t="shared" si="10"/>
        <v>15</v>
      </c>
      <c r="B117" s="191" t="str">
        <f t="shared" si="10"/>
        <v>Limbe Products</v>
      </c>
      <c r="C117" s="39">
        <v>0</v>
      </c>
      <c r="D117" s="39">
        <v>0</v>
      </c>
      <c r="E117" s="39">
        <v>0</v>
      </c>
      <c r="F117" s="39">
        <v>0</v>
      </c>
      <c r="G117" s="39">
        <v>0</v>
      </c>
      <c r="H117" s="39">
        <v>0</v>
      </c>
      <c r="I117" s="39">
        <v>0</v>
      </c>
      <c r="J117" s="39">
        <v>0</v>
      </c>
      <c r="K117" s="39">
        <v>0</v>
      </c>
      <c r="L117" s="39">
        <v>0</v>
      </c>
      <c r="M117" s="39">
        <v>0</v>
      </c>
      <c r="N117" s="39">
        <v>0</v>
      </c>
      <c r="O117" s="32">
        <f t="shared" si="6"/>
        <v>0</v>
      </c>
    </row>
    <row r="118" spans="1:15" x14ac:dyDescent="0.25">
      <c r="A118" s="35">
        <f t="shared" si="10"/>
        <v>16</v>
      </c>
      <c r="B118" s="191" t="str">
        <f t="shared" si="10"/>
        <v>Chemusa Sausages</v>
      </c>
      <c r="C118" s="39">
        <v>0</v>
      </c>
      <c r="D118" s="39">
        <v>0</v>
      </c>
      <c r="E118" s="39">
        <v>0</v>
      </c>
      <c r="F118" s="39">
        <v>0</v>
      </c>
      <c r="G118" s="39">
        <v>0</v>
      </c>
      <c r="H118" s="39">
        <v>0</v>
      </c>
      <c r="I118" s="39">
        <v>0</v>
      </c>
      <c r="J118" s="39">
        <v>0</v>
      </c>
      <c r="K118" s="39">
        <v>0</v>
      </c>
      <c r="L118" s="39">
        <v>0</v>
      </c>
      <c r="M118" s="39">
        <v>0</v>
      </c>
      <c r="N118" s="39">
        <v>0</v>
      </c>
      <c r="O118" s="32">
        <f t="shared" si="6"/>
        <v>0</v>
      </c>
    </row>
    <row r="119" spans="1:15" x14ac:dyDescent="0.25">
      <c r="A119" s="35">
        <f t="shared" si="10"/>
        <v>17</v>
      </c>
      <c r="B119" s="191" t="str">
        <f t="shared" si="10"/>
        <v>Madula Butchery</v>
      </c>
      <c r="C119" s="39">
        <v>0</v>
      </c>
      <c r="D119" s="39">
        <v>0</v>
      </c>
      <c r="E119" s="39">
        <v>0</v>
      </c>
      <c r="F119" s="39">
        <v>0</v>
      </c>
      <c r="G119" s="39">
        <v>0</v>
      </c>
      <c r="H119" s="39">
        <v>0</v>
      </c>
      <c r="I119" s="39">
        <v>0</v>
      </c>
      <c r="J119" s="39">
        <v>0</v>
      </c>
      <c r="K119" s="39">
        <v>0</v>
      </c>
      <c r="L119" s="39">
        <v>0</v>
      </c>
      <c r="M119" s="39">
        <v>0</v>
      </c>
      <c r="N119" s="39">
        <v>0</v>
      </c>
      <c r="O119" s="32">
        <f t="shared" si="6"/>
        <v>0</v>
      </c>
    </row>
    <row r="120" spans="1:15" x14ac:dyDescent="0.25">
      <c r="A120" s="35">
        <f t="shared" si="10"/>
        <v>18</v>
      </c>
      <c r="B120" s="191" t="str">
        <f t="shared" si="10"/>
        <v>Zomba Products</v>
      </c>
      <c r="C120" s="39">
        <v>0</v>
      </c>
      <c r="D120" s="39">
        <v>0</v>
      </c>
      <c r="E120" s="39">
        <v>0</v>
      </c>
      <c r="F120" s="39">
        <v>0</v>
      </c>
      <c r="G120" s="39">
        <v>0</v>
      </c>
      <c r="H120" s="39">
        <v>0</v>
      </c>
      <c r="I120" s="39">
        <v>0</v>
      </c>
      <c r="J120" s="39">
        <v>0</v>
      </c>
      <c r="K120" s="39">
        <v>0</v>
      </c>
      <c r="L120" s="39">
        <v>0</v>
      </c>
      <c r="M120" s="39">
        <v>0</v>
      </c>
      <c r="N120" s="39">
        <v>0</v>
      </c>
      <c r="O120" s="32">
        <f t="shared" si="6"/>
        <v>0</v>
      </c>
    </row>
    <row r="121" spans="1:15" x14ac:dyDescent="0.25">
      <c r="A121" s="35">
        <f t="shared" si="10"/>
        <v>19</v>
      </c>
      <c r="B121" s="191" t="str">
        <f t="shared" si="10"/>
        <v>Siera Shop (Burundi Shop)</v>
      </c>
      <c r="C121" s="39">
        <v>0</v>
      </c>
      <c r="D121" s="39">
        <v>0</v>
      </c>
      <c r="E121" s="39">
        <v>0</v>
      </c>
      <c r="F121" s="39">
        <v>0</v>
      </c>
      <c r="G121" s="39">
        <v>0</v>
      </c>
      <c r="H121" s="39">
        <v>0</v>
      </c>
      <c r="I121" s="39">
        <v>0</v>
      </c>
      <c r="J121" s="39">
        <v>0</v>
      </c>
      <c r="K121" s="39">
        <v>0</v>
      </c>
      <c r="L121" s="39">
        <v>0</v>
      </c>
      <c r="M121" s="39">
        <v>0</v>
      </c>
      <c r="N121" s="39">
        <v>0</v>
      </c>
      <c r="O121" s="32">
        <f t="shared" si="6"/>
        <v>0</v>
      </c>
    </row>
    <row r="122" spans="1:15" x14ac:dyDescent="0.25">
      <c r="A122" s="35">
        <f t="shared" si="10"/>
        <v>20</v>
      </c>
      <c r="B122" s="191" t="str">
        <f t="shared" si="10"/>
        <v>Other Products</v>
      </c>
      <c r="C122" s="39">
        <v>0</v>
      </c>
      <c r="D122" s="39">
        <v>0</v>
      </c>
      <c r="E122" s="39">
        <v>0</v>
      </c>
      <c r="F122" s="39">
        <v>0</v>
      </c>
      <c r="G122" s="39">
        <v>0</v>
      </c>
      <c r="H122" s="39">
        <v>0</v>
      </c>
      <c r="I122" s="39">
        <v>0</v>
      </c>
      <c r="J122" s="39">
        <v>0</v>
      </c>
      <c r="K122" s="39">
        <v>0</v>
      </c>
      <c r="L122" s="39">
        <v>0</v>
      </c>
      <c r="M122" s="39">
        <v>0</v>
      </c>
      <c r="N122" s="39">
        <v>0</v>
      </c>
      <c r="O122" s="32">
        <f t="shared" si="6"/>
        <v>0</v>
      </c>
    </row>
    <row r="123" spans="1:15" x14ac:dyDescent="0.25">
      <c r="A123" s="48" t="s">
        <v>7</v>
      </c>
      <c r="B123" s="49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1" t="s">
        <v>7</v>
      </c>
    </row>
    <row r="124" spans="1:15" x14ac:dyDescent="0.25">
      <c r="A124" s="34" t="s">
        <v>142</v>
      </c>
      <c r="B124" s="192" t="s">
        <v>59</v>
      </c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2" t="s">
        <v>7</v>
      </c>
    </row>
    <row r="125" spans="1:15" x14ac:dyDescent="0.25">
      <c r="A125" s="30">
        <f>A69</f>
        <v>1</v>
      </c>
      <c r="B125" s="191" t="str">
        <f>B69</f>
        <v>Universal Industries</v>
      </c>
      <c r="C125" s="188">
        <v>208900</v>
      </c>
      <c r="D125" s="39">
        <v>0</v>
      </c>
      <c r="E125" s="39">
        <v>0</v>
      </c>
      <c r="F125" s="39">
        <v>0</v>
      </c>
      <c r="G125" s="39">
        <v>0</v>
      </c>
      <c r="H125" s="39">
        <v>0</v>
      </c>
      <c r="I125" s="39">
        <v>0</v>
      </c>
      <c r="J125" s="39">
        <v>323500.02</v>
      </c>
      <c r="K125" s="39">
        <v>0</v>
      </c>
      <c r="L125" s="39">
        <v>0</v>
      </c>
      <c r="M125" s="39">
        <v>0</v>
      </c>
      <c r="N125" s="39">
        <v>0</v>
      </c>
      <c r="O125" s="32">
        <f t="shared" si="6"/>
        <v>532400.02</v>
      </c>
    </row>
    <row r="126" spans="1:15" x14ac:dyDescent="0.25">
      <c r="A126" s="30">
        <f>A70</f>
        <v>2</v>
      </c>
      <c r="B126" s="191" t="str">
        <f>B70</f>
        <v>Bottled Water</v>
      </c>
      <c r="C126" s="39">
        <v>0</v>
      </c>
      <c r="D126" s="39">
        <v>0</v>
      </c>
      <c r="E126" s="39">
        <v>0</v>
      </c>
      <c r="F126" s="39">
        <v>0</v>
      </c>
      <c r="G126" s="39">
        <v>0</v>
      </c>
      <c r="H126" s="39">
        <v>0</v>
      </c>
      <c r="I126" s="39">
        <v>0</v>
      </c>
      <c r="J126" s="39">
        <v>0</v>
      </c>
      <c r="K126" s="39">
        <v>0</v>
      </c>
      <c r="L126" s="39">
        <v>0</v>
      </c>
      <c r="M126" s="39">
        <v>0</v>
      </c>
      <c r="N126" s="39">
        <v>0</v>
      </c>
      <c r="O126" s="32">
        <f t="shared" si="6"/>
        <v>0</v>
      </c>
    </row>
    <row r="127" spans="1:15" x14ac:dyDescent="0.25">
      <c r="A127" s="30">
        <f t="shared" ref="A127:B144" si="11">A77</f>
        <v>3</v>
      </c>
      <c r="B127" s="191" t="str">
        <f t="shared" si="11"/>
        <v>Bakeries</v>
      </c>
      <c r="C127" s="39">
        <v>0</v>
      </c>
      <c r="D127" s="39">
        <v>0</v>
      </c>
      <c r="E127" s="39">
        <v>0</v>
      </c>
      <c r="F127" s="39">
        <v>0</v>
      </c>
      <c r="G127" s="39">
        <v>0</v>
      </c>
      <c r="H127" s="39">
        <v>0</v>
      </c>
      <c r="I127" s="39">
        <v>0</v>
      </c>
      <c r="J127" s="39">
        <v>0</v>
      </c>
      <c r="K127" s="39">
        <v>0</v>
      </c>
      <c r="L127" s="39">
        <v>0</v>
      </c>
      <c r="M127" s="39">
        <v>0</v>
      </c>
      <c r="N127" s="39">
        <v>0</v>
      </c>
      <c r="O127" s="32">
        <f t="shared" si="6"/>
        <v>0</v>
      </c>
    </row>
    <row r="128" spans="1:15" x14ac:dyDescent="0.25">
      <c r="A128" s="30">
        <f t="shared" si="11"/>
        <v>4</v>
      </c>
      <c r="B128" s="191" t="str">
        <f t="shared" si="11"/>
        <v>Suncrest Ltd</v>
      </c>
      <c r="C128" s="39">
        <v>0</v>
      </c>
      <c r="D128" s="39">
        <v>0</v>
      </c>
      <c r="E128" s="39">
        <v>0</v>
      </c>
      <c r="F128" s="39">
        <v>0</v>
      </c>
      <c r="G128" s="39">
        <v>0</v>
      </c>
      <c r="H128" s="39">
        <v>0</v>
      </c>
      <c r="I128" s="39">
        <v>0</v>
      </c>
      <c r="J128" s="39">
        <v>0</v>
      </c>
      <c r="K128" s="39">
        <v>0</v>
      </c>
      <c r="L128" s="39">
        <v>0</v>
      </c>
      <c r="M128" s="39">
        <v>0</v>
      </c>
      <c r="N128" s="39">
        <v>0</v>
      </c>
      <c r="O128" s="32">
        <f t="shared" si="6"/>
        <v>0</v>
      </c>
    </row>
    <row r="129" spans="1:15" x14ac:dyDescent="0.25">
      <c r="A129" s="30">
        <f t="shared" si="11"/>
        <v>5</v>
      </c>
      <c r="B129" s="191" t="str">
        <f t="shared" si="11"/>
        <v>Cold Chain</v>
      </c>
      <c r="C129" s="39">
        <v>0</v>
      </c>
      <c r="D129" s="39">
        <v>0</v>
      </c>
      <c r="E129" s="39">
        <v>0</v>
      </c>
      <c r="F129" s="39">
        <v>0</v>
      </c>
      <c r="G129" s="39">
        <v>0</v>
      </c>
      <c r="H129" s="39">
        <v>0</v>
      </c>
      <c r="I129" s="39">
        <v>0</v>
      </c>
      <c r="J129" s="39">
        <v>0</v>
      </c>
      <c r="K129" s="39">
        <v>0</v>
      </c>
      <c r="L129" s="39">
        <v>0</v>
      </c>
      <c r="M129" s="39">
        <v>0</v>
      </c>
      <c r="N129" s="39">
        <v>0</v>
      </c>
      <c r="O129" s="32">
        <f t="shared" si="6"/>
        <v>0</v>
      </c>
    </row>
    <row r="130" spans="1:15" x14ac:dyDescent="0.25">
      <c r="A130" s="30">
        <f t="shared" si="11"/>
        <v>6</v>
      </c>
      <c r="B130" s="191" t="str">
        <f t="shared" si="11"/>
        <v>Unilever</v>
      </c>
      <c r="C130" s="39">
        <v>0</v>
      </c>
      <c r="D130" s="39">
        <v>0</v>
      </c>
      <c r="E130" s="39">
        <v>0</v>
      </c>
      <c r="F130" s="39">
        <v>0</v>
      </c>
      <c r="G130" s="39">
        <v>0</v>
      </c>
      <c r="H130" s="39">
        <v>0</v>
      </c>
      <c r="I130" s="39">
        <v>0</v>
      </c>
      <c r="J130" s="39">
        <v>0</v>
      </c>
      <c r="K130" s="39">
        <v>0</v>
      </c>
      <c r="L130" s="39">
        <v>0</v>
      </c>
      <c r="M130" s="39">
        <v>0</v>
      </c>
      <c r="N130" s="39">
        <v>0</v>
      </c>
      <c r="O130" s="32">
        <f t="shared" si="6"/>
        <v>0</v>
      </c>
    </row>
    <row r="131" spans="1:15" x14ac:dyDescent="0.25">
      <c r="A131" s="30">
        <f t="shared" si="11"/>
        <v>7</v>
      </c>
      <c r="B131" s="191" t="str">
        <f t="shared" si="11"/>
        <v>Rab Processors</v>
      </c>
      <c r="C131" s="39">
        <v>0</v>
      </c>
      <c r="D131" s="39">
        <v>0</v>
      </c>
      <c r="E131" s="39">
        <v>0</v>
      </c>
      <c r="F131" s="39">
        <v>0</v>
      </c>
      <c r="G131" s="39">
        <v>0</v>
      </c>
      <c r="H131" s="39">
        <v>0</v>
      </c>
      <c r="I131" s="39">
        <v>0</v>
      </c>
      <c r="J131" s="39">
        <v>0</v>
      </c>
      <c r="K131" s="39">
        <v>0</v>
      </c>
      <c r="L131" s="39">
        <v>0</v>
      </c>
      <c r="M131" s="39">
        <v>0</v>
      </c>
      <c r="N131" s="39">
        <v>0</v>
      </c>
      <c r="O131" s="32">
        <f t="shared" si="6"/>
        <v>0</v>
      </c>
    </row>
    <row r="132" spans="1:15" x14ac:dyDescent="0.25">
      <c r="A132" s="30">
        <f t="shared" si="11"/>
        <v>8</v>
      </c>
      <c r="B132" s="191" t="str">
        <f t="shared" si="11"/>
        <v>Kwacha Fund</v>
      </c>
      <c r="C132" s="188">
        <v>1464353</v>
      </c>
      <c r="D132" s="39">
        <v>0</v>
      </c>
      <c r="E132" s="39">
        <v>0</v>
      </c>
      <c r="F132" s="39">
        <v>0</v>
      </c>
      <c r="G132" s="39">
        <v>0</v>
      </c>
      <c r="H132" s="39">
        <v>0</v>
      </c>
      <c r="I132" s="39">
        <v>0</v>
      </c>
      <c r="J132" s="39">
        <v>3323620.49</v>
      </c>
      <c r="K132" s="39">
        <v>0</v>
      </c>
      <c r="L132" s="39">
        <v>0</v>
      </c>
      <c r="M132" s="39">
        <v>0</v>
      </c>
      <c r="N132" s="39">
        <v>0</v>
      </c>
      <c r="O132" s="32">
        <f t="shared" si="6"/>
        <v>4787973.49</v>
      </c>
    </row>
    <row r="133" spans="1:15" x14ac:dyDescent="0.25">
      <c r="A133" s="30">
        <f t="shared" si="11"/>
        <v>9</v>
      </c>
      <c r="B133" s="191" t="str">
        <f t="shared" si="11"/>
        <v>Ekhaya Farms</v>
      </c>
      <c r="C133" s="39">
        <v>0</v>
      </c>
      <c r="D133" s="39">
        <v>0</v>
      </c>
      <c r="E133" s="39">
        <v>0</v>
      </c>
      <c r="F133" s="39">
        <v>0</v>
      </c>
      <c r="G133" s="39">
        <v>0</v>
      </c>
      <c r="H133" s="39">
        <v>0</v>
      </c>
      <c r="I133" s="39">
        <v>0</v>
      </c>
      <c r="J133" s="39">
        <v>0</v>
      </c>
      <c r="K133" s="39">
        <v>0</v>
      </c>
      <c r="L133" s="39">
        <v>0</v>
      </c>
      <c r="M133" s="39">
        <v>0</v>
      </c>
      <c r="N133" s="39">
        <v>0</v>
      </c>
      <c r="O133" s="32">
        <f t="shared" si="6"/>
        <v>0</v>
      </c>
    </row>
    <row r="134" spans="1:15" x14ac:dyDescent="0.25">
      <c r="A134" s="30">
        <f t="shared" si="11"/>
        <v>10</v>
      </c>
      <c r="B134" s="191" t="str">
        <f t="shared" si="11"/>
        <v>Central Poultry</v>
      </c>
      <c r="C134" s="39">
        <v>0</v>
      </c>
      <c r="D134" s="39">
        <v>0</v>
      </c>
      <c r="E134" s="39">
        <v>0</v>
      </c>
      <c r="F134" s="39">
        <v>0</v>
      </c>
      <c r="G134" s="39">
        <v>0</v>
      </c>
      <c r="H134" s="39">
        <v>0</v>
      </c>
      <c r="I134" s="39">
        <v>0</v>
      </c>
      <c r="J134" s="39">
        <v>0</v>
      </c>
      <c r="K134" s="39">
        <v>0</v>
      </c>
      <c r="L134" s="39">
        <v>0</v>
      </c>
      <c r="M134" s="39">
        <v>0</v>
      </c>
      <c r="N134" s="39">
        <v>0</v>
      </c>
      <c r="O134" s="32">
        <f t="shared" si="6"/>
        <v>0</v>
      </c>
    </row>
    <row r="135" spans="1:15" x14ac:dyDescent="0.25">
      <c r="A135" s="30">
        <f t="shared" si="11"/>
        <v>11</v>
      </c>
      <c r="B135" s="191" t="str">
        <f t="shared" si="11"/>
        <v>Licorice Investment (Burundi Shop)</v>
      </c>
      <c r="C135" s="39">
        <v>0</v>
      </c>
      <c r="D135" s="39">
        <v>0</v>
      </c>
      <c r="E135" s="39">
        <v>0</v>
      </c>
      <c r="F135" s="39">
        <v>0</v>
      </c>
      <c r="G135" s="39">
        <v>0</v>
      </c>
      <c r="H135" s="39">
        <v>0</v>
      </c>
      <c r="I135" s="39">
        <v>0</v>
      </c>
      <c r="J135" s="39">
        <v>0</v>
      </c>
      <c r="K135" s="39">
        <v>0</v>
      </c>
      <c r="L135" s="39">
        <v>0</v>
      </c>
      <c r="M135" s="39">
        <v>0</v>
      </c>
      <c r="N135" s="39">
        <v>0</v>
      </c>
      <c r="O135" s="32">
        <f t="shared" si="6"/>
        <v>0</v>
      </c>
    </row>
    <row r="136" spans="1:15" x14ac:dyDescent="0.25">
      <c r="A136" s="30">
        <f t="shared" si="11"/>
        <v>12</v>
      </c>
      <c r="B136" s="191" t="str">
        <f t="shared" si="11"/>
        <v xml:space="preserve">Insco Trading </v>
      </c>
      <c r="C136" s="39">
        <v>0</v>
      </c>
      <c r="D136" s="39">
        <v>0</v>
      </c>
      <c r="E136" s="39">
        <v>0</v>
      </c>
      <c r="F136" s="39">
        <v>0</v>
      </c>
      <c r="G136" s="39">
        <v>0</v>
      </c>
      <c r="H136" s="39">
        <v>0</v>
      </c>
      <c r="I136" s="39">
        <v>0</v>
      </c>
      <c r="J136" s="39">
        <v>647850</v>
      </c>
      <c r="K136" s="39">
        <v>0</v>
      </c>
      <c r="L136" s="39">
        <v>0</v>
      </c>
      <c r="M136" s="39">
        <v>0</v>
      </c>
      <c r="N136" s="39">
        <v>0</v>
      </c>
      <c r="O136" s="32">
        <f t="shared" si="6"/>
        <v>647850</v>
      </c>
    </row>
    <row r="137" spans="1:15" x14ac:dyDescent="0.25">
      <c r="A137" s="30">
        <f t="shared" si="11"/>
        <v>13</v>
      </c>
      <c r="B137" s="191" t="str">
        <f t="shared" si="11"/>
        <v>Chimwemwe Mafeni Trading</v>
      </c>
      <c r="C137" s="188">
        <v>309150</v>
      </c>
      <c r="D137" s="39">
        <v>0</v>
      </c>
      <c r="E137" s="39">
        <v>0</v>
      </c>
      <c r="F137" s="39">
        <v>0</v>
      </c>
      <c r="G137" s="39">
        <v>0</v>
      </c>
      <c r="H137" s="39">
        <v>0</v>
      </c>
      <c r="I137" s="39">
        <v>0</v>
      </c>
      <c r="J137" s="39">
        <v>736199.99</v>
      </c>
      <c r="K137" s="39">
        <v>0</v>
      </c>
      <c r="L137" s="39">
        <v>0</v>
      </c>
      <c r="M137" s="39">
        <v>0</v>
      </c>
      <c r="N137" s="39">
        <v>0</v>
      </c>
      <c r="O137" s="32">
        <f t="shared" si="6"/>
        <v>1045349.99</v>
      </c>
    </row>
    <row r="138" spans="1:15" x14ac:dyDescent="0.25">
      <c r="A138" s="30">
        <f t="shared" si="11"/>
        <v>14</v>
      </c>
      <c r="B138" s="191" t="str">
        <f t="shared" si="11"/>
        <v>Lilongwe Dairy</v>
      </c>
      <c r="C138" s="39">
        <v>0</v>
      </c>
      <c r="D138" s="39">
        <v>0</v>
      </c>
      <c r="E138" s="39">
        <v>0</v>
      </c>
      <c r="F138" s="39">
        <v>0</v>
      </c>
      <c r="G138" s="39">
        <v>0</v>
      </c>
      <c r="H138" s="39">
        <v>0</v>
      </c>
      <c r="I138" s="39">
        <v>0</v>
      </c>
      <c r="J138" s="39">
        <v>0</v>
      </c>
      <c r="K138" s="39">
        <v>0</v>
      </c>
      <c r="L138" s="39">
        <v>0</v>
      </c>
      <c r="M138" s="39">
        <v>0</v>
      </c>
      <c r="N138" s="39">
        <v>0</v>
      </c>
      <c r="O138" s="32">
        <f t="shared" si="6"/>
        <v>0</v>
      </c>
    </row>
    <row r="139" spans="1:15" x14ac:dyDescent="0.25">
      <c r="A139" s="30">
        <f t="shared" si="11"/>
        <v>15</v>
      </c>
      <c r="B139" s="191" t="str">
        <f t="shared" si="11"/>
        <v>Limbe Products</v>
      </c>
      <c r="C139" s="39">
        <v>0</v>
      </c>
      <c r="D139" s="39">
        <v>0</v>
      </c>
      <c r="E139" s="39">
        <v>0</v>
      </c>
      <c r="F139" s="39">
        <v>0</v>
      </c>
      <c r="G139" s="39">
        <v>0</v>
      </c>
      <c r="H139" s="39">
        <v>0</v>
      </c>
      <c r="I139" s="39">
        <v>0</v>
      </c>
      <c r="J139" s="39">
        <v>1563800</v>
      </c>
      <c r="K139" s="39">
        <v>0</v>
      </c>
      <c r="L139" s="39">
        <v>0</v>
      </c>
      <c r="M139" s="39">
        <v>0</v>
      </c>
      <c r="N139" s="39">
        <v>0</v>
      </c>
      <c r="O139" s="32">
        <f t="shared" si="6"/>
        <v>1563800</v>
      </c>
    </row>
    <row r="140" spans="1:15" x14ac:dyDescent="0.25">
      <c r="A140" s="30">
        <f t="shared" si="11"/>
        <v>16</v>
      </c>
      <c r="B140" s="191" t="str">
        <f t="shared" si="11"/>
        <v>Chemusa Sausages</v>
      </c>
      <c r="C140" s="39">
        <v>0</v>
      </c>
      <c r="D140" s="39">
        <v>0</v>
      </c>
      <c r="E140" s="39">
        <v>0</v>
      </c>
      <c r="F140" s="39">
        <v>0</v>
      </c>
      <c r="G140" s="39">
        <v>0</v>
      </c>
      <c r="H140" s="39">
        <v>0</v>
      </c>
      <c r="I140" s="39">
        <v>0</v>
      </c>
      <c r="J140" s="39">
        <v>0</v>
      </c>
      <c r="K140" s="39">
        <v>0</v>
      </c>
      <c r="L140" s="39">
        <v>0</v>
      </c>
      <c r="M140" s="39">
        <v>0</v>
      </c>
      <c r="N140" s="39">
        <v>0</v>
      </c>
      <c r="O140" s="32">
        <f t="shared" si="6"/>
        <v>0</v>
      </c>
    </row>
    <row r="141" spans="1:15" x14ac:dyDescent="0.25">
      <c r="A141" s="30">
        <f t="shared" si="11"/>
        <v>17</v>
      </c>
      <c r="B141" s="191" t="str">
        <f t="shared" si="11"/>
        <v>Madula Butchery</v>
      </c>
      <c r="C141" s="39">
        <v>0</v>
      </c>
      <c r="D141" s="39">
        <v>0</v>
      </c>
      <c r="E141" s="39">
        <v>0</v>
      </c>
      <c r="F141" s="39">
        <v>0</v>
      </c>
      <c r="G141" s="39">
        <v>0</v>
      </c>
      <c r="H141" s="39">
        <v>0</v>
      </c>
      <c r="I141" s="39">
        <v>0</v>
      </c>
      <c r="J141" s="39">
        <v>0</v>
      </c>
      <c r="K141" s="39">
        <v>0</v>
      </c>
      <c r="L141" s="39">
        <v>0</v>
      </c>
      <c r="M141" s="39">
        <v>0</v>
      </c>
      <c r="N141" s="39">
        <v>0</v>
      </c>
      <c r="O141" s="32">
        <f t="shared" si="6"/>
        <v>0</v>
      </c>
    </row>
    <row r="142" spans="1:15" x14ac:dyDescent="0.25">
      <c r="A142" s="30">
        <f t="shared" si="11"/>
        <v>18</v>
      </c>
      <c r="B142" s="191" t="str">
        <f t="shared" si="11"/>
        <v>Zomba Products</v>
      </c>
      <c r="C142" s="188">
        <v>2102650</v>
      </c>
      <c r="D142" s="39">
        <v>0</v>
      </c>
      <c r="E142" s="39">
        <v>0</v>
      </c>
      <c r="F142" s="39">
        <v>0</v>
      </c>
      <c r="G142" s="39">
        <v>0</v>
      </c>
      <c r="H142" s="39">
        <v>0</v>
      </c>
      <c r="I142" s="39">
        <v>0</v>
      </c>
      <c r="J142" s="39">
        <v>1141415</v>
      </c>
      <c r="K142" s="39">
        <v>0</v>
      </c>
      <c r="L142" s="39">
        <v>0</v>
      </c>
      <c r="M142" s="39">
        <v>0</v>
      </c>
      <c r="N142" s="39">
        <v>0</v>
      </c>
      <c r="O142" s="32">
        <f t="shared" si="6"/>
        <v>3244065</v>
      </c>
    </row>
    <row r="143" spans="1:15" x14ac:dyDescent="0.25">
      <c r="A143" s="30">
        <f t="shared" si="11"/>
        <v>19</v>
      </c>
      <c r="B143" s="191" t="str">
        <f t="shared" si="11"/>
        <v>Siera Shop (Burundi Shop)</v>
      </c>
      <c r="C143" s="39">
        <v>0</v>
      </c>
      <c r="D143" s="39">
        <v>0</v>
      </c>
      <c r="E143" s="39">
        <v>0</v>
      </c>
      <c r="F143" s="39">
        <v>0</v>
      </c>
      <c r="G143" s="39">
        <v>0</v>
      </c>
      <c r="H143" s="39">
        <v>0</v>
      </c>
      <c r="I143" s="39">
        <v>0</v>
      </c>
      <c r="J143" s="39">
        <v>0</v>
      </c>
      <c r="K143" s="39">
        <v>0</v>
      </c>
      <c r="L143" s="39">
        <v>0</v>
      </c>
      <c r="M143" s="39">
        <v>0</v>
      </c>
      <c r="N143" s="39">
        <v>0</v>
      </c>
      <c r="O143" s="32">
        <f t="shared" si="6"/>
        <v>0</v>
      </c>
    </row>
    <row r="144" spans="1:15" x14ac:dyDescent="0.25">
      <c r="A144" s="30">
        <f t="shared" si="11"/>
        <v>20</v>
      </c>
      <c r="B144" s="191" t="str">
        <f t="shared" si="11"/>
        <v>Other Products</v>
      </c>
      <c r="C144" s="39">
        <v>0</v>
      </c>
      <c r="D144" s="39">
        <v>0</v>
      </c>
      <c r="E144" s="39">
        <v>0</v>
      </c>
      <c r="F144" s="39">
        <v>0</v>
      </c>
      <c r="G144" s="39">
        <v>0</v>
      </c>
      <c r="H144" s="39">
        <v>0</v>
      </c>
      <c r="I144" s="39">
        <v>0</v>
      </c>
      <c r="J144" s="39">
        <v>64000</v>
      </c>
      <c r="K144" s="39">
        <v>0</v>
      </c>
      <c r="L144" s="39">
        <v>0</v>
      </c>
      <c r="M144" s="39">
        <v>0</v>
      </c>
      <c r="N144" s="39">
        <v>0</v>
      </c>
      <c r="O144" s="32">
        <f t="shared" si="6"/>
        <v>64000</v>
      </c>
    </row>
    <row r="145" spans="1:15" x14ac:dyDescent="0.25">
      <c r="A145" s="48" t="s">
        <v>7</v>
      </c>
      <c r="B145" s="49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1" t="s">
        <v>7</v>
      </c>
    </row>
    <row r="146" spans="1:15" x14ac:dyDescent="0.25">
      <c r="A146" s="34" t="s">
        <v>143</v>
      </c>
      <c r="B146" s="192" t="s">
        <v>31</v>
      </c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2" t="s">
        <v>7</v>
      </c>
    </row>
    <row r="147" spans="1:15" x14ac:dyDescent="0.25">
      <c r="A147" s="34">
        <f>A69</f>
        <v>1</v>
      </c>
      <c r="B147" s="191" t="str">
        <f>B69</f>
        <v>Universal Industries</v>
      </c>
      <c r="C147" s="39">
        <v>0</v>
      </c>
      <c r="D147" s="39">
        <v>0</v>
      </c>
      <c r="E147" s="39">
        <v>0</v>
      </c>
      <c r="F147" s="39">
        <v>0</v>
      </c>
      <c r="G147" s="39">
        <v>0</v>
      </c>
      <c r="H147" s="39">
        <v>0</v>
      </c>
      <c r="I147" s="39">
        <v>0</v>
      </c>
      <c r="J147" s="39">
        <v>0</v>
      </c>
      <c r="K147" s="39">
        <v>0</v>
      </c>
      <c r="L147" s="39">
        <v>0</v>
      </c>
      <c r="M147" s="39">
        <v>0</v>
      </c>
      <c r="N147" s="39">
        <v>0</v>
      </c>
      <c r="O147" s="32">
        <f t="shared" si="6"/>
        <v>0</v>
      </c>
    </row>
    <row r="148" spans="1:15" x14ac:dyDescent="0.25">
      <c r="A148" s="34">
        <f>A70</f>
        <v>2</v>
      </c>
      <c r="B148" s="191" t="str">
        <f>B70</f>
        <v>Bottled Water</v>
      </c>
      <c r="C148" s="188">
        <v>333954</v>
      </c>
      <c r="D148" s="39">
        <v>0</v>
      </c>
      <c r="E148" s="39">
        <v>0</v>
      </c>
      <c r="F148" s="39">
        <v>0</v>
      </c>
      <c r="G148" s="39">
        <v>0</v>
      </c>
      <c r="H148" s="39">
        <v>0</v>
      </c>
      <c r="I148" s="39">
        <v>0</v>
      </c>
      <c r="J148" s="39">
        <v>0</v>
      </c>
      <c r="K148" s="39">
        <v>0</v>
      </c>
      <c r="L148" s="39">
        <v>0</v>
      </c>
      <c r="M148" s="39">
        <v>0</v>
      </c>
      <c r="N148" s="39">
        <v>0</v>
      </c>
      <c r="O148" s="32">
        <f t="shared" si="6"/>
        <v>333954</v>
      </c>
    </row>
    <row r="149" spans="1:15" x14ac:dyDescent="0.25">
      <c r="A149" s="34">
        <f t="shared" ref="A149:B166" si="12">A77</f>
        <v>3</v>
      </c>
      <c r="B149" s="191" t="str">
        <f t="shared" si="12"/>
        <v>Bakeries</v>
      </c>
      <c r="C149" s="188">
        <v>128300</v>
      </c>
      <c r="D149" s="39">
        <v>0</v>
      </c>
      <c r="E149" s="39">
        <v>0</v>
      </c>
      <c r="F149" s="39">
        <v>0</v>
      </c>
      <c r="G149" s="39">
        <v>0</v>
      </c>
      <c r="H149" s="39">
        <v>0</v>
      </c>
      <c r="I149" s="39">
        <v>0</v>
      </c>
      <c r="J149" s="39">
        <v>104700</v>
      </c>
      <c r="K149" s="39">
        <v>0</v>
      </c>
      <c r="L149" s="39">
        <v>0</v>
      </c>
      <c r="M149" s="39">
        <v>0</v>
      </c>
      <c r="N149" s="39">
        <v>0</v>
      </c>
      <c r="O149" s="32">
        <f t="shared" si="6"/>
        <v>233000</v>
      </c>
    </row>
    <row r="150" spans="1:15" x14ac:dyDescent="0.25">
      <c r="A150" s="34">
        <f t="shared" si="12"/>
        <v>4</v>
      </c>
      <c r="B150" s="191" t="str">
        <f t="shared" si="12"/>
        <v>Suncrest Ltd</v>
      </c>
      <c r="C150" s="188">
        <v>192050</v>
      </c>
      <c r="D150" s="39">
        <v>0</v>
      </c>
      <c r="E150" s="39">
        <v>0</v>
      </c>
      <c r="F150" s="39">
        <v>0</v>
      </c>
      <c r="G150" s="39">
        <v>0</v>
      </c>
      <c r="H150" s="39">
        <v>0</v>
      </c>
      <c r="I150" s="39">
        <v>0</v>
      </c>
      <c r="J150" s="39">
        <v>0</v>
      </c>
      <c r="K150" s="39">
        <v>0</v>
      </c>
      <c r="L150" s="39">
        <v>0</v>
      </c>
      <c r="M150" s="39">
        <v>0</v>
      </c>
      <c r="N150" s="39">
        <v>0</v>
      </c>
      <c r="O150" s="32">
        <f t="shared" si="6"/>
        <v>192050</v>
      </c>
    </row>
    <row r="151" spans="1:15" x14ac:dyDescent="0.25">
      <c r="A151" s="34">
        <f t="shared" si="12"/>
        <v>5</v>
      </c>
      <c r="B151" s="191" t="str">
        <f t="shared" si="12"/>
        <v>Cold Chain</v>
      </c>
      <c r="C151" s="39">
        <v>0</v>
      </c>
      <c r="D151" s="39">
        <v>0</v>
      </c>
      <c r="E151" s="39">
        <v>0</v>
      </c>
      <c r="F151" s="39">
        <v>0</v>
      </c>
      <c r="G151" s="39">
        <v>0</v>
      </c>
      <c r="H151" s="39">
        <v>0</v>
      </c>
      <c r="I151" s="39">
        <v>0</v>
      </c>
      <c r="J151" s="39">
        <v>0</v>
      </c>
      <c r="K151" s="39">
        <v>0</v>
      </c>
      <c r="L151" s="39">
        <v>0</v>
      </c>
      <c r="M151" s="39">
        <v>0</v>
      </c>
      <c r="N151" s="39">
        <v>0</v>
      </c>
      <c r="O151" s="32">
        <f t="shared" si="6"/>
        <v>0</v>
      </c>
    </row>
    <row r="152" spans="1:15" x14ac:dyDescent="0.25">
      <c r="A152" s="34">
        <f t="shared" si="12"/>
        <v>6</v>
      </c>
      <c r="B152" s="191" t="str">
        <f t="shared" si="12"/>
        <v>Unilever</v>
      </c>
      <c r="C152" s="39">
        <v>0</v>
      </c>
      <c r="D152" s="39">
        <v>0</v>
      </c>
      <c r="E152" s="39">
        <v>0</v>
      </c>
      <c r="F152" s="39">
        <v>0</v>
      </c>
      <c r="G152" s="39">
        <v>0</v>
      </c>
      <c r="H152" s="39">
        <v>0</v>
      </c>
      <c r="I152" s="39">
        <v>0</v>
      </c>
      <c r="J152" s="39">
        <v>0</v>
      </c>
      <c r="K152" s="39">
        <v>0</v>
      </c>
      <c r="L152" s="39">
        <v>0</v>
      </c>
      <c r="M152" s="39">
        <v>0</v>
      </c>
      <c r="N152" s="39">
        <v>0</v>
      </c>
      <c r="O152" s="32">
        <f t="shared" si="6"/>
        <v>0</v>
      </c>
    </row>
    <row r="153" spans="1:15" x14ac:dyDescent="0.25">
      <c r="A153" s="34">
        <f t="shared" si="12"/>
        <v>7</v>
      </c>
      <c r="B153" s="191" t="str">
        <f t="shared" si="12"/>
        <v>Rab Processors</v>
      </c>
      <c r="C153" s="39">
        <v>0</v>
      </c>
      <c r="D153" s="39">
        <v>0</v>
      </c>
      <c r="E153" s="39">
        <v>0</v>
      </c>
      <c r="F153" s="39">
        <v>0</v>
      </c>
      <c r="G153" s="39">
        <v>0</v>
      </c>
      <c r="H153" s="39">
        <v>0</v>
      </c>
      <c r="I153" s="39">
        <v>0</v>
      </c>
      <c r="J153" s="39">
        <v>0</v>
      </c>
      <c r="K153" s="39">
        <v>0</v>
      </c>
      <c r="L153" s="39">
        <v>0</v>
      </c>
      <c r="M153" s="39">
        <v>0</v>
      </c>
      <c r="N153" s="39">
        <v>0</v>
      </c>
      <c r="O153" s="32">
        <f t="shared" ref="O153:O240" si="13">SUM(C153:N153)</f>
        <v>0</v>
      </c>
    </row>
    <row r="154" spans="1:15" x14ac:dyDescent="0.25">
      <c r="A154" s="34">
        <f t="shared" si="12"/>
        <v>8</v>
      </c>
      <c r="B154" s="191" t="str">
        <f t="shared" si="12"/>
        <v>Kwacha Fund</v>
      </c>
      <c r="C154" s="39">
        <v>0</v>
      </c>
      <c r="D154" s="39">
        <v>0</v>
      </c>
      <c r="E154" s="39">
        <v>0</v>
      </c>
      <c r="F154" s="39">
        <v>0</v>
      </c>
      <c r="G154" s="39">
        <v>0</v>
      </c>
      <c r="H154" s="39">
        <v>0</v>
      </c>
      <c r="I154" s="39">
        <v>0</v>
      </c>
      <c r="J154" s="39">
        <v>0</v>
      </c>
      <c r="K154" s="39">
        <v>0</v>
      </c>
      <c r="L154" s="39">
        <v>0</v>
      </c>
      <c r="M154" s="39">
        <v>0</v>
      </c>
      <c r="N154" s="39">
        <v>0</v>
      </c>
      <c r="O154" s="32">
        <f t="shared" si="13"/>
        <v>0</v>
      </c>
    </row>
    <row r="155" spans="1:15" x14ac:dyDescent="0.25">
      <c r="A155" s="34">
        <f t="shared" si="12"/>
        <v>9</v>
      </c>
      <c r="B155" s="191" t="str">
        <f t="shared" si="12"/>
        <v>Ekhaya Farms</v>
      </c>
      <c r="C155" s="39">
        <v>0</v>
      </c>
      <c r="D155" s="39">
        <v>0</v>
      </c>
      <c r="E155" s="39">
        <v>0</v>
      </c>
      <c r="F155" s="39">
        <v>0</v>
      </c>
      <c r="G155" s="39">
        <v>0</v>
      </c>
      <c r="H155" s="39">
        <v>0</v>
      </c>
      <c r="I155" s="39">
        <v>0</v>
      </c>
      <c r="J155" s="39">
        <v>0</v>
      </c>
      <c r="K155" s="39">
        <v>0</v>
      </c>
      <c r="L155" s="39">
        <v>0</v>
      </c>
      <c r="M155" s="39">
        <v>0</v>
      </c>
      <c r="N155" s="39">
        <v>0</v>
      </c>
      <c r="O155" s="32">
        <f t="shared" si="13"/>
        <v>0</v>
      </c>
    </row>
    <row r="156" spans="1:15" x14ac:dyDescent="0.25">
      <c r="A156" s="34">
        <f t="shared" si="12"/>
        <v>10</v>
      </c>
      <c r="B156" s="191" t="str">
        <f t="shared" si="12"/>
        <v>Central Poultry</v>
      </c>
      <c r="C156" s="39">
        <v>0</v>
      </c>
      <c r="D156" s="39">
        <v>0</v>
      </c>
      <c r="E156" s="39">
        <v>0</v>
      </c>
      <c r="F156" s="39">
        <v>0</v>
      </c>
      <c r="G156" s="39">
        <v>0</v>
      </c>
      <c r="H156" s="39">
        <v>0</v>
      </c>
      <c r="I156" s="39">
        <v>0</v>
      </c>
      <c r="J156" s="39">
        <v>0</v>
      </c>
      <c r="K156" s="39">
        <v>0</v>
      </c>
      <c r="L156" s="39">
        <v>0</v>
      </c>
      <c r="M156" s="39">
        <v>0</v>
      </c>
      <c r="N156" s="39">
        <v>0</v>
      </c>
      <c r="O156" s="32">
        <f t="shared" si="13"/>
        <v>0</v>
      </c>
    </row>
    <row r="157" spans="1:15" x14ac:dyDescent="0.25">
      <c r="A157" s="34">
        <f t="shared" si="12"/>
        <v>11</v>
      </c>
      <c r="B157" s="191" t="str">
        <f t="shared" si="12"/>
        <v>Licorice Investment (Burundi Shop)</v>
      </c>
      <c r="C157" s="39">
        <v>0</v>
      </c>
      <c r="D157" s="39">
        <v>0</v>
      </c>
      <c r="E157" s="39">
        <v>0</v>
      </c>
      <c r="F157" s="39">
        <v>0</v>
      </c>
      <c r="G157" s="39">
        <v>0</v>
      </c>
      <c r="H157" s="39">
        <v>0</v>
      </c>
      <c r="I157" s="39">
        <v>0</v>
      </c>
      <c r="J157" s="39">
        <v>0</v>
      </c>
      <c r="K157" s="39">
        <v>0</v>
      </c>
      <c r="L157" s="39">
        <v>0</v>
      </c>
      <c r="M157" s="39">
        <v>0</v>
      </c>
      <c r="N157" s="39">
        <v>0</v>
      </c>
      <c r="O157" s="32">
        <f t="shared" si="13"/>
        <v>0</v>
      </c>
    </row>
    <row r="158" spans="1:15" x14ac:dyDescent="0.25">
      <c r="A158" s="34">
        <f t="shared" si="12"/>
        <v>12</v>
      </c>
      <c r="B158" s="191" t="str">
        <f t="shared" si="12"/>
        <v xml:space="preserve">Insco Trading </v>
      </c>
      <c r="C158" s="39">
        <v>0</v>
      </c>
      <c r="D158" s="39">
        <v>0</v>
      </c>
      <c r="E158" s="39">
        <v>0</v>
      </c>
      <c r="F158" s="39">
        <v>0</v>
      </c>
      <c r="G158" s="39">
        <v>0</v>
      </c>
      <c r="H158" s="39">
        <v>0</v>
      </c>
      <c r="I158" s="39">
        <v>0</v>
      </c>
      <c r="J158" s="39">
        <v>0</v>
      </c>
      <c r="K158" s="39">
        <v>0</v>
      </c>
      <c r="L158" s="39">
        <v>0</v>
      </c>
      <c r="M158" s="39">
        <v>0</v>
      </c>
      <c r="N158" s="39">
        <v>0</v>
      </c>
      <c r="O158" s="32">
        <f t="shared" si="13"/>
        <v>0</v>
      </c>
    </row>
    <row r="159" spans="1:15" x14ac:dyDescent="0.25">
      <c r="A159" s="34">
        <f t="shared" si="12"/>
        <v>13</v>
      </c>
      <c r="B159" s="191" t="str">
        <f t="shared" si="12"/>
        <v>Chimwemwe Mafeni Trading</v>
      </c>
      <c r="C159" s="39">
        <v>0</v>
      </c>
      <c r="D159" s="39">
        <v>0</v>
      </c>
      <c r="E159" s="39">
        <v>0</v>
      </c>
      <c r="F159" s="39">
        <v>0</v>
      </c>
      <c r="G159" s="39">
        <v>0</v>
      </c>
      <c r="H159" s="39">
        <v>0</v>
      </c>
      <c r="I159" s="39">
        <v>0</v>
      </c>
      <c r="J159" s="39">
        <v>0</v>
      </c>
      <c r="K159" s="39">
        <v>0</v>
      </c>
      <c r="L159" s="39">
        <v>0</v>
      </c>
      <c r="M159" s="39">
        <v>0</v>
      </c>
      <c r="N159" s="39">
        <v>0</v>
      </c>
      <c r="O159" s="32">
        <f t="shared" si="13"/>
        <v>0</v>
      </c>
    </row>
    <row r="160" spans="1:15" x14ac:dyDescent="0.25">
      <c r="A160" s="34">
        <f t="shared" si="12"/>
        <v>14</v>
      </c>
      <c r="B160" s="191" t="str">
        <f t="shared" si="12"/>
        <v>Lilongwe Dairy</v>
      </c>
      <c r="C160" s="39">
        <v>0</v>
      </c>
      <c r="D160" s="39">
        <v>0</v>
      </c>
      <c r="E160" s="39">
        <v>0</v>
      </c>
      <c r="F160" s="39">
        <v>0</v>
      </c>
      <c r="G160" s="39">
        <v>0</v>
      </c>
      <c r="H160" s="39">
        <v>0</v>
      </c>
      <c r="I160" s="39">
        <v>0</v>
      </c>
      <c r="J160" s="39">
        <v>0</v>
      </c>
      <c r="K160" s="39">
        <v>0</v>
      </c>
      <c r="L160" s="39">
        <v>0</v>
      </c>
      <c r="M160" s="39">
        <v>0</v>
      </c>
      <c r="N160" s="39">
        <v>0</v>
      </c>
      <c r="O160" s="32">
        <f t="shared" si="13"/>
        <v>0</v>
      </c>
    </row>
    <row r="161" spans="1:15" x14ac:dyDescent="0.25">
      <c r="A161" s="34">
        <f t="shared" si="12"/>
        <v>15</v>
      </c>
      <c r="B161" s="191" t="str">
        <f t="shared" si="12"/>
        <v>Limbe Products</v>
      </c>
      <c r="C161" s="39">
        <v>0</v>
      </c>
      <c r="D161" s="39">
        <v>0</v>
      </c>
      <c r="E161" s="39">
        <v>0</v>
      </c>
      <c r="F161" s="39">
        <v>0</v>
      </c>
      <c r="G161" s="39">
        <v>0</v>
      </c>
      <c r="H161" s="39">
        <v>0</v>
      </c>
      <c r="I161" s="39">
        <v>0</v>
      </c>
      <c r="J161" s="39">
        <v>0</v>
      </c>
      <c r="K161" s="39">
        <v>0</v>
      </c>
      <c r="L161" s="39">
        <v>0</v>
      </c>
      <c r="M161" s="39">
        <v>0</v>
      </c>
      <c r="N161" s="39">
        <v>0</v>
      </c>
      <c r="O161" s="32">
        <f t="shared" si="13"/>
        <v>0</v>
      </c>
    </row>
    <row r="162" spans="1:15" x14ac:dyDescent="0.25">
      <c r="A162" s="34">
        <f t="shared" si="12"/>
        <v>16</v>
      </c>
      <c r="B162" s="191" t="str">
        <f t="shared" si="12"/>
        <v>Chemusa Sausages</v>
      </c>
      <c r="C162" s="188">
        <v>220000</v>
      </c>
      <c r="D162" s="39">
        <v>0</v>
      </c>
      <c r="E162" s="39">
        <v>0</v>
      </c>
      <c r="F162" s="39">
        <v>0</v>
      </c>
      <c r="G162" s="39">
        <v>0</v>
      </c>
      <c r="H162" s="39">
        <v>0</v>
      </c>
      <c r="I162" s="39">
        <v>0</v>
      </c>
      <c r="J162" s="39">
        <v>0</v>
      </c>
      <c r="K162" s="39">
        <v>0</v>
      </c>
      <c r="L162" s="39">
        <v>0</v>
      </c>
      <c r="M162" s="39">
        <v>0</v>
      </c>
      <c r="N162" s="39">
        <v>0</v>
      </c>
      <c r="O162" s="32">
        <f t="shared" si="13"/>
        <v>220000</v>
      </c>
    </row>
    <row r="163" spans="1:15" x14ac:dyDescent="0.25">
      <c r="A163" s="34">
        <f t="shared" si="12"/>
        <v>17</v>
      </c>
      <c r="B163" s="191" t="str">
        <f t="shared" si="12"/>
        <v>Madula Butchery</v>
      </c>
      <c r="C163" s="39">
        <v>0</v>
      </c>
      <c r="D163" s="39">
        <v>0</v>
      </c>
      <c r="E163" s="39">
        <v>0</v>
      </c>
      <c r="F163" s="39">
        <v>0</v>
      </c>
      <c r="G163" s="39">
        <v>0</v>
      </c>
      <c r="H163" s="39">
        <v>0</v>
      </c>
      <c r="I163" s="39">
        <v>0</v>
      </c>
      <c r="J163" s="39">
        <v>0</v>
      </c>
      <c r="K163" s="39">
        <v>0</v>
      </c>
      <c r="L163" s="39">
        <v>0</v>
      </c>
      <c r="M163" s="39">
        <v>0</v>
      </c>
      <c r="N163" s="39">
        <v>0</v>
      </c>
      <c r="O163" s="32">
        <f t="shared" si="13"/>
        <v>0</v>
      </c>
    </row>
    <row r="164" spans="1:15" x14ac:dyDescent="0.25">
      <c r="A164" s="34">
        <f t="shared" si="12"/>
        <v>18</v>
      </c>
      <c r="B164" s="191" t="str">
        <f t="shared" si="12"/>
        <v>Zomba Products</v>
      </c>
      <c r="C164" s="39">
        <v>0</v>
      </c>
      <c r="D164" s="39">
        <v>0</v>
      </c>
      <c r="E164" s="39">
        <v>0</v>
      </c>
      <c r="F164" s="39">
        <v>0</v>
      </c>
      <c r="G164" s="39">
        <v>0</v>
      </c>
      <c r="H164" s="39">
        <v>0</v>
      </c>
      <c r="I164" s="39">
        <v>0</v>
      </c>
      <c r="J164" s="39">
        <v>0</v>
      </c>
      <c r="K164" s="39">
        <v>0</v>
      </c>
      <c r="L164" s="39">
        <v>0</v>
      </c>
      <c r="M164" s="39">
        <v>0</v>
      </c>
      <c r="N164" s="39">
        <v>0</v>
      </c>
      <c r="O164" s="32">
        <f t="shared" si="13"/>
        <v>0</v>
      </c>
    </row>
    <row r="165" spans="1:15" x14ac:dyDescent="0.25">
      <c r="A165" s="34">
        <f t="shared" si="12"/>
        <v>19</v>
      </c>
      <c r="B165" s="191" t="str">
        <f t="shared" si="12"/>
        <v>Siera Shop (Burundi Shop)</v>
      </c>
      <c r="C165" s="39">
        <v>0</v>
      </c>
      <c r="D165" s="39">
        <v>0</v>
      </c>
      <c r="E165" s="39">
        <v>0</v>
      </c>
      <c r="F165" s="39">
        <v>0</v>
      </c>
      <c r="G165" s="39">
        <v>0</v>
      </c>
      <c r="H165" s="39">
        <v>0</v>
      </c>
      <c r="I165" s="39">
        <v>0</v>
      </c>
      <c r="J165" s="39">
        <v>0</v>
      </c>
      <c r="K165" s="39">
        <v>0</v>
      </c>
      <c r="L165" s="39">
        <v>0</v>
      </c>
      <c r="M165" s="39">
        <v>0</v>
      </c>
      <c r="N165" s="39">
        <v>0</v>
      </c>
      <c r="O165" s="32">
        <f t="shared" si="13"/>
        <v>0</v>
      </c>
    </row>
    <row r="166" spans="1:15" x14ac:dyDescent="0.25">
      <c r="A166" s="34">
        <f t="shared" si="12"/>
        <v>20</v>
      </c>
      <c r="B166" s="191" t="str">
        <f t="shared" si="12"/>
        <v>Other Products</v>
      </c>
      <c r="C166" s="188">
        <v>88000</v>
      </c>
      <c r="D166" s="39">
        <v>0</v>
      </c>
      <c r="E166" s="39">
        <v>0</v>
      </c>
      <c r="F166" s="39">
        <v>0</v>
      </c>
      <c r="G166" s="39">
        <v>0</v>
      </c>
      <c r="H166" s="39">
        <v>0</v>
      </c>
      <c r="I166" s="39">
        <v>0</v>
      </c>
      <c r="J166" s="39">
        <v>0</v>
      </c>
      <c r="K166" s="39">
        <v>0</v>
      </c>
      <c r="L166" s="39">
        <v>0</v>
      </c>
      <c r="M166" s="39">
        <v>0</v>
      </c>
      <c r="N166" s="39">
        <v>0</v>
      </c>
      <c r="O166" s="32">
        <f t="shared" si="13"/>
        <v>88000</v>
      </c>
    </row>
    <row r="167" spans="1:15" x14ac:dyDescent="0.25">
      <c r="A167" s="48" t="s">
        <v>7</v>
      </c>
      <c r="B167" s="49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1" t="s">
        <v>7</v>
      </c>
    </row>
    <row r="168" spans="1:15" x14ac:dyDescent="0.25">
      <c r="A168" s="34" t="s">
        <v>144</v>
      </c>
      <c r="B168" s="192" t="s">
        <v>148</v>
      </c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2" t="s">
        <v>7</v>
      </c>
    </row>
    <row r="169" spans="1:15" x14ac:dyDescent="0.25">
      <c r="A169" s="34">
        <f>A147</f>
        <v>1</v>
      </c>
      <c r="B169" s="191" t="str">
        <f>B147</f>
        <v>Universal Industries</v>
      </c>
      <c r="C169" s="39">
        <v>0</v>
      </c>
      <c r="D169" s="39">
        <v>0</v>
      </c>
      <c r="E169" s="39">
        <v>0</v>
      </c>
      <c r="F169" s="39">
        <v>0</v>
      </c>
      <c r="G169" s="39">
        <v>0</v>
      </c>
      <c r="H169" s="39">
        <v>0</v>
      </c>
      <c r="I169" s="39">
        <v>0</v>
      </c>
      <c r="J169" s="39">
        <v>0</v>
      </c>
      <c r="K169" s="39">
        <v>0</v>
      </c>
      <c r="L169" s="39">
        <v>0</v>
      </c>
      <c r="M169" s="39">
        <v>0</v>
      </c>
      <c r="N169" s="39">
        <v>0</v>
      </c>
      <c r="O169" s="32">
        <f t="shared" ref="O169:O174" si="14">SUM(C169:N169)</f>
        <v>0</v>
      </c>
    </row>
    <row r="170" spans="1:15" x14ac:dyDescent="0.25">
      <c r="A170" s="34">
        <f t="shared" ref="A170:B170" si="15">A148</f>
        <v>2</v>
      </c>
      <c r="B170" s="191" t="str">
        <f t="shared" si="15"/>
        <v>Bottled Water</v>
      </c>
      <c r="C170" s="39">
        <v>0</v>
      </c>
      <c r="D170" s="39">
        <v>0</v>
      </c>
      <c r="E170" s="39">
        <v>0</v>
      </c>
      <c r="F170" s="39">
        <v>0</v>
      </c>
      <c r="G170" s="39">
        <v>0</v>
      </c>
      <c r="H170" s="39">
        <v>0</v>
      </c>
      <c r="I170" s="39">
        <v>0</v>
      </c>
      <c r="J170" s="39">
        <v>0</v>
      </c>
      <c r="K170" s="39">
        <v>0</v>
      </c>
      <c r="L170" s="39">
        <v>0</v>
      </c>
      <c r="M170" s="39">
        <v>0</v>
      </c>
      <c r="N170" s="39">
        <v>0</v>
      </c>
      <c r="O170" s="32">
        <f t="shared" si="14"/>
        <v>0</v>
      </c>
    </row>
    <row r="171" spans="1:15" x14ac:dyDescent="0.25">
      <c r="A171" s="34">
        <f t="shared" ref="A171:B171" si="16">A149</f>
        <v>3</v>
      </c>
      <c r="B171" s="191" t="str">
        <f t="shared" si="16"/>
        <v>Bakeries</v>
      </c>
      <c r="C171" s="39">
        <v>0</v>
      </c>
      <c r="D171" s="39">
        <v>0</v>
      </c>
      <c r="E171" s="39">
        <v>0</v>
      </c>
      <c r="F171" s="39">
        <v>0</v>
      </c>
      <c r="G171" s="39">
        <v>0</v>
      </c>
      <c r="H171" s="39">
        <v>0</v>
      </c>
      <c r="I171" s="39">
        <v>0</v>
      </c>
      <c r="J171" s="39">
        <v>0</v>
      </c>
      <c r="K171" s="39">
        <v>0</v>
      </c>
      <c r="L171" s="39">
        <v>0</v>
      </c>
      <c r="M171" s="39">
        <v>0</v>
      </c>
      <c r="N171" s="39">
        <v>0</v>
      </c>
      <c r="O171" s="32">
        <f t="shared" si="14"/>
        <v>0</v>
      </c>
    </row>
    <row r="172" spans="1:15" x14ac:dyDescent="0.25">
      <c r="A172" s="34">
        <f t="shared" ref="A172:B172" si="17">A150</f>
        <v>4</v>
      </c>
      <c r="B172" s="191" t="str">
        <f t="shared" si="17"/>
        <v>Suncrest Ltd</v>
      </c>
      <c r="C172" s="39">
        <v>0</v>
      </c>
      <c r="D172" s="39">
        <v>0</v>
      </c>
      <c r="E172" s="39">
        <v>0</v>
      </c>
      <c r="F172" s="39">
        <v>0</v>
      </c>
      <c r="G172" s="39">
        <v>0</v>
      </c>
      <c r="H172" s="39">
        <v>0</v>
      </c>
      <c r="I172" s="39">
        <v>0</v>
      </c>
      <c r="J172" s="39">
        <v>0</v>
      </c>
      <c r="K172" s="39">
        <v>0</v>
      </c>
      <c r="L172" s="39">
        <v>0</v>
      </c>
      <c r="M172" s="39">
        <v>0</v>
      </c>
      <c r="N172" s="39">
        <v>0</v>
      </c>
      <c r="O172" s="32">
        <f t="shared" si="14"/>
        <v>0</v>
      </c>
    </row>
    <row r="173" spans="1:15" x14ac:dyDescent="0.25">
      <c r="A173" s="34">
        <f t="shared" ref="A173:B173" si="18">A151</f>
        <v>5</v>
      </c>
      <c r="B173" s="191" t="str">
        <f t="shared" si="18"/>
        <v>Cold Chain</v>
      </c>
      <c r="C173" s="39">
        <v>0</v>
      </c>
      <c r="D173" s="39">
        <v>0</v>
      </c>
      <c r="E173" s="39">
        <v>0</v>
      </c>
      <c r="F173" s="39">
        <v>0</v>
      </c>
      <c r="G173" s="39">
        <v>0</v>
      </c>
      <c r="H173" s="39">
        <v>0</v>
      </c>
      <c r="I173" s="39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2">
        <f t="shared" si="14"/>
        <v>0</v>
      </c>
    </row>
    <row r="174" spans="1:15" x14ac:dyDescent="0.25">
      <c r="A174" s="34">
        <f t="shared" ref="A174:B174" si="19">A152</f>
        <v>6</v>
      </c>
      <c r="B174" s="191" t="str">
        <f t="shared" si="19"/>
        <v>Unilever</v>
      </c>
      <c r="C174" s="39">
        <v>0</v>
      </c>
      <c r="D174" s="39">
        <v>0</v>
      </c>
      <c r="E174" s="39">
        <v>0</v>
      </c>
      <c r="F174" s="39">
        <v>0</v>
      </c>
      <c r="G174" s="39">
        <v>0</v>
      </c>
      <c r="H174" s="39">
        <v>0</v>
      </c>
      <c r="I174" s="39">
        <v>0</v>
      </c>
      <c r="J174" s="39">
        <v>0</v>
      </c>
      <c r="K174" s="39">
        <v>0</v>
      </c>
      <c r="L174" s="39">
        <v>0</v>
      </c>
      <c r="M174" s="39">
        <v>0</v>
      </c>
      <c r="N174" s="39">
        <v>0</v>
      </c>
      <c r="O174" s="32">
        <f t="shared" si="14"/>
        <v>0</v>
      </c>
    </row>
    <row r="175" spans="1:15" x14ac:dyDescent="0.25">
      <c r="A175" s="34">
        <f t="shared" ref="A175:B175" si="20">A153</f>
        <v>7</v>
      </c>
      <c r="B175" s="191" t="str">
        <f t="shared" si="20"/>
        <v>Rab Processors</v>
      </c>
      <c r="C175" s="39">
        <v>0</v>
      </c>
      <c r="D175" s="39">
        <v>0</v>
      </c>
      <c r="E175" s="39">
        <v>0</v>
      </c>
      <c r="F175" s="39">
        <v>0</v>
      </c>
      <c r="G175" s="39">
        <v>0</v>
      </c>
      <c r="H175" s="39">
        <v>0</v>
      </c>
      <c r="I175" s="39">
        <v>0</v>
      </c>
      <c r="J175" s="39">
        <v>0</v>
      </c>
      <c r="K175" s="39">
        <v>0</v>
      </c>
      <c r="L175" s="39">
        <v>0</v>
      </c>
      <c r="M175" s="39">
        <v>0</v>
      </c>
      <c r="N175" s="39">
        <v>0</v>
      </c>
      <c r="O175" s="32">
        <f t="shared" ref="O175:O188" si="21">SUM(C175:N175)</f>
        <v>0</v>
      </c>
    </row>
    <row r="176" spans="1:15" x14ac:dyDescent="0.25">
      <c r="A176" s="34">
        <f t="shared" ref="A176:B176" si="22">A154</f>
        <v>8</v>
      </c>
      <c r="B176" s="191" t="str">
        <f t="shared" si="22"/>
        <v>Kwacha Fund</v>
      </c>
      <c r="C176" s="39">
        <v>0</v>
      </c>
      <c r="D176" s="39">
        <v>0</v>
      </c>
      <c r="E176" s="39">
        <v>0</v>
      </c>
      <c r="F176" s="39">
        <v>0</v>
      </c>
      <c r="G176" s="39">
        <v>0</v>
      </c>
      <c r="H176" s="39">
        <v>0</v>
      </c>
      <c r="I176" s="39">
        <v>0</v>
      </c>
      <c r="J176" s="39">
        <v>0</v>
      </c>
      <c r="K176" s="39">
        <v>0</v>
      </c>
      <c r="L176" s="39">
        <v>0</v>
      </c>
      <c r="M176" s="39">
        <v>0</v>
      </c>
      <c r="N176" s="39">
        <v>0</v>
      </c>
      <c r="O176" s="32">
        <f t="shared" si="21"/>
        <v>0</v>
      </c>
    </row>
    <row r="177" spans="1:15" x14ac:dyDescent="0.25">
      <c r="A177" s="34">
        <f t="shared" ref="A177:B177" si="23">A155</f>
        <v>9</v>
      </c>
      <c r="B177" s="191" t="str">
        <f t="shared" si="23"/>
        <v>Ekhaya Farms</v>
      </c>
      <c r="C177" s="39">
        <v>0</v>
      </c>
      <c r="D177" s="39">
        <v>0</v>
      </c>
      <c r="E177" s="39">
        <v>0</v>
      </c>
      <c r="F177" s="39">
        <v>0</v>
      </c>
      <c r="G177" s="39">
        <v>0</v>
      </c>
      <c r="H177" s="39">
        <v>0</v>
      </c>
      <c r="I177" s="39">
        <v>0</v>
      </c>
      <c r="J177" s="39">
        <v>0</v>
      </c>
      <c r="K177" s="39">
        <v>0</v>
      </c>
      <c r="L177" s="39">
        <v>0</v>
      </c>
      <c r="M177" s="39">
        <v>0</v>
      </c>
      <c r="N177" s="39">
        <v>0</v>
      </c>
      <c r="O177" s="32">
        <f t="shared" si="21"/>
        <v>0</v>
      </c>
    </row>
    <row r="178" spans="1:15" x14ac:dyDescent="0.25">
      <c r="A178" s="34">
        <f t="shared" ref="A178:B178" si="24">A156</f>
        <v>10</v>
      </c>
      <c r="B178" s="191" t="str">
        <f t="shared" si="24"/>
        <v>Central Poultry</v>
      </c>
      <c r="C178" s="39">
        <v>0</v>
      </c>
      <c r="D178" s="39">
        <v>0</v>
      </c>
      <c r="E178" s="39">
        <v>0</v>
      </c>
      <c r="F178" s="39">
        <v>0</v>
      </c>
      <c r="G178" s="39">
        <v>0</v>
      </c>
      <c r="H178" s="39">
        <v>0</v>
      </c>
      <c r="I178" s="39">
        <v>0</v>
      </c>
      <c r="J178" s="39">
        <v>0</v>
      </c>
      <c r="K178" s="39">
        <v>0</v>
      </c>
      <c r="L178" s="39">
        <v>0</v>
      </c>
      <c r="M178" s="39">
        <v>0</v>
      </c>
      <c r="N178" s="39">
        <v>0</v>
      </c>
      <c r="O178" s="32">
        <f t="shared" si="21"/>
        <v>0</v>
      </c>
    </row>
    <row r="179" spans="1:15" x14ac:dyDescent="0.25">
      <c r="A179" s="34">
        <f t="shared" ref="A179:B179" si="25">A157</f>
        <v>11</v>
      </c>
      <c r="B179" s="191" t="str">
        <f t="shared" si="25"/>
        <v>Licorice Investment (Burundi Shop)</v>
      </c>
      <c r="C179" s="39">
        <v>0</v>
      </c>
      <c r="D179" s="39">
        <v>0</v>
      </c>
      <c r="E179" s="39">
        <v>0</v>
      </c>
      <c r="F179" s="39">
        <v>0</v>
      </c>
      <c r="G179" s="39">
        <v>0</v>
      </c>
      <c r="H179" s="39">
        <v>0</v>
      </c>
      <c r="I179" s="39">
        <v>0</v>
      </c>
      <c r="J179" s="39">
        <v>0</v>
      </c>
      <c r="K179" s="39">
        <v>0</v>
      </c>
      <c r="L179" s="39">
        <v>0</v>
      </c>
      <c r="M179" s="39">
        <v>0</v>
      </c>
      <c r="N179" s="39">
        <v>0</v>
      </c>
      <c r="O179" s="32">
        <f t="shared" si="21"/>
        <v>0</v>
      </c>
    </row>
    <row r="180" spans="1:15" x14ac:dyDescent="0.25">
      <c r="A180" s="34">
        <f t="shared" ref="A180:B180" si="26">A158</f>
        <v>12</v>
      </c>
      <c r="B180" s="191" t="str">
        <f t="shared" si="26"/>
        <v xml:space="preserve">Insco Trading </v>
      </c>
      <c r="C180" s="39">
        <v>0</v>
      </c>
      <c r="D180" s="39">
        <v>0</v>
      </c>
      <c r="E180" s="39">
        <v>0</v>
      </c>
      <c r="F180" s="39">
        <v>0</v>
      </c>
      <c r="G180" s="39">
        <v>0</v>
      </c>
      <c r="H180" s="39">
        <v>0</v>
      </c>
      <c r="I180" s="39">
        <v>0</v>
      </c>
      <c r="J180" s="39">
        <v>0</v>
      </c>
      <c r="K180" s="39">
        <v>0</v>
      </c>
      <c r="L180" s="39">
        <v>0</v>
      </c>
      <c r="M180" s="39">
        <v>0</v>
      </c>
      <c r="N180" s="39">
        <v>0</v>
      </c>
      <c r="O180" s="32">
        <f t="shared" si="21"/>
        <v>0</v>
      </c>
    </row>
    <row r="181" spans="1:15" x14ac:dyDescent="0.25">
      <c r="A181" s="34">
        <f t="shared" ref="A181:B181" si="27">A159</f>
        <v>13</v>
      </c>
      <c r="B181" s="191" t="str">
        <f t="shared" si="27"/>
        <v>Chimwemwe Mafeni Trading</v>
      </c>
      <c r="C181" s="39">
        <v>0</v>
      </c>
      <c r="D181" s="39">
        <v>0</v>
      </c>
      <c r="E181" s="39">
        <v>0</v>
      </c>
      <c r="F181" s="39">
        <v>0</v>
      </c>
      <c r="G181" s="39">
        <v>0</v>
      </c>
      <c r="H181" s="39">
        <v>0</v>
      </c>
      <c r="I181" s="39">
        <v>0</v>
      </c>
      <c r="J181" s="39">
        <v>0</v>
      </c>
      <c r="K181" s="39">
        <v>0</v>
      </c>
      <c r="L181" s="39">
        <v>0</v>
      </c>
      <c r="M181" s="39">
        <v>0</v>
      </c>
      <c r="N181" s="39">
        <v>0</v>
      </c>
      <c r="O181" s="32">
        <f t="shared" si="21"/>
        <v>0</v>
      </c>
    </row>
    <row r="182" spans="1:15" x14ac:dyDescent="0.25">
      <c r="A182" s="34">
        <f t="shared" ref="A182:B182" si="28">A160</f>
        <v>14</v>
      </c>
      <c r="B182" s="191" t="str">
        <f t="shared" si="28"/>
        <v>Lilongwe Dairy</v>
      </c>
      <c r="C182" s="39">
        <v>0</v>
      </c>
      <c r="D182" s="39">
        <v>0</v>
      </c>
      <c r="E182" s="39">
        <v>0</v>
      </c>
      <c r="F182" s="39">
        <v>0</v>
      </c>
      <c r="G182" s="39">
        <v>0</v>
      </c>
      <c r="H182" s="39">
        <v>0</v>
      </c>
      <c r="I182" s="39">
        <v>0</v>
      </c>
      <c r="J182" s="39">
        <v>0</v>
      </c>
      <c r="K182" s="39">
        <v>0</v>
      </c>
      <c r="L182" s="39">
        <v>0</v>
      </c>
      <c r="M182" s="39">
        <v>0</v>
      </c>
      <c r="N182" s="39">
        <v>0</v>
      </c>
      <c r="O182" s="32">
        <f t="shared" si="21"/>
        <v>0</v>
      </c>
    </row>
    <row r="183" spans="1:15" x14ac:dyDescent="0.25">
      <c r="A183" s="34">
        <f t="shared" ref="A183:B183" si="29">A161</f>
        <v>15</v>
      </c>
      <c r="B183" s="191" t="str">
        <f t="shared" si="29"/>
        <v>Limbe Products</v>
      </c>
      <c r="C183" s="39">
        <v>0</v>
      </c>
      <c r="D183" s="39">
        <v>0</v>
      </c>
      <c r="E183" s="39">
        <v>0</v>
      </c>
      <c r="F183" s="39">
        <v>0</v>
      </c>
      <c r="G183" s="39">
        <v>0</v>
      </c>
      <c r="H183" s="39">
        <v>0</v>
      </c>
      <c r="I183" s="39">
        <v>0</v>
      </c>
      <c r="J183" s="39">
        <v>0</v>
      </c>
      <c r="K183" s="39">
        <v>0</v>
      </c>
      <c r="L183" s="39">
        <v>0</v>
      </c>
      <c r="M183" s="39">
        <v>0</v>
      </c>
      <c r="N183" s="39">
        <v>0</v>
      </c>
      <c r="O183" s="32">
        <f t="shared" si="21"/>
        <v>0</v>
      </c>
    </row>
    <row r="184" spans="1:15" x14ac:dyDescent="0.25">
      <c r="A184" s="34">
        <f t="shared" ref="A184:B184" si="30">A162</f>
        <v>16</v>
      </c>
      <c r="B184" s="191" t="str">
        <f t="shared" si="30"/>
        <v>Chemusa Sausages</v>
      </c>
      <c r="C184" s="39">
        <v>0</v>
      </c>
      <c r="D184" s="39">
        <v>0</v>
      </c>
      <c r="E184" s="39">
        <v>0</v>
      </c>
      <c r="F184" s="39">
        <v>0</v>
      </c>
      <c r="G184" s="39">
        <v>0</v>
      </c>
      <c r="H184" s="39">
        <v>0</v>
      </c>
      <c r="I184" s="39">
        <v>0</v>
      </c>
      <c r="J184" s="39">
        <v>0</v>
      </c>
      <c r="K184" s="39">
        <v>0</v>
      </c>
      <c r="L184" s="39">
        <v>0</v>
      </c>
      <c r="M184" s="39">
        <v>0</v>
      </c>
      <c r="N184" s="39">
        <v>0</v>
      </c>
      <c r="O184" s="32">
        <f t="shared" si="21"/>
        <v>0</v>
      </c>
    </row>
    <row r="185" spans="1:15" x14ac:dyDescent="0.25">
      <c r="A185" s="34">
        <f t="shared" ref="A185:B185" si="31">A163</f>
        <v>17</v>
      </c>
      <c r="B185" s="191" t="str">
        <f t="shared" si="31"/>
        <v>Madula Butchery</v>
      </c>
      <c r="C185" s="39">
        <v>0</v>
      </c>
      <c r="D185" s="39">
        <v>0</v>
      </c>
      <c r="E185" s="39">
        <v>0</v>
      </c>
      <c r="F185" s="39">
        <v>0</v>
      </c>
      <c r="G185" s="39">
        <v>0</v>
      </c>
      <c r="H185" s="39">
        <v>0</v>
      </c>
      <c r="I185" s="39">
        <v>0</v>
      </c>
      <c r="J185" s="39">
        <v>0</v>
      </c>
      <c r="K185" s="39">
        <v>0</v>
      </c>
      <c r="L185" s="39">
        <v>0</v>
      </c>
      <c r="M185" s="39">
        <v>0</v>
      </c>
      <c r="N185" s="39">
        <v>0</v>
      </c>
      <c r="O185" s="32">
        <f t="shared" si="21"/>
        <v>0</v>
      </c>
    </row>
    <row r="186" spans="1:15" x14ac:dyDescent="0.25">
      <c r="A186" s="34">
        <f t="shared" ref="A186:B186" si="32">A164</f>
        <v>18</v>
      </c>
      <c r="B186" s="191" t="str">
        <f t="shared" si="32"/>
        <v>Zomba Products</v>
      </c>
      <c r="C186" s="39">
        <v>0</v>
      </c>
      <c r="D186" s="39">
        <v>0</v>
      </c>
      <c r="E186" s="39">
        <v>0</v>
      </c>
      <c r="F186" s="39">
        <v>0</v>
      </c>
      <c r="G186" s="39">
        <v>0</v>
      </c>
      <c r="H186" s="39">
        <v>0</v>
      </c>
      <c r="I186" s="39">
        <v>0</v>
      </c>
      <c r="J186" s="39">
        <v>0</v>
      </c>
      <c r="K186" s="39">
        <v>0</v>
      </c>
      <c r="L186" s="39">
        <v>0</v>
      </c>
      <c r="M186" s="39">
        <v>0</v>
      </c>
      <c r="N186" s="39">
        <v>0</v>
      </c>
      <c r="O186" s="32">
        <f t="shared" si="21"/>
        <v>0</v>
      </c>
    </row>
    <row r="187" spans="1:15" x14ac:dyDescent="0.25">
      <c r="A187" s="34">
        <f t="shared" ref="A187:B187" si="33">A165</f>
        <v>19</v>
      </c>
      <c r="B187" s="191" t="str">
        <f t="shared" si="33"/>
        <v>Siera Shop (Burundi Shop)</v>
      </c>
      <c r="C187" s="39">
        <v>0</v>
      </c>
      <c r="D187" s="39">
        <v>0</v>
      </c>
      <c r="E187" s="39">
        <v>0</v>
      </c>
      <c r="F187" s="39">
        <v>0</v>
      </c>
      <c r="G187" s="39">
        <v>0</v>
      </c>
      <c r="H187" s="39">
        <v>0</v>
      </c>
      <c r="I187" s="39">
        <v>0</v>
      </c>
      <c r="J187" s="39">
        <v>0</v>
      </c>
      <c r="K187" s="39">
        <v>0</v>
      </c>
      <c r="L187" s="39">
        <v>0</v>
      </c>
      <c r="M187" s="39">
        <v>0</v>
      </c>
      <c r="N187" s="39">
        <v>0</v>
      </c>
      <c r="O187" s="32">
        <f t="shared" si="21"/>
        <v>0</v>
      </c>
    </row>
    <row r="188" spans="1:15" x14ac:dyDescent="0.25">
      <c r="A188" s="34">
        <f t="shared" ref="A188:B188" si="34">A166</f>
        <v>20</v>
      </c>
      <c r="B188" s="191" t="str">
        <f t="shared" si="34"/>
        <v>Other Products</v>
      </c>
      <c r="C188" s="39">
        <v>0</v>
      </c>
      <c r="D188" s="39">
        <v>0</v>
      </c>
      <c r="E188" s="39">
        <v>0</v>
      </c>
      <c r="F188" s="39">
        <v>0</v>
      </c>
      <c r="G188" s="39">
        <v>0</v>
      </c>
      <c r="H188" s="39">
        <v>0</v>
      </c>
      <c r="I188" s="39">
        <v>0</v>
      </c>
      <c r="J188" s="39">
        <v>0</v>
      </c>
      <c r="K188" s="39">
        <v>0</v>
      </c>
      <c r="L188" s="39">
        <v>0</v>
      </c>
      <c r="M188" s="39">
        <v>0</v>
      </c>
      <c r="N188" s="39">
        <v>0</v>
      </c>
      <c r="O188" s="32">
        <f t="shared" si="21"/>
        <v>0</v>
      </c>
    </row>
    <row r="189" spans="1:15" x14ac:dyDescent="0.25">
      <c r="A189" s="53"/>
      <c r="B189" s="54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1" t="s">
        <v>7</v>
      </c>
    </row>
    <row r="190" spans="1:15" x14ac:dyDescent="0.25">
      <c r="A190" s="132"/>
      <c r="B190" s="135" t="s">
        <v>151</v>
      </c>
      <c r="C190" s="133">
        <v>0</v>
      </c>
      <c r="D190" s="133">
        <v>0</v>
      </c>
      <c r="E190" s="133">
        <v>0</v>
      </c>
      <c r="F190" s="133">
        <v>0</v>
      </c>
      <c r="G190" s="133">
        <v>0</v>
      </c>
      <c r="H190" s="133">
        <v>0</v>
      </c>
      <c r="I190" s="133">
        <v>0</v>
      </c>
      <c r="J190" s="133">
        <v>0</v>
      </c>
      <c r="K190" s="133">
        <v>0</v>
      </c>
      <c r="L190" s="133">
        <v>0</v>
      </c>
      <c r="M190" s="133">
        <v>0</v>
      </c>
      <c r="N190" s="133">
        <v>0</v>
      </c>
      <c r="O190" s="134">
        <f>SUM(C190:N190)</f>
        <v>0</v>
      </c>
    </row>
    <row r="191" spans="1:15" x14ac:dyDescent="0.25">
      <c r="A191" s="28"/>
      <c r="B191" s="190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2"/>
    </row>
    <row r="192" spans="1:15" x14ac:dyDescent="0.25">
      <c r="A192" s="29" t="s">
        <v>34</v>
      </c>
      <c r="B192" s="191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2" t="s">
        <v>7</v>
      </c>
    </row>
    <row r="193" spans="1:15" x14ac:dyDescent="0.25">
      <c r="A193" s="34" t="s">
        <v>7</v>
      </c>
      <c r="B193" s="192" t="s">
        <v>35</v>
      </c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2" t="s">
        <v>7</v>
      </c>
    </row>
    <row r="194" spans="1:15" x14ac:dyDescent="0.25">
      <c r="A194" s="28"/>
      <c r="B194" s="191" t="str">
        <f>+'Expenses Report'!B8</f>
        <v>Wages for the Month</v>
      </c>
      <c r="C194" s="188">
        <v>1260000</v>
      </c>
      <c r="D194" s="39">
        <v>0</v>
      </c>
      <c r="E194" s="39">
        <v>0</v>
      </c>
      <c r="F194" s="39">
        <v>0</v>
      </c>
      <c r="G194" s="39">
        <v>0</v>
      </c>
      <c r="H194" s="39">
        <v>0</v>
      </c>
      <c r="I194" s="39">
        <v>0</v>
      </c>
      <c r="J194" s="39">
        <v>1260000</v>
      </c>
      <c r="K194" s="39">
        <v>0</v>
      </c>
      <c r="L194" s="39">
        <v>0</v>
      </c>
      <c r="M194" s="39">
        <v>0</v>
      </c>
      <c r="N194" s="39">
        <v>0</v>
      </c>
      <c r="O194" s="32">
        <f t="shared" si="13"/>
        <v>2520000</v>
      </c>
    </row>
    <row r="195" spans="1:15" x14ac:dyDescent="0.25">
      <c r="A195" s="28" t="s">
        <v>7</v>
      </c>
      <c r="B195" s="191" t="str">
        <f>+'Expenses Report'!B10</f>
        <v>1. Water</v>
      </c>
      <c r="C195" s="39">
        <v>0</v>
      </c>
      <c r="D195" s="39">
        <v>0</v>
      </c>
      <c r="E195" s="39">
        <v>0</v>
      </c>
      <c r="F195" s="39">
        <v>0</v>
      </c>
      <c r="G195" s="39">
        <v>0</v>
      </c>
      <c r="H195" s="39">
        <v>0</v>
      </c>
      <c r="I195" s="39">
        <v>0</v>
      </c>
      <c r="J195" s="39">
        <v>70000</v>
      </c>
      <c r="K195" s="39">
        <v>0</v>
      </c>
      <c r="L195" s="39">
        <v>0</v>
      </c>
      <c r="M195" s="39">
        <v>0</v>
      </c>
      <c r="N195" s="39">
        <v>0</v>
      </c>
      <c r="O195" s="32">
        <f t="shared" si="13"/>
        <v>70000</v>
      </c>
    </row>
    <row r="196" spans="1:15" x14ac:dyDescent="0.25">
      <c r="A196" s="28"/>
      <c r="B196" s="191" t="str">
        <f>+'Expenses Report'!B11</f>
        <v>2. Electricity</v>
      </c>
      <c r="C196" s="188">
        <v>150000</v>
      </c>
      <c r="D196" s="39">
        <v>0</v>
      </c>
      <c r="E196" s="39">
        <v>0</v>
      </c>
      <c r="F196" s="39">
        <v>0</v>
      </c>
      <c r="G196" s="39">
        <v>0</v>
      </c>
      <c r="H196" s="39">
        <v>0</v>
      </c>
      <c r="I196" s="39">
        <v>0</v>
      </c>
      <c r="J196" s="39">
        <v>200000</v>
      </c>
      <c r="K196" s="39">
        <v>0</v>
      </c>
      <c r="L196" s="39">
        <v>0</v>
      </c>
      <c r="M196" s="39">
        <v>0</v>
      </c>
      <c r="N196" s="39">
        <v>0</v>
      </c>
      <c r="O196" s="32">
        <f t="shared" si="13"/>
        <v>350000</v>
      </c>
    </row>
    <row r="197" spans="1:15" x14ac:dyDescent="0.25">
      <c r="A197" s="28"/>
      <c r="B197" s="191" t="str">
        <f>+'Expenses Report'!B12</f>
        <v>3. DSTV Subscription</v>
      </c>
      <c r="C197" s="39">
        <v>0</v>
      </c>
      <c r="D197" s="39">
        <v>0</v>
      </c>
      <c r="E197" s="39">
        <v>0</v>
      </c>
      <c r="F197" s="39">
        <v>0</v>
      </c>
      <c r="G197" s="39">
        <v>0</v>
      </c>
      <c r="H197" s="39">
        <v>0</v>
      </c>
      <c r="I197" s="39">
        <v>0</v>
      </c>
      <c r="J197" s="39">
        <v>59500</v>
      </c>
      <c r="K197" s="39">
        <v>0</v>
      </c>
      <c r="L197" s="39">
        <v>0</v>
      </c>
      <c r="M197" s="39">
        <v>0</v>
      </c>
      <c r="N197" s="39">
        <v>0</v>
      </c>
      <c r="O197" s="32">
        <f t="shared" si="13"/>
        <v>59500</v>
      </c>
    </row>
    <row r="198" spans="1:15" x14ac:dyDescent="0.25">
      <c r="A198" s="28"/>
      <c r="B198" s="191" t="str">
        <f>+'Expenses Report'!B13</f>
        <v>Expired and Damage Products</v>
      </c>
      <c r="C198" s="39">
        <v>0</v>
      </c>
      <c r="D198" s="39">
        <v>0</v>
      </c>
      <c r="E198" s="39">
        <v>0</v>
      </c>
      <c r="F198" s="39">
        <v>0</v>
      </c>
      <c r="G198" s="39">
        <v>0</v>
      </c>
      <c r="H198" s="39">
        <v>0</v>
      </c>
      <c r="I198" s="39">
        <v>0</v>
      </c>
      <c r="J198" s="39">
        <v>0</v>
      </c>
      <c r="K198" s="39">
        <v>0</v>
      </c>
      <c r="L198" s="39">
        <v>0</v>
      </c>
      <c r="M198" s="39">
        <v>0</v>
      </c>
      <c r="N198" s="39">
        <v>0</v>
      </c>
      <c r="O198" s="32">
        <f t="shared" si="13"/>
        <v>0</v>
      </c>
    </row>
    <row r="199" spans="1:15" x14ac:dyDescent="0.25">
      <c r="A199" s="28"/>
      <c r="B199" s="191" t="str">
        <f>+'Expenses Report'!B14</f>
        <v>MBS Penalties</v>
      </c>
      <c r="C199" s="39">
        <v>0</v>
      </c>
      <c r="D199" s="39">
        <v>0</v>
      </c>
      <c r="E199" s="39">
        <v>0</v>
      </c>
      <c r="F199" s="39">
        <v>0</v>
      </c>
      <c r="G199" s="39">
        <v>0</v>
      </c>
      <c r="H199" s="39">
        <v>0</v>
      </c>
      <c r="I199" s="39">
        <v>0</v>
      </c>
      <c r="J199" s="39">
        <v>0</v>
      </c>
      <c r="K199" s="39">
        <v>0</v>
      </c>
      <c r="L199" s="39">
        <v>0</v>
      </c>
      <c r="M199" s="39">
        <v>0</v>
      </c>
      <c r="N199" s="39">
        <v>0</v>
      </c>
      <c r="O199" s="32">
        <f t="shared" si="13"/>
        <v>0</v>
      </c>
    </row>
    <row r="200" spans="1:15" x14ac:dyDescent="0.25">
      <c r="A200" s="28"/>
      <c r="B200" s="191" t="str">
        <f>+'Expenses Report'!B15</f>
        <v>POS Licence and Attendant Costs</v>
      </c>
      <c r="C200" s="39">
        <v>0</v>
      </c>
      <c r="D200" s="39">
        <v>0</v>
      </c>
      <c r="E200" s="39">
        <v>0</v>
      </c>
      <c r="F200" s="39">
        <v>0</v>
      </c>
      <c r="G200" s="39">
        <v>0</v>
      </c>
      <c r="H200" s="39">
        <v>0</v>
      </c>
      <c r="I200" s="39">
        <v>0</v>
      </c>
      <c r="J200" s="39">
        <v>0</v>
      </c>
      <c r="K200" s="39">
        <v>0</v>
      </c>
      <c r="L200" s="39">
        <v>0</v>
      </c>
      <c r="M200" s="39">
        <v>0</v>
      </c>
      <c r="N200" s="39">
        <v>0</v>
      </c>
      <c r="O200" s="32">
        <f t="shared" si="13"/>
        <v>0</v>
      </c>
    </row>
    <row r="201" spans="1:15" x14ac:dyDescent="0.25">
      <c r="A201" s="28"/>
      <c r="B201" s="191" t="str">
        <f>+'Expenses Report'!B16</f>
        <v>Maintenance Works</v>
      </c>
      <c r="C201" s="188">
        <v>538000</v>
      </c>
      <c r="D201" s="39">
        <v>0</v>
      </c>
      <c r="E201" s="39">
        <v>0</v>
      </c>
      <c r="F201" s="39">
        <v>0</v>
      </c>
      <c r="G201" s="39">
        <v>0</v>
      </c>
      <c r="H201" s="39">
        <v>0</v>
      </c>
      <c r="I201" s="39">
        <v>0</v>
      </c>
      <c r="J201" s="39">
        <v>0</v>
      </c>
      <c r="K201" s="39">
        <v>0</v>
      </c>
      <c r="L201" s="39">
        <v>0</v>
      </c>
      <c r="M201" s="39">
        <v>0</v>
      </c>
      <c r="N201" s="39">
        <v>0</v>
      </c>
      <c r="O201" s="32">
        <f t="shared" si="13"/>
        <v>538000</v>
      </c>
    </row>
    <row r="202" spans="1:15" x14ac:dyDescent="0.25">
      <c r="A202" s="28"/>
      <c r="B202" s="191" t="str">
        <f>+'Expenses Report'!B17</f>
        <v>Shop Cleaning Materials</v>
      </c>
      <c r="C202" s="188">
        <v>1800</v>
      </c>
      <c r="D202" s="39">
        <v>0</v>
      </c>
      <c r="E202" s="39">
        <v>0</v>
      </c>
      <c r="F202" s="39">
        <v>0</v>
      </c>
      <c r="G202" s="39">
        <v>0</v>
      </c>
      <c r="H202" s="39">
        <v>0</v>
      </c>
      <c r="I202" s="39">
        <v>0</v>
      </c>
      <c r="J202" s="39">
        <v>0</v>
      </c>
      <c r="K202" s="39">
        <v>0</v>
      </c>
      <c r="L202" s="39">
        <v>0</v>
      </c>
      <c r="M202" s="39">
        <v>0</v>
      </c>
      <c r="N202" s="39">
        <v>0</v>
      </c>
      <c r="O202" s="32">
        <f t="shared" si="13"/>
        <v>1800</v>
      </c>
    </row>
    <row r="203" spans="1:15" x14ac:dyDescent="0.25">
      <c r="A203" s="28"/>
      <c r="B203" s="191" t="str">
        <f>+'Expenses Report'!B18</f>
        <v>Casual Labourers</v>
      </c>
      <c r="C203" s="39">
        <v>0</v>
      </c>
      <c r="D203" s="39">
        <v>0</v>
      </c>
      <c r="E203" s="39">
        <v>0</v>
      </c>
      <c r="F203" s="39">
        <v>0</v>
      </c>
      <c r="G203" s="39">
        <v>0</v>
      </c>
      <c r="H203" s="39">
        <v>0</v>
      </c>
      <c r="I203" s="39">
        <v>0</v>
      </c>
      <c r="J203" s="39">
        <v>0</v>
      </c>
      <c r="K203" s="39">
        <v>0</v>
      </c>
      <c r="L203" s="39">
        <v>0</v>
      </c>
      <c r="M203" s="39">
        <v>0</v>
      </c>
      <c r="N203" s="39">
        <v>0</v>
      </c>
      <c r="O203" s="32">
        <f t="shared" si="13"/>
        <v>0</v>
      </c>
    </row>
    <row r="204" spans="1:15" x14ac:dyDescent="0.25">
      <c r="A204" s="28"/>
      <c r="B204" s="191" t="str">
        <f>+'Expenses Report'!B19</f>
        <v xml:space="preserve">Braai Condiments </v>
      </c>
      <c r="C204" s="39">
        <v>0</v>
      </c>
      <c r="D204" s="39">
        <v>0</v>
      </c>
      <c r="E204" s="39">
        <v>0</v>
      </c>
      <c r="F204" s="39">
        <v>0</v>
      </c>
      <c r="G204" s="39">
        <v>0</v>
      </c>
      <c r="H204" s="39">
        <v>0</v>
      </c>
      <c r="I204" s="39">
        <v>0</v>
      </c>
      <c r="J204" s="39">
        <v>0</v>
      </c>
      <c r="K204" s="39">
        <v>0</v>
      </c>
      <c r="L204" s="39">
        <v>0</v>
      </c>
      <c r="M204" s="39">
        <v>0</v>
      </c>
      <c r="N204" s="39">
        <v>0</v>
      </c>
      <c r="O204" s="32">
        <f t="shared" si="13"/>
        <v>0</v>
      </c>
    </row>
    <row r="205" spans="1:15" x14ac:dyDescent="0.25">
      <c r="A205" s="28"/>
      <c r="B205" s="191" t="str">
        <f>+'Expenses Report'!B20</f>
        <v>Other Expenses</v>
      </c>
      <c r="C205" s="188">
        <v>3700</v>
      </c>
      <c r="D205" s="39">
        <v>0</v>
      </c>
      <c r="E205" s="39">
        <v>0</v>
      </c>
      <c r="F205" s="39">
        <v>0</v>
      </c>
      <c r="G205" s="39">
        <v>0</v>
      </c>
      <c r="H205" s="39">
        <v>0</v>
      </c>
      <c r="I205" s="39">
        <v>0</v>
      </c>
      <c r="J205" s="39">
        <v>0</v>
      </c>
      <c r="K205" s="39">
        <v>0</v>
      </c>
      <c r="L205" s="39">
        <v>0</v>
      </c>
      <c r="M205" s="39">
        <v>0</v>
      </c>
      <c r="N205" s="39">
        <v>0</v>
      </c>
      <c r="O205" s="32">
        <f t="shared" si="13"/>
        <v>3700</v>
      </c>
    </row>
    <row r="206" spans="1:15" x14ac:dyDescent="0.25">
      <c r="A206" s="53"/>
      <c r="B206" s="54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1" t="s">
        <v>7</v>
      </c>
    </row>
    <row r="207" spans="1:15" x14ac:dyDescent="0.25">
      <c r="A207" s="34" t="s">
        <v>141</v>
      </c>
      <c r="B207" s="192" t="s">
        <v>41</v>
      </c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2" t="s">
        <v>7</v>
      </c>
    </row>
    <row r="208" spans="1:15" x14ac:dyDescent="0.25">
      <c r="A208" s="30"/>
      <c r="B208" s="191" t="str">
        <f t="shared" ref="B208:B218" si="35">+B194</f>
        <v>Wages for the Month</v>
      </c>
      <c r="C208" s="39">
        <v>0</v>
      </c>
      <c r="D208" s="39">
        <v>0</v>
      </c>
      <c r="E208" s="39">
        <v>0</v>
      </c>
      <c r="F208" s="39">
        <v>0</v>
      </c>
      <c r="G208" s="39">
        <v>0</v>
      </c>
      <c r="H208" s="39">
        <v>0</v>
      </c>
      <c r="I208" s="39">
        <v>0</v>
      </c>
      <c r="J208" s="39">
        <v>0</v>
      </c>
      <c r="K208" s="39">
        <v>0</v>
      </c>
      <c r="L208" s="39">
        <v>0</v>
      </c>
      <c r="M208" s="39">
        <v>0</v>
      </c>
      <c r="N208" s="39">
        <v>0</v>
      </c>
      <c r="O208" s="32">
        <f t="shared" si="13"/>
        <v>0</v>
      </c>
    </row>
    <row r="209" spans="1:15" x14ac:dyDescent="0.25">
      <c r="A209" s="30"/>
      <c r="B209" s="191" t="str">
        <f t="shared" si="35"/>
        <v>1. Water</v>
      </c>
      <c r="C209" s="39">
        <v>0</v>
      </c>
      <c r="D209" s="39">
        <v>0</v>
      </c>
      <c r="E209" s="39">
        <v>0</v>
      </c>
      <c r="F209" s="39">
        <v>0</v>
      </c>
      <c r="G209" s="39">
        <v>0</v>
      </c>
      <c r="H209" s="39">
        <v>0</v>
      </c>
      <c r="I209" s="39">
        <v>0</v>
      </c>
      <c r="J209" s="39">
        <v>0</v>
      </c>
      <c r="K209" s="39">
        <v>0</v>
      </c>
      <c r="L209" s="39">
        <v>0</v>
      </c>
      <c r="M209" s="39">
        <v>0</v>
      </c>
      <c r="N209" s="39">
        <v>0</v>
      </c>
      <c r="O209" s="32">
        <f t="shared" si="13"/>
        <v>0</v>
      </c>
    </row>
    <row r="210" spans="1:15" x14ac:dyDescent="0.25">
      <c r="A210" s="30"/>
      <c r="B210" s="191" t="str">
        <f t="shared" si="35"/>
        <v>2. Electricity</v>
      </c>
      <c r="C210" s="39">
        <v>0</v>
      </c>
      <c r="D210" s="39">
        <v>0</v>
      </c>
      <c r="E210" s="39">
        <v>0</v>
      </c>
      <c r="F210" s="39">
        <v>0</v>
      </c>
      <c r="G210" s="39">
        <v>0</v>
      </c>
      <c r="H210" s="39">
        <v>0</v>
      </c>
      <c r="I210" s="39">
        <v>0</v>
      </c>
      <c r="J210" s="39">
        <v>0</v>
      </c>
      <c r="K210" s="39">
        <v>0</v>
      </c>
      <c r="L210" s="39">
        <v>0</v>
      </c>
      <c r="M210" s="39">
        <v>0</v>
      </c>
      <c r="N210" s="39">
        <v>0</v>
      </c>
      <c r="O210" s="32">
        <f t="shared" si="13"/>
        <v>0</v>
      </c>
    </row>
    <row r="211" spans="1:15" x14ac:dyDescent="0.25">
      <c r="A211" s="30"/>
      <c r="B211" s="191" t="str">
        <f t="shared" si="35"/>
        <v>3. DSTV Subscription</v>
      </c>
      <c r="C211" s="39">
        <v>0</v>
      </c>
      <c r="D211" s="39">
        <v>0</v>
      </c>
      <c r="E211" s="39">
        <v>0</v>
      </c>
      <c r="F211" s="39">
        <v>0</v>
      </c>
      <c r="G211" s="39">
        <v>0</v>
      </c>
      <c r="H211" s="39">
        <v>0</v>
      </c>
      <c r="I211" s="39">
        <v>0</v>
      </c>
      <c r="J211" s="39">
        <v>0</v>
      </c>
      <c r="K211" s="39">
        <v>0</v>
      </c>
      <c r="L211" s="39">
        <v>0</v>
      </c>
      <c r="M211" s="39">
        <v>0</v>
      </c>
      <c r="N211" s="39">
        <v>0</v>
      </c>
      <c r="O211" s="32">
        <f t="shared" si="13"/>
        <v>0</v>
      </c>
    </row>
    <row r="212" spans="1:15" x14ac:dyDescent="0.25">
      <c r="A212" s="30"/>
      <c r="B212" s="191" t="str">
        <f t="shared" si="35"/>
        <v>Expired and Damage Products</v>
      </c>
      <c r="C212" s="39">
        <v>0</v>
      </c>
      <c r="D212" s="39">
        <v>0</v>
      </c>
      <c r="E212" s="39">
        <v>0</v>
      </c>
      <c r="F212" s="39">
        <v>0</v>
      </c>
      <c r="G212" s="39">
        <v>0</v>
      </c>
      <c r="H212" s="39">
        <v>0</v>
      </c>
      <c r="I212" s="39">
        <v>0</v>
      </c>
      <c r="J212" s="39">
        <v>0</v>
      </c>
      <c r="K212" s="39">
        <v>0</v>
      </c>
      <c r="L212" s="39">
        <v>0</v>
      </c>
      <c r="M212" s="39">
        <v>0</v>
      </c>
      <c r="N212" s="39">
        <v>0</v>
      </c>
      <c r="O212" s="32">
        <f t="shared" si="13"/>
        <v>0</v>
      </c>
    </row>
    <row r="213" spans="1:15" x14ac:dyDescent="0.25">
      <c r="A213" s="30"/>
      <c r="B213" s="191" t="str">
        <f t="shared" si="35"/>
        <v>MBS Penalties</v>
      </c>
      <c r="C213" s="39">
        <v>0</v>
      </c>
      <c r="D213" s="39">
        <v>0</v>
      </c>
      <c r="E213" s="39">
        <v>0</v>
      </c>
      <c r="F213" s="39">
        <v>0</v>
      </c>
      <c r="G213" s="39">
        <v>0</v>
      </c>
      <c r="H213" s="39">
        <v>0</v>
      </c>
      <c r="I213" s="39">
        <v>0</v>
      </c>
      <c r="J213" s="39">
        <v>0</v>
      </c>
      <c r="K213" s="39">
        <v>0</v>
      </c>
      <c r="L213" s="39">
        <v>0</v>
      </c>
      <c r="M213" s="39">
        <v>0</v>
      </c>
      <c r="N213" s="39">
        <v>0</v>
      </c>
      <c r="O213" s="32">
        <f t="shared" si="13"/>
        <v>0</v>
      </c>
    </row>
    <row r="214" spans="1:15" x14ac:dyDescent="0.25">
      <c r="A214" s="30"/>
      <c r="B214" s="191" t="str">
        <f t="shared" si="35"/>
        <v>POS Licence and Attendant Costs</v>
      </c>
      <c r="C214" s="39">
        <v>0</v>
      </c>
      <c r="D214" s="39">
        <v>0</v>
      </c>
      <c r="E214" s="39">
        <v>0</v>
      </c>
      <c r="F214" s="39">
        <v>0</v>
      </c>
      <c r="G214" s="39">
        <v>0</v>
      </c>
      <c r="H214" s="39">
        <v>0</v>
      </c>
      <c r="I214" s="39">
        <v>0</v>
      </c>
      <c r="J214" s="39">
        <v>0</v>
      </c>
      <c r="K214" s="39">
        <v>0</v>
      </c>
      <c r="L214" s="39">
        <v>0</v>
      </c>
      <c r="M214" s="39">
        <v>0</v>
      </c>
      <c r="N214" s="39">
        <v>0</v>
      </c>
      <c r="O214" s="32">
        <f t="shared" si="13"/>
        <v>0</v>
      </c>
    </row>
    <row r="215" spans="1:15" x14ac:dyDescent="0.25">
      <c r="A215" s="34"/>
      <c r="B215" s="191" t="str">
        <f t="shared" si="35"/>
        <v>Maintenance Works</v>
      </c>
      <c r="C215" s="39">
        <v>0</v>
      </c>
      <c r="D215" s="39">
        <v>0</v>
      </c>
      <c r="E215" s="39">
        <v>0</v>
      </c>
      <c r="F215" s="39">
        <v>0</v>
      </c>
      <c r="G215" s="39">
        <v>0</v>
      </c>
      <c r="H215" s="39">
        <v>0</v>
      </c>
      <c r="I215" s="39">
        <v>0</v>
      </c>
      <c r="J215" s="39">
        <v>0</v>
      </c>
      <c r="K215" s="39">
        <v>0</v>
      </c>
      <c r="L215" s="39">
        <v>0</v>
      </c>
      <c r="M215" s="39">
        <v>0</v>
      </c>
      <c r="N215" s="39">
        <v>0</v>
      </c>
      <c r="O215" s="32">
        <f t="shared" si="13"/>
        <v>0</v>
      </c>
    </row>
    <row r="216" spans="1:15" x14ac:dyDescent="0.25">
      <c r="A216" s="34"/>
      <c r="B216" s="191" t="str">
        <f t="shared" si="35"/>
        <v>Shop Cleaning Materials</v>
      </c>
      <c r="C216" s="39">
        <v>0</v>
      </c>
      <c r="D216" s="39">
        <v>0</v>
      </c>
      <c r="E216" s="39">
        <v>0</v>
      </c>
      <c r="F216" s="39">
        <v>0</v>
      </c>
      <c r="G216" s="39">
        <v>0</v>
      </c>
      <c r="H216" s="39">
        <v>0</v>
      </c>
      <c r="I216" s="39">
        <v>0</v>
      </c>
      <c r="J216" s="39">
        <v>0</v>
      </c>
      <c r="K216" s="39">
        <v>0</v>
      </c>
      <c r="L216" s="39">
        <v>0</v>
      </c>
      <c r="M216" s="39">
        <v>0</v>
      </c>
      <c r="N216" s="39">
        <v>0</v>
      </c>
      <c r="O216" s="32">
        <f t="shared" si="13"/>
        <v>0</v>
      </c>
    </row>
    <row r="217" spans="1:15" x14ac:dyDescent="0.25">
      <c r="A217" s="30"/>
      <c r="B217" s="191" t="str">
        <f t="shared" si="35"/>
        <v>Casual Labourers</v>
      </c>
      <c r="C217" s="39">
        <v>0</v>
      </c>
      <c r="D217" s="39">
        <v>0</v>
      </c>
      <c r="E217" s="39">
        <v>0</v>
      </c>
      <c r="F217" s="39">
        <v>0</v>
      </c>
      <c r="G217" s="39">
        <v>0</v>
      </c>
      <c r="H217" s="39">
        <v>0</v>
      </c>
      <c r="I217" s="39">
        <v>0</v>
      </c>
      <c r="J217" s="39">
        <v>0</v>
      </c>
      <c r="K217" s="39">
        <v>0</v>
      </c>
      <c r="L217" s="39">
        <v>0</v>
      </c>
      <c r="M217" s="39">
        <v>0</v>
      </c>
      <c r="N217" s="39">
        <v>0</v>
      </c>
      <c r="O217" s="32">
        <f t="shared" si="13"/>
        <v>0</v>
      </c>
    </row>
    <row r="218" spans="1:15" x14ac:dyDescent="0.25">
      <c r="A218" s="30"/>
      <c r="B218" s="191" t="str">
        <f t="shared" si="35"/>
        <v xml:space="preserve">Braai Condiments </v>
      </c>
      <c r="C218" s="39">
        <v>0</v>
      </c>
      <c r="D218" s="39">
        <v>0</v>
      </c>
      <c r="E218" s="39">
        <v>0</v>
      </c>
      <c r="F218" s="39">
        <v>0</v>
      </c>
      <c r="G218" s="39">
        <v>0</v>
      </c>
      <c r="H218" s="39">
        <v>0</v>
      </c>
      <c r="I218" s="39">
        <v>0</v>
      </c>
      <c r="J218" s="39">
        <v>0</v>
      </c>
      <c r="K218" s="39">
        <v>0</v>
      </c>
      <c r="L218" s="39">
        <v>0</v>
      </c>
      <c r="M218" s="39">
        <v>0</v>
      </c>
      <c r="N218" s="39">
        <v>0</v>
      </c>
      <c r="O218" s="32">
        <f t="shared" si="13"/>
        <v>0</v>
      </c>
    </row>
    <row r="219" spans="1:15" x14ac:dyDescent="0.25">
      <c r="A219" s="30"/>
      <c r="B219" s="191" t="str">
        <f t="shared" ref="B219" si="36">+B205</f>
        <v>Other Expenses</v>
      </c>
      <c r="C219" s="39">
        <v>0</v>
      </c>
      <c r="D219" s="39">
        <v>0</v>
      </c>
      <c r="E219" s="39">
        <v>0</v>
      </c>
      <c r="F219" s="39">
        <v>0</v>
      </c>
      <c r="G219" s="39">
        <v>0</v>
      </c>
      <c r="H219" s="39">
        <v>0</v>
      </c>
      <c r="I219" s="39">
        <v>0</v>
      </c>
      <c r="J219" s="39">
        <v>0</v>
      </c>
      <c r="K219" s="39">
        <v>0</v>
      </c>
      <c r="L219" s="39">
        <v>0</v>
      </c>
      <c r="M219" s="39">
        <v>0</v>
      </c>
      <c r="N219" s="39">
        <v>0</v>
      </c>
      <c r="O219" s="32">
        <f t="shared" si="13"/>
        <v>0</v>
      </c>
    </row>
    <row r="220" spans="1:15" x14ac:dyDescent="0.25">
      <c r="A220" s="53"/>
      <c r="B220" s="54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1" t="s">
        <v>7</v>
      </c>
    </row>
    <row r="221" spans="1:15" x14ac:dyDescent="0.25">
      <c r="A221" s="34" t="s">
        <v>142</v>
      </c>
      <c r="B221" s="192" t="s">
        <v>42</v>
      </c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2" t="s">
        <v>7</v>
      </c>
    </row>
    <row r="222" spans="1:15" x14ac:dyDescent="0.25">
      <c r="A222" s="30"/>
      <c r="B222" s="191" t="str">
        <f>+B208</f>
        <v>Wages for the Month</v>
      </c>
      <c r="C222" s="188">
        <v>1260000</v>
      </c>
      <c r="D222" s="39">
        <v>0</v>
      </c>
      <c r="E222" s="39">
        <v>0</v>
      </c>
      <c r="F222" s="39">
        <v>0</v>
      </c>
      <c r="G222" s="39">
        <v>0</v>
      </c>
      <c r="H222" s="39">
        <v>0</v>
      </c>
      <c r="I222" s="39">
        <v>0</v>
      </c>
      <c r="J222" s="39">
        <v>0</v>
      </c>
      <c r="K222" s="39">
        <v>0</v>
      </c>
      <c r="L222" s="39">
        <v>0</v>
      </c>
      <c r="M222" s="39">
        <v>0</v>
      </c>
      <c r="N222" s="39">
        <v>0</v>
      </c>
      <c r="O222" s="32">
        <f t="shared" si="13"/>
        <v>1260000</v>
      </c>
    </row>
    <row r="223" spans="1:15" x14ac:dyDescent="0.25">
      <c r="A223" s="30"/>
      <c r="B223" s="191" t="str">
        <f t="shared" ref="B223:B233" si="37">+B209</f>
        <v>1. Water</v>
      </c>
      <c r="C223" s="39">
        <v>0</v>
      </c>
      <c r="D223" s="39">
        <v>0</v>
      </c>
      <c r="E223" s="39">
        <v>0</v>
      </c>
      <c r="F223" s="39">
        <v>0</v>
      </c>
      <c r="G223" s="39">
        <v>0</v>
      </c>
      <c r="H223" s="39">
        <v>0</v>
      </c>
      <c r="I223" s="39">
        <v>0</v>
      </c>
      <c r="J223" s="39">
        <v>0</v>
      </c>
      <c r="K223" s="39">
        <v>0</v>
      </c>
      <c r="L223" s="39">
        <v>0</v>
      </c>
      <c r="M223" s="39">
        <v>0</v>
      </c>
      <c r="N223" s="39">
        <v>0</v>
      </c>
      <c r="O223" s="32">
        <f t="shared" si="13"/>
        <v>0</v>
      </c>
    </row>
    <row r="224" spans="1:15" x14ac:dyDescent="0.25">
      <c r="A224" s="30"/>
      <c r="B224" s="191" t="str">
        <f t="shared" si="37"/>
        <v>2. Electricity</v>
      </c>
      <c r="C224" s="188">
        <v>150000</v>
      </c>
      <c r="D224" s="39">
        <v>0</v>
      </c>
      <c r="E224" s="39">
        <v>0</v>
      </c>
      <c r="F224" s="39">
        <v>0</v>
      </c>
      <c r="G224" s="39">
        <v>0</v>
      </c>
      <c r="H224" s="39">
        <v>0</v>
      </c>
      <c r="I224" s="39">
        <v>0</v>
      </c>
      <c r="J224" s="39">
        <v>0</v>
      </c>
      <c r="K224" s="39">
        <v>0</v>
      </c>
      <c r="L224" s="39">
        <v>0</v>
      </c>
      <c r="M224" s="39">
        <v>0</v>
      </c>
      <c r="N224" s="39">
        <v>0</v>
      </c>
      <c r="O224" s="32">
        <f t="shared" si="13"/>
        <v>150000</v>
      </c>
    </row>
    <row r="225" spans="1:15" x14ac:dyDescent="0.25">
      <c r="A225" s="30"/>
      <c r="B225" s="191" t="str">
        <f t="shared" si="37"/>
        <v>3. DSTV Subscription</v>
      </c>
      <c r="C225" s="39">
        <v>0</v>
      </c>
      <c r="D225" s="39">
        <v>0</v>
      </c>
      <c r="E225" s="39">
        <v>0</v>
      </c>
      <c r="F225" s="39">
        <v>0</v>
      </c>
      <c r="G225" s="39">
        <v>0</v>
      </c>
      <c r="H225" s="39">
        <v>0</v>
      </c>
      <c r="I225" s="39">
        <v>0</v>
      </c>
      <c r="J225" s="39">
        <v>59500</v>
      </c>
      <c r="K225" s="39">
        <v>0</v>
      </c>
      <c r="L225" s="39">
        <v>0</v>
      </c>
      <c r="M225" s="39">
        <v>0</v>
      </c>
      <c r="N225" s="39">
        <v>0</v>
      </c>
      <c r="O225" s="32">
        <f t="shared" si="13"/>
        <v>59500</v>
      </c>
    </row>
    <row r="226" spans="1:15" x14ac:dyDescent="0.25">
      <c r="A226" s="30"/>
      <c r="B226" s="191" t="str">
        <f t="shared" si="37"/>
        <v>Expired and Damage Products</v>
      </c>
      <c r="C226" s="39">
        <v>0</v>
      </c>
      <c r="D226" s="39">
        <v>0</v>
      </c>
      <c r="E226" s="39">
        <v>0</v>
      </c>
      <c r="F226" s="39">
        <v>0</v>
      </c>
      <c r="G226" s="39">
        <v>0</v>
      </c>
      <c r="H226" s="39">
        <v>0</v>
      </c>
      <c r="I226" s="39">
        <v>0</v>
      </c>
      <c r="J226" s="39">
        <v>0</v>
      </c>
      <c r="K226" s="39">
        <v>0</v>
      </c>
      <c r="L226" s="39">
        <v>0</v>
      </c>
      <c r="M226" s="39">
        <v>0</v>
      </c>
      <c r="N226" s="39">
        <v>0</v>
      </c>
      <c r="O226" s="32">
        <f t="shared" si="13"/>
        <v>0</v>
      </c>
    </row>
    <row r="227" spans="1:15" x14ac:dyDescent="0.25">
      <c r="A227" s="30"/>
      <c r="B227" s="191" t="str">
        <f t="shared" si="37"/>
        <v>MBS Penalties</v>
      </c>
      <c r="C227" s="39">
        <v>0</v>
      </c>
      <c r="D227" s="39">
        <v>0</v>
      </c>
      <c r="E227" s="39">
        <v>0</v>
      </c>
      <c r="F227" s="39">
        <v>0</v>
      </c>
      <c r="G227" s="39">
        <v>0</v>
      </c>
      <c r="H227" s="39">
        <v>0</v>
      </c>
      <c r="I227" s="39">
        <v>0</v>
      </c>
      <c r="J227" s="39">
        <v>0</v>
      </c>
      <c r="K227" s="39">
        <v>0</v>
      </c>
      <c r="L227" s="39">
        <v>0</v>
      </c>
      <c r="M227" s="39">
        <v>0</v>
      </c>
      <c r="N227" s="39">
        <v>0</v>
      </c>
      <c r="O227" s="32">
        <f t="shared" si="13"/>
        <v>0</v>
      </c>
    </row>
    <row r="228" spans="1:15" x14ac:dyDescent="0.25">
      <c r="A228" s="30"/>
      <c r="B228" s="191" t="str">
        <f t="shared" si="37"/>
        <v>POS Licence and Attendant Costs</v>
      </c>
      <c r="C228" s="39">
        <v>0</v>
      </c>
      <c r="D228" s="39">
        <v>0</v>
      </c>
      <c r="E228" s="39">
        <v>0</v>
      </c>
      <c r="F228" s="39">
        <v>0</v>
      </c>
      <c r="G228" s="39">
        <v>0</v>
      </c>
      <c r="H228" s="39">
        <v>0</v>
      </c>
      <c r="I228" s="39">
        <v>0</v>
      </c>
      <c r="J228" s="39">
        <v>0</v>
      </c>
      <c r="K228" s="39">
        <v>0</v>
      </c>
      <c r="L228" s="39">
        <v>0</v>
      </c>
      <c r="M228" s="39">
        <v>0</v>
      </c>
      <c r="N228" s="39">
        <v>0</v>
      </c>
      <c r="O228" s="32">
        <f t="shared" si="13"/>
        <v>0</v>
      </c>
    </row>
    <row r="229" spans="1:15" x14ac:dyDescent="0.25">
      <c r="A229" s="34"/>
      <c r="B229" s="191" t="str">
        <f t="shared" si="37"/>
        <v>Maintenance Works</v>
      </c>
      <c r="C229" s="188">
        <v>538000</v>
      </c>
      <c r="D229" s="39">
        <v>0</v>
      </c>
      <c r="E229" s="39">
        <v>0</v>
      </c>
      <c r="F229" s="39">
        <v>0</v>
      </c>
      <c r="G229" s="39">
        <v>0</v>
      </c>
      <c r="H229" s="39">
        <v>0</v>
      </c>
      <c r="I229" s="39">
        <v>0</v>
      </c>
      <c r="J229" s="39">
        <v>0</v>
      </c>
      <c r="K229" s="39">
        <v>0</v>
      </c>
      <c r="L229" s="39">
        <v>0</v>
      </c>
      <c r="M229" s="39">
        <v>0</v>
      </c>
      <c r="N229" s="39">
        <v>0</v>
      </c>
      <c r="O229" s="32">
        <f t="shared" si="13"/>
        <v>538000</v>
      </c>
    </row>
    <row r="230" spans="1:15" x14ac:dyDescent="0.25">
      <c r="A230" s="34"/>
      <c r="B230" s="191" t="str">
        <f t="shared" si="37"/>
        <v>Shop Cleaning Materials</v>
      </c>
      <c r="C230" s="39">
        <v>0</v>
      </c>
      <c r="D230" s="39">
        <v>0</v>
      </c>
      <c r="E230" s="39">
        <v>0</v>
      </c>
      <c r="F230" s="39">
        <v>0</v>
      </c>
      <c r="G230" s="39">
        <v>0</v>
      </c>
      <c r="H230" s="39">
        <v>0</v>
      </c>
      <c r="I230" s="39">
        <v>0</v>
      </c>
      <c r="J230" s="39">
        <v>0</v>
      </c>
      <c r="K230" s="39">
        <v>0</v>
      </c>
      <c r="L230" s="39">
        <v>0</v>
      </c>
      <c r="M230" s="39">
        <v>0</v>
      </c>
      <c r="N230" s="39">
        <v>0</v>
      </c>
      <c r="O230" s="32">
        <f t="shared" si="13"/>
        <v>0</v>
      </c>
    </row>
    <row r="231" spans="1:15" x14ac:dyDescent="0.25">
      <c r="A231" s="30"/>
      <c r="B231" s="191" t="str">
        <f t="shared" si="37"/>
        <v>Casual Labourers</v>
      </c>
      <c r="C231" s="39">
        <v>0</v>
      </c>
      <c r="D231" s="39">
        <v>0</v>
      </c>
      <c r="E231" s="39">
        <v>0</v>
      </c>
      <c r="F231" s="39">
        <v>0</v>
      </c>
      <c r="G231" s="39">
        <v>0</v>
      </c>
      <c r="H231" s="39">
        <v>0</v>
      </c>
      <c r="I231" s="39">
        <v>0</v>
      </c>
      <c r="J231" s="39">
        <v>0</v>
      </c>
      <c r="K231" s="39">
        <v>0</v>
      </c>
      <c r="L231" s="39">
        <v>0</v>
      </c>
      <c r="M231" s="39">
        <v>0</v>
      </c>
      <c r="N231" s="39">
        <v>0</v>
      </c>
      <c r="O231" s="32">
        <f t="shared" si="13"/>
        <v>0</v>
      </c>
    </row>
    <row r="232" spans="1:15" x14ac:dyDescent="0.25">
      <c r="A232" s="30"/>
      <c r="B232" s="191" t="str">
        <f t="shared" si="37"/>
        <v xml:space="preserve">Braai Condiments </v>
      </c>
      <c r="C232" s="39">
        <v>0</v>
      </c>
      <c r="D232" s="39">
        <v>0</v>
      </c>
      <c r="E232" s="39">
        <v>0</v>
      </c>
      <c r="F232" s="39">
        <v>0</v>
      </c>
      <c r="G232" s="39">
        <v>0</v>
      </c>
      <c r="H232" s="39">
        <v>0</v>
      </c>
      <c r="I232" s="39">
        <v>0</v>
      </c>
      <c r="J232" s="39">
        <v>0</v>
      </c>
      <c r="K232" s="39">
        <v>0</v>
      </c>
      <c r="L232" s="39">
        <v>0</v>
      </c>
      <c r="M232" s="39">
        <v>0</v>
      </c>
      <c r="N232" s="39">
        <v>0</v>
      </c>
      <c r="O232" s="32">
        <f t="shared" si="13"/>
        <v>0</v>
      </c>
    </row>
    <row r="233" spans="1:15" x14ac:dyDescent="0.25">
      <c r="A233" s="28"/>
      <c r="B233" s="191" t="str">
        <f t="shared" si="37"/>
        <v>Other Expenses</v>
      </c>
      <c r="C233" s="39">
        <v>0</v>
      </c>
      <c r="D233" s="39">
        <v>0</v>
      </c>
      <c r="E233" s="39">
        <v>0</v>
      </c>
      <c r="F233" s="39">
        <v>0</v>
      </c>
      <c r="G233" s="39">
        <v>0</v>
      </c>
      <c r="H233" s="39">
        <v>0</v>
      </c>
      <c r="I233" s="39">
        <v>0</v>
      </c>
      <c r="J233" s="39">
        <v>0</v>
      </c>
      <c r="K233" s="39">
        <v>0</v>
      </c>
      <c r="L233" s="39">
        <v>0</v>
      </c>
      <c r="M233" s="39">
        <v>0</v>
      </c>
      <c r="N233" s="39">
        <v>0</v>
      </c>
      <c r="O233" s="32">
        <f t="shared" si="13"/>
        <v>0</v>
      </c>
    </row>
    <row r="234" spans="1:15" x14ac:dyDescent="0.25">
      <c r="A234" s="53"/>
      <c r="B234" s="54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1" t="s">
        <v>7</v>
      </c>
    </row>
    <row r="235" spans="1:15" x14ac:dyDescent="0.25">
      <c r="A235" s="34" t="s">
        <v>143</v>
      </c>
      <c r="B235" s="192" t="s">
        <v>43</v>
      </c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2" t="s">
        <v>7</v>
      </c>
    </row>
    <row r="236" spans="1:15" x14ac:dyDescent="0.25">
      <c r="A236" s="30"/>
      <c r="B236" s="191" t="str">
        <f>+B222</f>
        <v>Wages for the Month</v>
      </c>
      <c r="C236" s="39">
        <v>0</v>
      </c>
      <c r="D236" s="39">
        <v>0</v>
      </c>
      <c r="E236" s="39">
        <v>0</v>
      </c>
      <c r="F236" s="39">
        <v>0</v>
      </c>
      <c r="G236" s="39">
        <v>0</v>
      </c>
      <c r="H236" s="39">
        <v>0</v>
      </c>
      <c r="I236" s="39">
        <v>0</v>
      </c>
      <c r="J236" s="39">
        <v>1260000</v>
      </c>
      <c r="K236" s="39">
        <v>0</v>
      </c>
      <c r="L236" s="39">
        <v>0</v>
      </c>
      <c r="M236" s="39">
        <v>0</v>
      </c>
      <c r="N236" s="39">
        <v>0</v>
      </c>
      <c r="O236" s="32">
        <f t="shared" si="13"/>
        <v>1260000</v>
      </c>
    </row>
    <row r="237" spans="1:15" x14ac:dyDescent="0.25">
      <c r="A237" s="30"/>
      <c r="B237" s="191" t="str">
        <f t="shared" ref="B237:B246" si="38">+B223</f>
        <v>1. Water</v>
      </c>
      <c r="C237" s="39">
        <v>0</v>
      </c>
      <c r="D237" s="39">
        <v>0</v>
      </c>
      <c r="E237" s="39">
        <v>0</v>
      </c>
      <c r="F237" s="39">
        <v>0</v>
      </c>
      <c r="G237" s="39">
        <v>0</v>
      </c>
      <c r="H237" s="39">
        <v>0</v>
      </c>
      <c r="I237" s="39">
        <v>0</v>
      </c>
      <c r="J237" s="39">
        <v>70000</v>
      </c>
      <c r="K237" s="39">
        <v>0</v>
      </c>
      <c r="L237" s="39">
        <v>0</v>
      </c>
      <c r="M237" s="39">
        <v>0</v>
      </c>
      <c r="N237" s="39">
        <v>0</v>
      </c>
      <c r="O237" s="32">
        <f t="shared" si="13"/>
        <v>70000</v>
      </c>
    </row>
    <row r="238" spans="1:15" x14ac:dyDescent="0.25">
      <c r="A238" s="30"/>
      <c r="B238" s="191" t="str">
        <f t="shared" si="38"/>
        <v>2. Electricity</v>
      </c>
      <c r="C238" s="39">
        <v>0</v>
      </c>
      <c r="D238" s="39">
        <v>0</v>
      </c>
      <c r="E238" s="39">
        <v>0</v>
      </c>
      <c r="F238" s="39">
        <v>0</v>
      </c>
      <c r="G238" s="39">
        <v>0</v>
      </c>
      <c r="H238" s="39">
        <v>0</v>
      </c>
      <c r="I238" s="39">
        <v>0</v>
      </c>
      <c r="J238" s="39">
        <v>200000</v>
      </c>
      <c r="K238" s="39">
        <v>0</v>
      </c>
      <c r="L238" s="39">
        <v>0</v>
      </c>
      <c r="M238" s="39">
        <v>0</v>
      </c>
      <c r="N238" s="39">
        <v>0</v>
      </c>
      <c r="O238" s="32">
        <f t="shared" si="13"/>
        <v>200000</v>
      </c>
    </row>
    <row r="239" spans="1:15" x14ac:dyDescent="0.25">
      <c r="A239" s="30"/>
      <c r="B239" s="191" t="str">
        <f t="shared" si="38"/>
        <v>3. DSTV Subscription</v>
      </c>
      <c r="C239" s="39">
        <v>0</v>
      </c>
      <c r="D239" s="39">
        <v>0</v>
      </c>
      <c r="E239" s="39">
        <v>0</v>
      </c>
      <c r="F239" s="39">
        <v>0</v>
      </c>
      <c r="G239" s="39">
        <v>0</v>
      </c>
      <c r="H239" s="39">
        <v>0</v>
      </c>
      <c r="I239" s="39">
        <v>0</v>
      </c>
      <c r="J239" s="39">
        <v>0</v>
      </c>
      <c r="K239" s="39">
        <v>0</v>
      </c>
      <c r="L239" s="39">
        <v>0</v>
      </c>
      <c r="M239" s="39">
        <v>0</v>
      </c>
      <c r="N239" s="39">
        <v>0</v>
      </c>
      <c r="O239" s="32">
        <f t="shared" si="13"/>
        <v>0</v>
      </c>
    </row>
    <row r="240" spans="1:15" x14ac:dyDescent="0.25">
      <c r="A240" s="30"/>
      <c r="B240" s="191" t="str">
        <f t="shared" si="38"/>
        <v>Expired and Damage Products</v>
      </c>
      <c r="C240" s="39">
        <v>0</v>
      </c>
      <c r="D240" s="39">
        <v>0</v>
      </c>
      <c r="E240" s="39">
        <v>0</v>
      </c>
      <c r="F240" s="39">
        <v>0</v>
      </c>
      <c r="G240" s="39">
        <v>0</v>
      </c>
      <c r="H240" s="39">
        <v>0</v>
      </c>
      <c r="I240" s="39">
        <v>0</v>
      </c>
      <c r="J240" s="39">
        <v>0</v>
      </c>
      <c r="K240" s="39">
        <v>0</v>
      </c>
      <c r="L240" s="39">
        <v>0</v>
      </c>
      <c r="M240" s="39">
        <v>0</v>
      </c>
      <c r="N240" s="39">
        <v>0</v>
      </c>
      <c r="O240" s="32">
        <f t="shared" si="13"/>
        <v>0</v>
      </c>
    </row>
    <row r="241" spans="1:15" x14ac:dyDescent="0.25">
      <c r="A241" s="30"/>
      <c r="B241" s="191" t="str">
        <f t="shared" si="38"/>
        <v>MBS Penalties</v>
      </c>
      <c r="C241" s="39">
        <v>0</v>
      </c>
      <c r="D241" s="39">
        <v>0</v>
      </c>
      <c r="E241" s="39">
        <v>0</v>
      </c>
      <c r="F241" s="39">
        <v>0</v>
      </c>
      <c r="G241" s="39">
        <v>0</v>
      </c>
      <c r="H241" s="39">
        <v>0</v>
      </c>
      <c r="I241" s="39">
        <v>0</v>
      </c>
      <c r="J241" s="39">
        <v>0</v>
      </c>
      <c r="K241" s="39">
        <v>0</v>
      </c>
      <c r="L241" s="39">
        <v>0</v>
      </c>
      <c r="M241" s="39">
        <v>0</v>
      </c>
      <c r="N241" s="39">
        <v>0</v>
      </c>
      <c r="O241" s="32">
        <f t="shared" ref="O241:O247" si="39">SUM(C241:N241)</f>
        <v>0</v>
      </c>
    </row>
    <row r="242" spans="1:15" x14ac:dyDescent="0.25">
      <c r="A242" s="30"/>
      <c r="B242" s="191" t="str">
        <f t="shared" si="38"/>
        <v>POS Licence and Attendant Costs</v>
      </c>
      <c r="C242" s="39">
        <v>0</v>
      </c>
      <c r="D242" s="39">
        <v>0</v>
      </c>
      <c r="E242" s="39">
        <v>0</v>
      </c>
      <c r="F242" s="39">
        <v>0</v>
      </c>
      <c r="G242" s="39">
        <v>0</v>
      </c>
      <c r="H242" s="39">
        <v>0</v>
      </c>
      <c r="I242" s="39">
        <v>0</v>
      </c>
      <c r="J242" s="39">
        <v>0</v>
      </c>
      <c r="K242" s="39">
        <v>0</v>
      </c>
      <c r="L242" s="39">
        <v>0</v>
      </c>
      <c r="M242" s="39">
        <v>0</v>
      </c>
      <c r="N242" s="39">
        <v>0</v>
      </c>
      <c r="O242" s="32">
        <f t="shared" si="39"/>
        <v>0</v>
      </c>
    </row>
    <row r="243" spans="1:15" x14ac:dyDescent="0.25">
      <c r="A243" s="34"/>
      <c r="B243" s="191" t="str">
        <f t="shared" si="38"/>
        <v>Maintenance Works</v>
      </c>
      <c r="C243" s="39">
        <v>0</v>
      </c>
      <c r="D243" s="39">
        <v>0</v>
      </c>
      <c r="E243" s="39">
        <v>0</v>
      </c>
      <c r="F243" s="39">
        <v>0</v>
      </c>
      <c r="G243" s="39">
        <v>0</v>
      </c>
      <c r="H243" s="39">
        <v>0</v>
      </c>
      <c r="I243" s="39">
        <v>0</v>
      </c>
      <c r="J243" s="39">
        <v>0</v>
      </c>
      <c r="K243" s="39">
        <v>0</v>
      </c>
      <c r="L243" s="39">
        <v>0</v>
      </c>
      <c r="M243" s="39">
        <v>0</v>
      </c>
      <c r="N243" s="39">
        <v>0</v>
      </c>
      <c r="O243" s="32">
        <f t="shared" si="39"/>
        <v>0</v>
      </c>
    </row>
    <row r="244" spans="1:15" x14ac:dyDescent="0.25">
      <c r="A244" s="30"/>
      <c r="B244" s="191" t="str">
        <f t="shared" si="38"/>
        <v>Shop Cleaning Materials</v>
      </c>
      <c r="C244" s="188">
        <v>1800</v>
      </c>
      <c r="D244" s="39">
        <v>0</v>
      </c>
      <c r="E244" s="39">
        <v>0</v>
      </c>
      <c r="F244" s="39">
        <v>0</v>
      </c>
      <c r="G244" s="39">
        <v>0</v>
      </c>
      <c r="H244" s="39">
        <v>0</v>
      </c>
      <c r="I244" s="39">
        <v>0</v>
      </c>
      <c r="J244" s="39">
        <v>0</v>
      </c>
      <c r="K244" s="39">
        <v>0</v>
      </c>
      <c r="L244" s="39">
        <v>0</v>
      </c>
      <c r="M244" s="39">
        <v>0</v>
      </c>
      <c r="N244" s="39">
        <v>0</v>
      </c>
      <c r="O244" s="32">
        <f t="shared" si="39"/>
        <v>1800</v>
      </c>
    </row>
    <row r="245" spans="1:15" x14ac:dyDescent="0.25">
      <c r="A245" s="30"/>
      <c r="B245" s="191" t="str">
        <f t="shared" si="38"/>
        <v>Casual Labourers</v>
      </c>
      <c r="C245" s="39">
        <v>0</v>
      </c>
      <c r="D245" s="39">
        <v>0</v>
      </c>
      <c r="E245" s="39">
        <v>0</v>
      </c>
      <c r="F245" s="39">
        <v>0</v>
      </c>
      <c r="G245" s="39">
        <v>0</v>
      </c>
      <c r="H245" s="39">
        <v>0</v>
      </c>
      <c r="I245" s="39">
        <v>0</v>
      </c>
      <c r="J245" s="39">
        <v>0</v>
      </c>
      <c r="K245" s="39">
        <v>0</v>
      </c>
      <c r="L245" s="39">
        <v>0</v>
      </c>
      <c r="M245" s="39">
        <v>0</v>
      </c>
      <c r="N245" s="39">
        <v>0</v>
      </c>
      <c r="O245" s="32">
        <f t="shared" si="39"/>
        <v>0</v>
      </c>
    </row>
    <row r="246" spans="1:15" x14ac:dyDescent="0.25">
      <c r="A246" s="28"/>
      <c r="B246" s="191" t="str">
        <f t="shared" si="38"/>
        <v xml:space="preserve">Braai Condiments </v>
      </c>
      <c r="C246" s="39">
        <v>0</v>
      </c>
      <c r="D246" s="39">
        <v>0</v>
      </c>
      <c r="E246" s="39">
        <v>0</v>
      </c>
      <c r="F246" s="39">
        <v>0</v>
      </c>
      <c r="G246" s="39">
        <v>0</v>
      </c>
      <c r="H246" s="39">
        <v>0</v>
      </c>
      <c r="I246" s="39">
        <v>0</v>
      </c>
      <c r="J246" s="39">
        <v>0</v>
      </c>
      <c r="K246" s="39">
        <v>0</v>
      </c>
      <c r="L246" s="39">
        <v>0</v>
      </c>
      <c r="M246" s="39">
        <v>0</v>
      </c>
      <c r="N246" s="39">
        <v>0</v>
      </c>
      <c r="O246" s="32">
        <f t="shared" si="39"/>
        <v>0</v>
      </c>
    </row>
    <row r="247" spans="1:15" ht="15.75" thickBot="1" x14ac:dyDescent="0.3">
      <c r="A247" s="36"/>
      <c r="B247" s="156" t="str">
        <f>+B233</f>
        <v>Other Expenses</v>
      </c>
      <c r="C247" s="194">
        <v>3700</v>
      </c>
      <c r="D247" s="154">
        <v>0</v>
      </c>
      <c r="E247" s="154">
        <v>0</v>
      </c>
      <c r="F247" s="154">
        <v>0</v>
      </c>
      <c r="G247" s="154">
        <v>0</v>
      </c>
      <c r="H247" s="154">
        <v>0</v>
      </c>
      <c r="I247" s="154">
        <v>0</v>
      </c>
      <c r="J247" s="154">
        <v>0</v>
      </c>
      <c r="K247" s="154">
        <v>0</v>
      </c>
      <c r="L247" s="154">
        <v>0</v>
      </c>
      <c r="M247" s="154">
        <v>0</v>
      </c>
      <c r="N247" s="154">
        <v>0</v>
      </c>
      <c r="O247" s="157">
        <f t="shared" si="39"/>
        <v>3700</v>
      </c>
    </row>
    <row r="248" spans="1:15" x14ac:dyDescent="0.25"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50" spans="1:15" x14ac:dyDescent="0.25">
      <c r="B250" s="15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1"/>
    </row>
    <row r="251" spans="1:15" x14ac:dyDescent="0.25">
      <c r="C251"/>
      <c r="D251"/>
      <c r="E251"/>
      <c r="F251"/>
      <c r="G251"/>
      <c r="H251"/>
      <c r="I251"/>
      <c r="J251"/>
      <c r="K251"/>
      <c r="L251"/>
      <c r="M251"/>
      <c r="N251"/>
      <c r="O251" s="19"/>
    </row>
    <row r="252" spans="1:15" x14ac:dyDescent="0.25">
      <c r="C252"/>
      <c r="D252"/>
      <c r="E252"/>
      <c r="F252"/>
      <c r="G252"/>
      <c r="H252"/>
      <c r="I252"/>
      <c r="J252"/>
      <c r="K252"/>
      <c r="L252"/>
      <c r="M252"/>
      <c r="N252"/>
      <c r="O252" s="19"/>
    </row>
    <row r="253" spans="1:15" x14ac:dyDescent="0.25">
      <c r="C253"/>
      <c r="D253"/>
      <c r="E253"/>
      <c r="F253"/>
      <c r="G253"/>
      <c r="H253"/>
      <c r="I253" s="18"/>
      <c r="J253" s="18"/>
      <c r="K253" s="18"/>
      <c r="L253" s="18"/>
      <c r="M253" s="18"/>
      <c r="N253" s="18"/>
      <c r="O253" s="19"/>
    </row>
    <row r="254" spans="1:15" x14ac:dyDescent="0.25">
      <c r="C254"/>
      <c r="D254"/>
      <c r="E254"/>
      <c r="F254"/>
      <c r="G254"/>
      <c r="H254"/>
      <c r="I254" s="18"/>
      <c r="J254" s="18"/>
      <c r="K254" s="18"/>
      <c r="L254" s="18"/>
      <c r="M254" s="18"/>
      <c r="N254" s="18"/>
      <c r="O254" s="19"/>
    </row>
    <row r="255" spans="1:15" x14ac:dyDescent="0.25">
      <c r="C255"/>
      <c r="D255"/>
      <c r="E255"/>
      <c r="F255"/>
      <c r="G255"/>
      <c r="H255"/>
      <c r="I255" s="18"/>
      <c r="J255" s="18"/>
      <c r="K255" s="18"/>
      <c r="L255" s="18"/>
      <c r="M255" s="18"/>
      <c r="N255" s="18"/>
      <c r="O255" s="19"/>
    </row>
    <row r="256" spans="1:15" x14ac:dyDescent="0.25">
      <c r="C256"/>
      <c r="D256"/>
      <c r="E256"/>
      <c r="F256"/>
      <c r="G256"/>
      <c r="H256"/>
      <c r="I256" s="18"/>
      <c r="J256" s="18"/>
      <c r="K256" s="18"/>
      <c r="L256" s="18"/>
      <c r="M256" s="18"/>
      <c r="N256" s="18"/>
      <c r="O256" s="19"/>
    </row>
    <row r="257" spans="3:8" x14ac:dyDescent="0.25">
      <c r="C257"/>
      <c r="D257"/>
      <c r="E257"/>
      <c r="F257"/>
      <c r="G257"/>
      <c r="H257"/>
    </row>
    <row r="258" spans="3:8" x14ac:dyDescent="0.25">
      <c r="C258"/>
      <c r="D258"/>
      <c r="E258"/>
      <c r="F258"/>
      <c r="G258"/>
      <c r="H258"/>
    </row>
    <row r="259" spans="3:8" x14ac:dyDescent="0.25">
      <c r="C259"/>
      <c r="D259"/>
      <c r="E259"/>
      <c r="F259"/>
      <c r="G259"/>
      <c r="H259"/>
    </row>
    <row r="260" spans="3:8" x14ac:dyDescent="0.25">
      <c r="C260"/>
      <c r="D260"/>
      <c r="E260"/>
      <c r="F260"/>
      <c r="G260"/>
      <c r="H260"/>
    </row>
    <row r="261" spans="3:8" x14ac:dyDescent="0.25">
      <c r="C261"/>
      <c r="D261"/>
      <c r="E261"/>
      <c r="F261"/>
      <c r="G261"/>
      <c r="H261"/>
    </row>
    <row r="262" spans="3:8" x14ac:dyDescent="0.25">
      <c r="C262"/>
      <c r="D262"/>
      <c r="E262"/>
      <c r="F262"/>
      <c r="G262"/>
      <c r="H262"/>
    </row>
    <row r="263" spans="3:8" x14ac:dyDescent="0.25">
      <c r="C263"/>
      <c r="D263"/>
      <c r="E263"/>
      <c r="F263"/>
      <c r="G263"/>
      <c r="H263"/>
    </row>
    <row r="264" spans="3:8" x14ac:dyDescent="0.25">
      <c r="C264"/>
      <c r="D264"/>
      <c r="E264"/>
      <c r="F264"/>
      <c r="G264"/>
      <c r="H264"/>
    </row>
    <row r="265" spans="3:8" x14ac:dyDescent="0.25">
      <c r="C265"/>
      <c r="D265"/>
      <c r="E265"/>
      <c r="F265"/>
      <c r="G265"/>
      <c r="H265"/>
    </row>
    <row r="266" spans="3:8" x14ac:dyDescent="0.25">
      <c r="C266"/>
      <c r="D266"/>
      <c r="E266"/>
      <c r="F266"/>
      <c r="G266"/>
      <c r="H266"/>
    </row>
    <row r="267" spans="3:8" x14ac:dyDescent="0.25">
      <c r="C267"/>
      <c r="D267"/>
      <c r="E267"/>
      <c r="F267"/>
      <c r="G267"/>
      <c r="H267"/>
    </row>
    <row r="268" spans="3:8" x14ac:dyDescent="0.25">
      <c r="C268"/>
      <c r="D268"/>
      <c r="E268"/>
      <c r="F268"/>
      <c r="G268"/>
      <c r="H268"/>
    </row>
    <row r="269" spans="3:8" x14ac:dyDescent="0.25">
      <c r="C269"/>
      <c r="D269"/>
      <c r="E269"/>
      <c r="F269"/>
      <c r="G269"/>
      <c r="H269"/>
    </row>
    <row r="270" spans="3:8" x14ac:dyDescent="0.25">
      <c r="C270"/>
      <c r="D270"/>
      <c r="E270"/>
      <c r="F270"/>
      <c r="G270"/>
      <c r="H270"/>
    </row>
    <row r="271" spans="3:8" x14ac:dyDescent="0.25">
      <c r="C271"/>
      <c r="D271"/>
      <c r="E271"/>
      <c r="F271"/>
      <c r="G271"/>
      <c r="H271"/>
    </row>
    <row r="272" spans="3:8" x14ac:dyDescent="0.25">
      <c r="C272"/>
      <c r="D272"/>
      <c r="E272"/>
      <c r="F272"/>
      <c r="G272"/>
      <c r="H272"/>
    </row>
    <row r="273" spans="3:8" x14ac:dyDescent="0.25">
      <c r="C273"/>
      <c r="D273"/>
      <c r="E273"/>
      <c r="F273"/>
      <c r="G273"/>
      <c r="H273"/>
    </row>
    <row r="274" spans="3:8" x14ac:dyDescent="0.25">
      <c r="C274"/>
      <c r="D274"/>
      <c r="E274"/>
      <c r="F274"/>
      <c r="G274"/>
      <c r="H274"/>
    </row>
    <row r="275" spans="3:8" x14ac:dyDescent="0.25">
      <c r="C275"/>
      <c r="D275"/>
      <c r="E275"/>
      <c r="F275"/>
      <c r="G275"/>
      <c r="H275"/>
    </row>
    <row r="276" spans="3:8" x14ac:dyDescent="0.25">
      <c r="C276"/>
      <c r="D276"/>
      <c r="E276"/>
      <c r="F276"/>
      <c r="G276"/>
      <c r="H276"/>
    </row>
    <row r="277" spans="3:8" x14ac:dyDescent="0.25">
      <c r="C277"/>
      <c r="D277"/>
      <c r="E277"/>
      <c r="F277"/>
      <c r="G277"/>
      <c r="H277"/>
    </row>
    <row r="278" spans="3:8" x14ac:dyDescent="0.25">
      <c r="C278"/>
      <c r="D278"/>
      <c r="E278"/>
      <c r="F278"/>
      <c r="G278"/>
      <c r="H278"/>
    </row>
    <row r="279" spans="3:8" x14ac:dyDescent="0.25">
      <c r="C279"/>
      <c r="D279"/>
      <c r="E279"/>
      <c r="F279"/>
      <c r="G279"/>
      <c r="H279"/>
    </row>
    <row r="280" spans="3:8" x14ac:dyDescent="0.25">
      <c r="C280"/>
      <c r="D280"/>
      <c r="E280"/>
      <c r="F280"/>
      <c r="G280"/>
      <c r="H280"/>
    </row>
    <row r="281" spans="3:8" x14ac:dyDescent="0.25">
      <c r="C281"/>
      <c r="D281"/>
      <c r="E281"/>
      <c r="F281"/>
      <c r="G281"/>
      <c r="H281"/>
    </row>
    <row r="282" spans="3:8" x14ac:dyDescent="0.25">
      <c r="C282"/>
      <c r="D282"/>
      <c r="E282"/>
      <c r="F282"/>
      <c r="G282"/>
      <c r="H282"/>
    </row>
    <row r="283" spans="3:8" x14ac:dyDescent="0.25">
      <c r="C283"/>
      <c r="D283"/>
      <c r="E283"/>
      <c r="F283"/>
      <c r="G283"/>
      <c r="H283"/>
    </row>
    <row r="284" spans="3:8" x14ac:dyDescent="0.25">
      <c r="C284"/>
      <c r="D284"/>
      <c r="E284"/>
      <c r="F284"/>
      <c r="G284"/>
      <c r="H284"/>
    </row>
    <row r="285" spans="3:8" x14ac:dyDescent="0.25">
      <c r="C285"/>
      <c r="D285"/>
      <c r="E285"/>
      <c r="F285"/>
      <c r="G285"/>
      <c r="H285"/>
    </row>
    <row r="286" spans="3:8" x14ac:dyDescent="0.25">
      <c r="C286"/>
      <c r="D286"/>
      <c r="E286"/>
      <c r="F286"/>
      <c r="G286"/>
      <c r="H286"/>
    </row>
    <row r="287" spans="3:8" x14ac:dyDescent="0.25">
      <c r="C287"/>
      <c r="D287"/>
      <c r="E287"/>
      <c r="F287"/>
      <c r="G287"/>
      <c r="H287"/>
    </row>
    <row r="288" spans="3:8" x14ac:dyDescent="0.25">
      <c r="C288"/>
      <c r="D288"/>
      <c r="E288"/>
      <c r="F288"/>
      <c r="G288"/>
      <c r="H288"/>
    </row>
    <row r="289" spans="3:8" x14ac:dyDescent="0.25">
      <c r="C289"/>
      <c r="D289"/>
      <c r="E289"/>
      <c r="F289"/>
      <c r="G289"/>
      <c r="H289"/>
    </row>
    <row r="290" spans="3:8" x14ac:dyDescent="0.25">
      <c r="C290"/>
      <c r="D290"/>
      <c r="E290"/>
      <c r="F290"/>
      <c r="G290"/>
      <c r="H290"/>
    </row>
    <row r="291" spans="3:8" x14ac:dyDescent="0.25">
      <c r="C291"/>
      <c r="D291"/>
      <c r="E291"/>
      <c r="F291"/>
      <c r="G291"/>
      <c r="H291"/>
    </row>
    <row r="292" spans="3:8" x14ac:dyDescent="0.25">
      <c r="C292"/>
      <c r="D292"/>
      <c r="E292"/>
      <c r="F292"/>
      <c r="G292"/>
      <c r="H292"/>
    </row>
    <row r="293" spans="3:8" x14ac:dyDescent="0.25">
      <c r="C293"/>
      <c r="D293"/>
      <c r="E293"/>
      <c r="F293"/>
      <c r="G293"/>
      <c r="H293"/>
    </row>
    <row r="294" spans="3:8" x14ac:dyDescent="0.25">
      <c r="C294"/>
      <c r="D294"/>
      <c r="E294"/>
      <c r="F294"/>
      <c r="G294"/>
      <c r="H294"/>
    </row>
    <row r="295" spans="3:8" x14ac:dyDescent="0.25">
      <c r="C295"/>
      <c r="D295"/>
      <c r="E295"/>
      <c r="F295"/>
      <c r="G295"/>
      <c r="H295"/>
    </row>
    <row r="296" spans="3:8" x14ac:dyDescent="0.25">
      <c r="C296"/>
      <c r="D296"/>
      <c r="E296"/>
      <c r="F296"/>
      <c r="G296"/>
      <c r="H296"/>
    </row>
    <row r="297" spans="3:8" x14ac:dyDescent="0.25">
      <c r="C297"/>
      <c r="D297"/>
      <c r="E297"/>
      <c r="F297"/>
      <c r="G297"/>
      <c r="H297"/>
    </row>
    <row r="298" spans="3:8" x14ac:dyDescent="0.25">
      <c r="C298"/>
      <c r="D298"/>
      <c r="E298"/>
      <c r="F298"/>
      <c r="G298"/>
      <c r="H298"/>
    </row>
    <row r="299" spans="3:8" x14ac:dyDescent="0.25">
      <c r="C299"/>
      <c r="D299"/>
      <c r="E299"/>
      <c r="F299"/>
      <c r="G299"/>
      <c r="H299"/>
    </row>
    <row r="300" spans="3:8" x14ac:dyDescent="0.25">
      <c r="C300"/>
      <c r="D300"/>
      <c r="E300"/>
      <c r="F300"/>
      <c r="G300"/>
      <c r="H300"/>
    </row>
    <row r="301" spans="3:8" x14ac:dyDescent="0.25">
      <c r="C301"/>
      <c r="D301"/>
      <c r="E301"/>
      <c r="F301"/>
      <c r="G301"/>
      <c r="H301"/>
    </row>
    <row r="302" spans="3:8" x14ac:dyDescent="0.25">
      <c r="C302"/>
      <c r="D302"/>
      <c r="E302"/>
      <c r="F302"/>
      <c r="G302"/>
      <c r="H302"/>
    </row>
    <row r="303" spans="3:8" x14ac:dyDescent="0.25">
      <c r="C303"/>
      <c r="D303"/>
      <c r="E303"/>
      <c r="F303"/>
      <c r="G303"/>
      <c r="H303"/>
    </row>
    <row r="304" spans="3:8" x14ac:dyDescent="0.25">
      <c r="C304"/>
      <c r="D304"/>
      <c r="E304"/>
      <c r="F304"/>
      <c r="G304"/>
      <c r="H304"/>
    </row>
    <row r="305" spans="3:8" x14ac:dyDescent="0.25">
      <c r="C305"/>
      <c r="D305"/>
      <c r="E305"/>
      <c r="F305"/>
      <c r="G305"/>
      <c r="H305"/>
    </row>
    <row r="306" spans="3:8" x14ac:dyDescent="0.25">
      <c r="C306"/>
      <c r="D306"/>
      <c r="E306"/>
      <c r="F306"/>
      <c r="G306"/>
      <c r="H306"/>
    </row>
    <row r="307" spans="3:8" x14ac:dyDescent="0.25">
      <c r="C307"/>
      <c r="D307"/>
      <c r="E307"/>
      <c r="F307"/>
      <c r="G307"/>
      <c r="H307"/>
    </row>
    <row r="308" spans="3:8" x14ac:dyDescent="0.25">
      <c r="C308"/>
      <c r="D308"/>
      <c r="E308"/>
      <c r="F308"/>
      <c r="G308"/>
      <c r="H308"/>
    </row>
    <row r="309" spans="3:8" x14ac:dyDescent="0.25">
      <c r="C309"/>
      <c r="D309"/>
      <c r="E309"/>
      <c r="F309"/>
      <c r="G309"/>
      <c r="H309"/>
    </row>
    <row r="310" spans="3:8" x14ac:dyDescent="0.25">
      <c r="C310"/>
      <c r="D310"/>
      <c r="E310"/>
      <c r="F310"/>
      <c r="G310"/>
      <c r="H310"/>
    </row>
    <row r="311" spans="3:8" x14ac:dyDescent="0.25">
      <c r="C311"/>
      <c r="D311"/>
      <c r="E311"/>
      <c r="F311"/>
      <c r="G311"/>
      <c r="H311"/>
    </row>
    <row r="312" spans="3:8" x14ac:dyDescent="0.25">
      <c r="C312"/>
      <c r="D312"/>
      <c r="E312"/>
      <c r="F312"/>
      <c r="G312"/>
      <c r="H312"/>
    </row>
    <row r="313" spans="3:8" x14ac:dyDescent="0.25">
      <c r="C313"/>
      <c r="D313"/>
      <c r="E313"/>
      <c r="F313"/>
      <c r="G313"/>
      <c r="H313"/>
    </row>
    <row r="314" spans="3:8" x14ac:dyDescent="0.25">
      <c r="C314"/>
      <c r="D314"/>
      <c r="E314"/>
      <c r="F314"/>
      <c r="G314"/>
      <c r="H314"/>
    </row>
    <row r="315" spans="3:8" x14ac:dyDescent="0.25">
      <c r="C315"/>
      <c r="D315"/>
      <c r="E315"/>
      <c r="F315"/>
      <c r="G315"/>
      <c r="H315"/>
    </row>
    <row r="316" spans="3:8" x14ac:dyDescent="0.25">
      <c r="C316"/>
      <c r="D316"/>
      <c r="E316"/>
      <c r="F316"/>
      <c r="G316"/>
      <c r="H316"/>
    </row>
    <row r="317" spans="3:8" x14ac:dyDescent="0.25">
      <c r="C317"/>
      <c r="D317"/>
      <c r="E317"/>
      <c r="F317"/>
      <c r="G317"/>
      <c r="H317"/>
    </row>
    <row r="318" spans="3:8" x14ac:dyDescent="0.25">
      <c r="C318"/>
      <c r="D318"/>
      <c r="E318"/>
      <c r="F318"/>
      <c r="G318"/>
      <c r="H318"/>
    </row>
    <row r="319" spans="3:8" x14ac:dyDescent="0.25">
      <c r="C319"/>
      <c r="D319"/>
      <c r="E319"/>
      <c r="F319"/>
      <c r="G319"/>
      <c r="H319"/>
    </row>
    <row r="320" spans="3:8" x14ac:dyDescent="0.25">
      <c r="C320"/>
      <c r="D320"/>
      <c r="E320"/>
      <c r="F320"/>
      <c r="G320"/>
      <c r="H320"/>
    </row>
    <row r="321" spans="3:8" x14ac:dyDescent="0.25">
      <c r="C321"/>
      <c r="D321"/>
      <c r="E321"/>
      <c r="F321"/>
      <c r="G321"/>
      <c r="H321"/>
    </row>
    <row r="322" spans="3:8" x14ac:dyDescent="0.25">
      <c r="C322"/>
      <c r="D322"/>
      <c r="E322"/>
      <c r="F322"/>
      <c r="G322"/>
      <c r="H322"/>
    </row>
    <row r="323" spans="3:8" x14ac:dyDescent="0.25">
      <c r="C323"/>
      <c r="D323"/>
      <c r="E323"/>
      <c r="F323"/>
      <c r="G323"/>
      <c r="H323"/>
    </row>
    <row r="324" spans="3:8" x14ac:dyDescent="0.25">
      <c r="C324"/>
      <c r="D324"/>
      <c r="E324"/>
      <c r="F324"/>
      <c r="G324"/>
      <c r="H324"/>
    </row>
    <row r="325" spans="3:8" x14ac:dyDescent="0.25">
      <c r="C325"/>
      <c r="D325"/>
      <c r="E325"/>
      <c r="F325"/>
      <c r="G325"/>
      <c r="H325"/>
    </row>
    <row r="326" spans="3:8" x14ac:dyDescent="0.25">
      <c r="C326"/>
      <c r="D326"/>
      <c r="E326"/>
      <c r="F326"/>
      <c r="G326"/>
      <c r="H326"/>
    </row>
    <row r="327" spans="3:8" x14ac:dyDescent="0.25">
      <c r="C327"/>
      <c r="D327"/>
      <c r="E327"/>
      <c r="F327"/>
      <c r="G327"/>
      <c r="H327"/>
    </row>
    <row r="328" spans="3:8" x14ac:dyDescent="0.25">
      <c r="C328"/>
      <c r="D328"/>
      <c r="E328"/>
      <c r="F328"/>
      <c r="G328"/>
      <c r="H328"/>
    </row>
    <row r="329" spans="3:8" x14ac:dyDescent="0.25">
      <c r="C329"/>
      <c r="D329"/>
      <c r="E329"/>
      <c r="F329"/>
      <c r="G329"/>
      <c r="H329"/>
    </row>
    <row r="330" spans="3:8" x14ac:dyDescent="0.25">
      <c r="C330"/>
      <c r="D330"/>
      <c r="E330"/>
      <c r="F330"/>
      <c r="G330"/>
      <c r="H330"/>
    </row>
    <row r="331" spans="3:8" x14ac:dyDescent="0.25">
      <c r="C331"/>
      <c r="D331"/>
      <c r="E331"/>
      <c r="F331"/>
      <c r="G331"/>
      <c r="H331"/>
    </row>
    <row r="332" spans="3:8" x14ac:dyDescent="0.25">
      <c r="C332"/>
      <c r="D332"/>
      <c r="E332"/>
      <c r="F332"/>
      <c r="G332"/>
      <c r="H332"/>
    </row>
    <row r="333" spans="3:8" x14ac:dyDescent="0.25">
      <c r="C333"/>
      <c r="D333"/>
      <c r="E333"/>
      <c r="F333"/>
      <c r="G333"/>
      <c r="H333"/>
    </row>
    <row r="334" spans="3:8" x14ac:dyDescent="0.25">
      <c r="C334"/>
      <c r="D334"/>
      <c r="E334"/>
      <c r="F334"/>
      <c r="G334"/>
      <c r="H334"/>
    </row>
    <row r="335" spans="3:8" x14ac:dyDescent="0.25">
      <c r="C335"/>
      <c r="D335"/>
      <c r="E335"/>
      <c r="F335"/>
      <c r="G335"/>
      <c r="H335"/>
    </row>
    <row r="336" spans="3:8" x14ac:dyDescent="0.25">
      <c r="C336"/>
      <c r="D336"/>
      <c r="E336"/>
      <c r="F336"/>
      <c r="G336"/>
      <c r="H336"/>
    </row>
    <row r="337" spans="3:8" x14ac:dyDescent="0.25">
      <c r="C337"/>
      <c r="D337"/>
      <c r="E337"/>
      <c r="F337"/>
      <c r="G337"/>
      <c r="H337"/>
    </row>
    <row r="338" spans="3:8" x14ac:dyDescent="0.25">
      <c r="C338"/>
      <c r="D338"/>
      <c r="E338"/>
      <c r="F338"/>
      <c r="G338"/>
      <c r="H338"/>
    </row>
    <row r="339" spans="3:8" x14ac:dyDescent="0.25">
      <c r="C339"/>
      <c r="D339"/>
      <c r="E339"/>
      <c r="F339"/>
      <c r="G339"/>
      <c r="H339"/>
    </row>
    <row r="340" spans="3:8" x14ac:dyDescent="0.25">
      <c r="C340"/>
      <c r="D340"/>
      <c r="E340"/>
      <c r="F340"/>
      <c r="G340"/>
      <c r="H340"/>
    </row>
    <row r="341" spans="3:8" x14ac:dyDescent="0.25">
      <c r="C341"/>
      <c r="D341"/>
      <c r="E341"/>
      <c r="F341"/>
      <c r="G341"/>
      <c r="H341"/>
    </row>
    <row r="342" spans="3:8" x14ac:dyDescent="0.25">
      <c r="C342"/>
      <c r="D342"/>
      <c r="E342"/>
      <c r="F342"/>
      <c r="G342"/>
      <c r="H342"/>
    </row>
    <row r="343" spans="3:8" x14ac:dyDescent="0.25">
      <c r="C343"/>
      <c r="D343"/>
      <c r="E343"/>
      <c r="F343"/>
      <c r="G343"/>
      <c r="H343"/>
    </row>
    <row r="344" spans="3:8" x14ac:dyDescent="0.25">
      <c r="C344"/>
      <c r="D344"/>
      <c r="E344"/>
      <c r="F344"/>
      <c r="G344"/>
      <c r="H344"/>
    </row>
    <row r="345" spans="3:8" x14ac:dyDescent="0.25">
      <c r="C345"/>
      <c r="D345"/>
      <c r="E345"/>
      <c r="F345"/>
      <c r="G345"/>
      <c r="H345"/>
    </row>
    <row r="346" spans="3:8" x14ac:dyDescent="0.25">
      <c r="C346"/>
      <c r="D346"/>
      <c r="E346"/>
      <c r="F346"/>
      <c r="G346"/>
      <c r="H346"/>
    </row>
    <row r="347" spans="3:8" x14ac:dyDescent="0.25">
      <c r="C347"/>
      <c r="D347"/>
      <c r="E347"/>
      <c r="F347"/>
      <c r="G347"/>
      <c r="H347"/>
    </row>
    <row r="348" spans="3:8" x14ac:dyDescent="0.25">
      <c r="C348"/>
      <c r="D348"/>
      <c r="E348"/>
      <c r="F348"/>
      <c r="G348"/>
      <c r="H348"/>
    </row>
    <row r="349" spans="3:8" x14ac:dyDescent="0.25">
      <c r="C349"/>
      <c r="D349"/>
      <c r="E349"/>
      <c r="F349"/>
      <c r="G349"/>
      <c r="H349"/>
    </row>
    <row r="350" spans="3:8" x14ac:dyDescent="0.25">
      <c r="C350"/>
      <c r="D350"/>
      <c r="E350"/>
      <c r="F350"/>
      <c r="G350"/>
      <c r="H350"/>
    </row>
    <row r="351" spans="3:8" x14ac:dyDescent="0.25">
      <c r="C351"/>
      <c r="D351"/>
      <c r="E351"/>
      <c r="F351"/>
      <c r="G351"/>
      <c r="H351"/>
    </row>
    <row r="352" spans="3:8" x14ac:dyDescent="0.25">
      <c r="C352"/>
      <c r="D352"/>
      <c r="E352"/>
      <c r="F352"/>
      <c r="G352"/>
      <c r="H352"/>
    </row>
    <row r="353" spans="3:8" x14ac:dyDescent="0.25">
      <c r="C353"/>
      <c r="D353"/>
      <c r="E353"/>
      <c r="F353"/>
      <c r="G353"/>
      <c r="H353"/>
    </row>
    <row r="354" spans="3:8" x14ac:dyDescent="0.25">
      <c r="C354"/>
      <c r="D354"/>
      <c r="E354"/>
      <c r="F354"/>
      <c r="G354"/>
      <c r="H354"/>
    </row>
    <row r="355" spans="3:8" x14ac:dyDescent="0.25">
      <c r="C355"/>
      <c r="D355"/>
      <c r="E355"/>
      <c r="F355"/>
      <c r="G355"/>
      <c r="H355"/>
    </row>
    <row r="356" spans="3:8" x14ac:dyDescent="0.25">
      <c r="C356"/>
      <c r="D356"/>
      <c r="E356"/>
      <c r="F356"/>
      <c r="G356"/>
      <c r="H356"/>
    </row>
    <row r="357" spans="3:8" x14ac:dyDescent="0.25">
      <c r="C357"/>
      <c r="D357"/>
      <c r="E357"/>
      <c r="F357"/>
      <c r="G357"/>
      <c r="H357"/>
    </row>
    <row r="358" spans="3:8" x14ac:dyDescent="0.25">
      <c r="C358"/>
      <c r="D358"/>
      <c r="E358"/>
      <c r="F358"/>
      <c r="G358"/>
      <c r="H358"/>
    </row>
    <row r="359" spans="3:8" x14ac:dyDescent="0.25">
      <c r="C359"/>
      <c r="D359"/>
      <c r="E359"/>
      <c r="F359"/>
      <c r="G359"/>
      <c r="H359"/>
    </row>
    <row r="360" spans="3:8" x14ac:dyDescent="0.25">
      <c r="C360"/>
      <c r="D360"/>
      <c r="E360"/>
      <c r="F360"/>
      <c r="G360"/>
      <c r="H360"/>
    </row>
    <row r="361" spans="3:8" x14ac:dyDescent="0.25">
      <c r="C361"/>
      <c r="D361"/>
      <c r="E361"/>
      <c r="F361"/>
      <c r="G361"/>
      <c r="H361"/>
    </row>
    <row r="362" spans="3:8" x14ac:dyDescent="0.25">
      <c r="C362"/>
      <c r="D362"/>
      <c r="E362"/>
      <c r="F362"/>
      <c r="G362"/>
      <c r="H362"/>
    </row>
    <row r="363" spans="3:8" x14ac:dyDescent="0.25">
      <c r="C363"/>
      <c r="D363"/>
      <c r="E363"/>
      <c r="F363"/>
      <c r="G363"/>
      <c r="H363"/>
    </row>
    <row r="364" spans="3:8" x14ac:dyDescent="0.25">
      <c r="C364"/>
      <c r="D364"/>
      <c r="E364"/>
      <c r="F364"/>
      <c r="G364"/>
      <c r="H364"/>
    </row>
    <row r="365" spans="3:8" x14ac:dyDescent="0.25">
      <c r="C365"/>
      <c r="D365"/>
      <c r="E365"/>
      <c r="F365"/>
      <c r="G365"/>
      <c r="H365"/>
    </row>
    <row r="366" spans="3:8" x14ac:dyDescent="0.25">
      <c r="C366"/>
      <c r="D366"/>
      <c r="E366"/>
      <c r="F366"/>
      <c r="G366"/>
      <c r="H366"/>
    </row>
    <row r="367" spans="3:8" x14ac:dyDescent="0.25">
      <c r="C367"/>
      <c r="D367"/>
      <c r="E367"/>
      <c r="F367"/>
      <c r="G367"/>
      <c r="H367"/>
    </row>
    <row r="368" spans="3:8" x14ac:dyDescent="0.25">
      <c r="C368"/>
      <c r="D368"/>
      <c r="E368"/>
      <c r="F368"/>
      <c r="G368"/>
      <c r="H368"/>
    </row>
    <row r="369" spans="3:8" x14ac:dyDescent="0.25">
      <c r="C369"/>
      <c r="D369"/>
      <c r="E369"/>
      <c r="F369"/>
      <c r="G369"/>
      <c r="H369"/>
    </row>
    <row r="370" spans="3:8" x14ac:dyDescent="0.25">
      <c r="C370"/>
      <c r="D370"/>
      <c r="E370"/>
      <c r="F370"/>
      <c r="G370"/>
      <c r="H370"/>
    </row>
    <row r="371" spans="3:8" x14ac:dyDescent="0.25">
      <c r="C371"/>
      <c r="D371"/>
      <c r="E371"/>
      <c r="F371"/>
      <c r="G371"/>
      <c r="H371"/>
    </row>
    <row r="372" spans="3:8" x14ac:dyDescent="0.25">
      <c r="C372"/>
      <c r="D372"/>
      <c r="E372"/>
      <c r="F372"/>
      <c r="G372"/>
      <c r="H372"/>
    </row>
    <row r="373" spans="3:8" x14ac:dyDescent="0.25">
      <c r="C373"/>
      <c r="D373"/>
      <c r="E373"/>
      <c r="F373"/>
      <c r="G373"/>
      <c r="H373"/>
    </row>
    <row r="374" spans="3:8" x14ac:dyDescent="0.25">
      <c r="C374"/>
      <c r="D374"/>
      <c r="E374"/>
      <c r="F374"/>
      <c r="G374"/>
      <c r="H374"/>
    </row>
    <row r="375" spans="3:8" x14ac:dyDescent="0.25">
      <c r="C375"/>
      <c r="D375"/>
      <c r="E375"/>
      <c r="F375"/>
      <c r="G375"/>
      <c r="H375"/>
    </row>
    <row r="376" spans="3:8" x14ac:dyDescent="0.25">
      <c r="C376"/>
      <c r="D376"/>
      <c r="E376"/>
      <c r="F376"/>
      <c r="G376"/>
      <c r="H376"/>
    </row>
    <row r="377" spans="3:8" x14ac:dyDescent="0.25">
      <c r="C377"/>
      <c r="D377"/>
      <c r="E377"/>
      <c r="F377"/>
      <c r="G377"/>
      <c r="H377"/>
    </row>
    <row r="378" spans="3:8" x14ac:dyDescent="0.25">
      <c r="C378"/>
      <c r="D378"/>
      <c r="E378"/>
      <c r="F378"/>
      <c r="G378"/>
      <c r="H378"/>
    </row>
    <row r="379" spans="3:8" x14ac:dyDescent="0.25">
      <c r="C379"/>
      <c r="D379"/>
      <c r="E379"/>
      <c r="F379"/>
      <c r="G379"/>
      <c r="H379"/>
    </row>
    <row r="380" spans="3:8" x14ac:dyDescent="0.25">
      <c r="C380"/>
      <c r="D380"/>
      <c r="E380"/>
      <c r="F380"/>
      <c r="G380"/>
      <c r="H380"/>
    </row>
    <row r="381" spans="3:8" x14ac:dyDescent="0.25">
      <c r="C381"/>
      <c r="D381"/>
      <c r="E381"/>
      <c r="F381"/>
      <c r="G381"/>
      <c r="H381"/>
    </row>
    <row r="382" spans="3:8" x14ac:dyDescent="0.25">
      <c r="C382"/>
      <c r="D382"/>
      <c r="E382"/>
      <c r="F382"/>
      <c r="G382"/>
      <c r="H382"/>
    </row>
    <row r="383" spans="3:8" x14ac:dyDescent="0.25">
      <c r="C383"/>
      <c r="D383"/>
      <c r="E383"/>
      <c r="F383"/>
      <c r="G383"/>
      <c r="H383"/>
    </row>
    <row r="384" spans="3:8" x14ac:dyDescent="0.25">
      <c r="C384"/>
      <c r="D384"/>
      <c r="E384"/>
      <c r="F384"/>
      <c r="G384"/>
      <c r="H384"/>
    </row>
    <row r="385" spans="3:8" x14ac:dyDescent="0.25">
      <c r="C385"/>
      <c r="D385"/>
      <c r="E385"/>
      <c r="F385"/>
      <c r="G385"/>
      <c r="H385"/>
    </row>
    <row r="386" spans="3:8" x14ac:dyDescent="0.25">
      <c r="C386"/>
      <c r="D386"/>
      <c r="E386"/>
      <c r="F386"/>
      <c r="G386"/>
      <c r="H386"/>
    </row>
    <row r="387" spans="3:8" x14ac:dyDescent="0.25">
      <c r="C387"/>
      <c r="D387"/>
      <c r="E387"/>
      <c r="F387"/>
      <c r="G387"/>
      <c r="H387"/>
    </row>
    <row r="388" spans="3:8" x14ac:dyDescent="0.25">
      <c r="C388"/>
      <c r="D388"/>
      <c r="E388"/>
      <c r="F388"/>
      <c r="G388"/>
      <c r="H388"/>
    </row>
    <row r="389" spans="3:8" x14ac:dyDescent="0.25">
      <c r="C389"/>
      <c r="D389"/>
      <c r="E389"/>
      <c r="F389"/>
      <c r="G389"/>
      <c r="H389"/>
    </row>
    <row r="390" spans="3:8" x14ac:dyDescent="0.25">
      <c r="C390"/>
      <c r="D390"/>
      <c r="E390"/>
      <c r="F390"/>
      <c r="G390"/>
      <c r="H390"/>
    </row>
    <row r="391" spans="3:8" x14ac:dyDescent="0.25">
      <c r="C391"/>
      <c r="D391"/>
      <c r="E391"/>
      <c r="F391"/>
      <c r="G391"/>
      <c r="H391"/>
    </row>
    <row r="392" spans="3:8" x14ac:dyDescent="0.25">
      <c r="C392"/>
      <c r="D392"/>
      <c r="E392"/>
      <c r="F392"/>
      <c r="G392"/>
      <c r="H392"/>
    </row>
    <row r="393" spans="3:8" x14ac:dyDescent="0.25">
      <c r="C393"/>
      <c r="D393"/>
      <c r="E393"/>
      <c r="F393"/>
      <c r="G393"/>
      <c r="H393"/>
    </row>
    <row r="394" spans="3:8" x14ac:dyDescent="0.25">
      <c r="C394"/>
      <c r="D394"/>
      <c r="E394"/>
      <c r="F394"/>
      <c r="G394"/>
      <c r="H394"/>
    </row>
    <row r="395" spans="3:8" x14ac:dyDescent="0.25">
      <c r="C395"/>
      <c r="D395"/>
      <c r="E395"/>
      <c r="F395"/>
      <c r="G395"/>
      <c r="H395"/>
    </row>
    <row r="396" spans="3:8" x14ac:dyDescent="0.25">
      <c r="C396"/>
      <c r="D396"/>
      <c r="E396"/>
      <c r="F396"/>
      <c r="G396"/>
      <c r="H396"/>
    </row>
    <row r="397" spans="3:8" x14ac:dyDescent="0.25">
      <c r="C397"/>
      <c r="D397"/>
      <c r="E397"/>
      <c r="F397"/>
      <c r="G397"/>
      <c r="H397"/>
    </row>
    <row r="398" spans="3:8" x14ac:dyDescent="0.25">
      <c r="C398"/>
      <c r="D398"/>
      <c r="E398"/>
      <c r="F398"/>
      <c r="G398"/>
      <c r="H398"/>
    </row>
    <row r="399" spans="3:8" x14ac:dyDescent="0.25">
      <c r="C399"/>
      <c r="D399"/>
      <c r="E399"/>
      <c r="F399"/>
      <c r="G399"/>
      <c r="H399"/>
    </row>
    <row r="400" spans="3:8" x14ac:dyDescent="0.25">
      <c r="C400"/>
      <c r="D400"/>
      <c r="E400"/>
      <c r="F400"/>
      <c r="G400"/>
      <c r="H400"/>
    </row>
    <row r="401" spans="3:8" x14ac:dyDescent="0.25">
      <c r="C401"/>
      <c r="D401"/>
      <c r="E401"/>
      <c r="F401"/>
      <c r="G401"/>
      <c r="H401"/>
    </row>
    <row r="402" spans="3:8" x14ac:dyDescent="0.25">
      <c r="C402"/>
      <c r="D402"/>
      <c r="E402"/>
      <c r="F402"/>
      <c r="G402"/>
      <c r="H402"/>
    </row>
    <row r="403" spans="3:8" x14ac:dyDescent="0.25">
      <c r="C403"/>
      <c r="D403"/>
      <c r="E403"/>
      <c r="F403"/>
      <c r="G403"/>
      <c r="H403"/>
    </row>
    <row r="404" spans="3:8" x14ac:dyDescent="0.25">
      <c r="C404"/>
      <c r="D404"/>
      <c r="E404"/>
      <c r="F404"/>
      <c r="G404"/>
      <c r="H404"/>
    </row>
    <row r="405" spans="3:8" x14ac:dyDescent="0.25">
      <c r="C405"/>
      <c r="D405"/>
      <c r="E405"/>
      <c r="F405"/>
      <c r="G405"/>
      <c r="H405"/>
    </row>
    <row r="406" spans="3:8" x14ac:dyDescent="0.25">
      <c r="C406"/>
      <c r="D406"/>
      <c r="E406"/>
      <c r="F406"/>
      <c r="G406"/>
      <c r="H406"/>
    </row>
    <row r="407" spans="3:8" x14ac:dyDescent="0.25">
      <c r="C407"/>
      <c r="D407"/>
      <c r="E407"/>
      <c r="F407"/>
      <c r="G407"/>
      <c r="H407"/>
    </row>
    <row r="408" spans="3:8" x14ac:dyDescent="0.25">
      <c r="C408"/>
      <c r="D408"/>
      <c r="E408"/>
      <c r="F408"/>
      <c r="G408"/>
      <c r="H408"/>
    </row>
    <row r="409" spans="3:8" x14ac:dyDescent="0.25">
      <c r="C409"/>
      <c r="D409"/>
      <c r="E409"/>
      <c r="F409"/>
      <c r="G409"/>
      <c r="H409"/>
    </row>
    <row r="410" spans="3:8" x14ac:dyDescent="0.25">
      <c r="C410"/>
      <c r="D410"/>
      <c r="E410"/>
      <c r="F410"/>
      <c r="G410"/>
      <c r="H410"/>
    </row>
    <row r="411" spans="3:8" x14ac:dyDescent="0.25">
      <c r="C411"/>
      <c r="D411"/>
      <c r="E411"/>
      <c r="F411"/>
      <c r="G411"/>
      <c r="H411"/>
    </row>
    <row r="412" spans="3:8" x14ac:dyDescent="0.25">
      <c r="C412"/>
      <c r="D412"/>
      <c r="E412"/>
      <c r="F412"/>
      <c r="G412"/>
      <c r="H412"/>
    </row>
    <row r="413" spans="3:8" x14ac:dyDescent="0.25">
      <c r="C413"/>
      <c r="D413"/>
      <c r="E413"/>
      <c r="F413"/>
      <c r="G413"/>
      <c r="H413"/>
    </row>
    <row r="414" spans="3:8" x14ac:dyDescent="0.25">
      <c r="C414"/>
      <c r="D414"/>
      <c r="E414"/>
      <c r="F414"/>
      <c r="G414"/>
      <c r="H414"/>
    </row>
    <row r="415" spans="3:8" x14ac:dyDescent="0.25">
      <c r="C415"/>
      <c r="D415"/>
      <c r="E415"/>
      <c r="F415"/>
      <c r="G415"/>
      <c r="H415"/>
    </row>
    <row r="416" spans="3:8" x14ac:dyDescent="0.25">
      <c r="C416"/>
      <c r="D416"/>
      <c r="E416"/>
      <c r="F416"/>
      <c r="G416"/>
      <c r="H416"/>
    </row>
    <row r="417" spans="3:8" x14ac:dyDescent="0.25">
      <c r="C417"/>
      <c r="D417"/>
      <c r="E417"/>
      <c r="F417"/>
      <c r="G417"/>
      <c r="H417"/>
    </row>
    <row r="418" spans="3:8" x14ac:dyDescent="0.25">
      <c r="C418"/>
      <c r="D418"/>
      <c r="E418"/>
      <c r="F418"/>
      <c r="G418"/>
      <c r="H418"/>
    </row>
    <row r="419" spans="3:8" x14ac:dyDescent="0.25">
      <c r="C419"/>
      <c r="D419"/>
      <c r="E419"/>
      <c r="F419"/>
      <c r="G419"/>
      <c r="H419"/>
    </row>
    <row r="420" spans="3:8" x14ac:dyDescent="0.25">
      <c r="C420"/>
      <c r="D420"/>
      <c r="E420"/>
      <c r="F420"/>
      <c r="G420"/>
      <c r="H420"/>
    </row>
    <row r="421" spans="3:8" x14ac:dyDescent="0.25">
      <c r="C421"/>
      <c r="D421"/>
      <c r="E421"/>
      <c r="F421"/>
      <c r="G421"/>
      <c r="H421"/>
    </row>
    <row r="422" spans="3:8" x14ac:dyDescent="0.25">
      <c r="C422"/>
      <c r="D422"/>
      <c r="E422"/>
      <c r="F422"/>
      <c r="G422"/>
      <c r="H422"/>
    </row>
    <row r="423" spans="3:8" x14ac:dyDescent="0.25">
      <c r="C423"/>
      <c r="D423"/>
      <c r="E423"/>
      <c r="F423"/>
      <c r="G423"/>
      <c r="H423"/>
    </row>
    <row r="424" spans="3:8" x14ac:dyDescent="0.25">
      <c r="C424"/>
      <c r="D424"/>
      <c r="E424"/>
      <c r="F424"/>
      <c r="G424"/>
      <c r="H424"/>
    </row>
    <row r="425" spans="3:8" x14ac:dyDescent="0.25">
      <c r="C425"/>
      <c r="D425"/>
      <c r="E425"/>
      <c r="F425"/>
      <c r="G425"/>
      <c r="H425"/>
    </row>
    <row r="426" spans="3:8" x14ac:dyDescent="0.25">
      <c r="C426"/>
      <c r="D426"/>
      <c r="E426"/>
      <c r="F426"/>
      <c r="G426"/>
      <c r="H426"/>
    </row>
    <row r="427" spans="3:8" x14ac:dyDescent="0.25">
      <c r="C427"/>
      <c r="D427"/>
      <c r="E427"/>
      <c r="F427"/>
      <c r="G427"/>
      <c r="H427"/>
    </row>
    <row r="428" spans="3:8" x14ac:dyDescent="0.25">
      <c r="C428"/>
      <c r="D428"/>
      <c r="E428"/>
      <c r="F428"/>
      <c r="G428"/>
      <c r="H428"/>
    </row>
    <row r="429" spans="3:8" x14ac:dyDescent="0.25">
      <c r="C429"/>
      <c r="D429"/>
      <c r="E429"/>
      <c r="F429"/>
      <c r="G429"/>
      <c r="H429"/>
    </row>
    <row r="430" spans="3:8" x14ac:dyDescent="0.25">
      <c r="C430"/>
      <c r="D430"/>
      <c r="E430"/>
      <c r="F430"/>
      <c r="G430"/>
      <c r="H430"/>
    </row>
    <row r="431" spans="3:8" x14ac:dyDescent="0.25">
      <c r="C431"/>
      <c r="D431"/>
      <c r="E431"/>
      <c r="F431"/>
      <c r="G431"/>
      <c r="H431"/>
    </row>
    <row r="432" spans="3:8" x14ac:dyDescent="0.25">
      <c r="C432"/>
      <c r="D432"/>
      <c r="E432"/>
      <c r="F432"/>
      <c r="G432"/>
      <c r="H432"/>
    </row>
    <row r="433" spans="3:8" x14ac:dyDescent="0.25">
      <c r="C433"/>
      <c r="D433"/>
      <c r="E433"/>
      <c r="F433"/>
      <c r="G433"/>
      <c r="H433"/>
    </row>
    <row r="434" spans="3:8" x14ac:dyDescent="0.25">
      <c r="C434"/>
      <c r="D434"/>
      <c r="E434"/>
      <c r="F434"/>
      <c r="G434"/>
      <c r="H434"/>
    </row>
    <row r="435" spans="3:8" x14ac:dyDescent="0.25">
      <c r="C435"/>
      <c r="D435"/>
      <c r="E435"/>
      <c r="F435"/>
      <c r="G435"/>
      <c r="H435"/>
    </row>
    <row r="436" spans="3:8" x14ac:dyDescent="0.25">
      <c r="C436"/>
      <c r="D436"/>
      <c r="E436"/>
      <c r="F436"/>
      <c r="G436"/>
      <c r="H436"/>
    </row>
    <row r="437" spans="3:8" x14ac:dyDescent="0.25">
      <c r="C437"/>
      <c r="D437"/>
      <c r="E437"/>
      <c r="F437"/>
      <c r="G437"/>
      <c r="H437"/>
    </row>
    <row r="438" spans="3:8" x14ac:dyDescent="0.25">
      <c r="C438"/>
      <c r="D438"/>
      <c r="E438"/>
      <c r="F438"/>
      <c r="G438"/>
      <c r="H438"/>
    </row>
    <row r="439" spans="3:8" x14ac:dyDescent="0.25">
      <c r="C439"/>
      <c r="D439"/>
      <c r="E439"/>
      <c r="F439"/>
      <c r="G439"/>
      <c r="H439"/>
    </row>
    <row r="440" spans="3:8" x14ac:dyDescent="0.25">
      <c r="C440"/>
      <c r="D440"/>
      <c r="E440"/>
      <c r="F440"/>
      <c r="G440"/>
      <c r="H440"/>
    </row>
    <row r="441" spans="3:8" x14ac:dyDescent="0.25">
      <c r="C441"/>
      <c r="D441"/>
      <c r="E441"/>
      <c r="F441"/>
      <c r="G441"/>
      <c r="H441"/>
    </row>
    <row r="442" spans="3:8" x14ac:dyDescent="0.25">
      <c r="C442"/>
      <c r="D442"/>
      <c r="E442"/>
      <c r="F442"/>
      <c r="G442"/>
      <c r="H442"/>
    </row>
    <row r="443" spans="3:8" x14ac:dyDescent="0.25">
      <c r="C443"/>
      <c r="D443"/>
      <c r="E443"/>
      <c r="F443"/>
      <c r="G443"/>
      <c r="H443"/>
    </row>
    <row r="444" spans="3:8" x14ac:dyDescent="0.25">
      <c r="C444"/>
      <c r="D444"/>
      <c r="E444"/>
      <c r="F444"/>
      <c r="G444"/>
      <c r="H444"/>
    </row>
    <row r="445" spans="3:8" x14ac:dyDescent="0.25">
      <c r="C445"/>
      <c r="D445"/>
      <c r="E445"/>
      <c r="F445"/>
      <c r="G445"/>
      <c r="H445"/>
    </row>
    <row r="446" spans="3:8" x14ac:dyDescent="0.25">
      <c r="C446"/>
      <c r="D446"/>
      <c r="E446"/>
      <c r="F446"/>
      <c r="G446"/>
      <c r="H446"/>
    </row>
    <row r="447" spans="3:8" x14ac:dyDescent="0.25">
      <c r="C447"/>
      <c r="D447"/>
      <c r="E447"/>
      <c r="F447"/>
      <c r="G447"/>
      <c r="H447"/>
    </row>
    <row r="448" spans="3:8" x14ac:dyDescent="0.25">
      <c r="C448"/>
      <c r="D448"/>
      <c r="E448"/>
      <c r="F448"/>
      <c r="G448"/>
      <c r="H448"/>
    </row>
    <row r="449" spans="3:8" x14ac:dyDescent="0.25">
      <c r="C449"/>
      <c r="D449"/>
      <c r="E449"/>
      <c r="F449"/>
      <c r="G449"/>
      <c r="H449"/>
    </row>
    <row r="450" spans="3:8" x14ac:dyDescent="0.25">
      <c r="C450"/>
      <c r="D450"/>
      <c r="E450"/>
      <c r="F450"/>
      <c r="G450"/>
      <c r="H450"/>
    </row>
    <row r="451" spans="3:8" x14ac:dyDescent="0.25">
      <c r="C451"/>
      <c r="D451"/>
      <c r="E451"/>
      <c r="F451"/>
      <c r="G451"/>
      <c r="H451"/>
    </row>
    <row r="452" spans="3:8" x14ac:dyDescent="0.25">
      <c r="C452"/>
      <c r="D452"/>
      <c r="E452"/>
      <c r="F452"/>
      <c r="G452"/>
      <c r="H452"/>
    </row>
    <row r="453" spans="3:8" x14ac:dyDescent="0.25">
      <c r="C453"/>
      <c r="D453"/>
      <c r="E453"/>
      <c r="F453"/>
      <c r="G453"/>
      <c r="H453"/>
    </row>
    <row r="454" spans="3:8" x14ac:dyDescent="0.25">
      <c r="C454"/>
      <c r="D454"/>
      <c r="E454"/>
      <c r="F454"/>
      <c r="G454"/>
      <c r="H454"/>
    </row>
    <row r="455" spans="3:8" x14ac:dyDescent="0.25">
      <c r="C455"/>
      <c r="D455"/>
      <c r="E455"/>
      <c r="F455"/>
      <c r="G455"/>
      <c r="H455"/>
    </row>
    <row r="456" spans="3:8" x14ac:dyDescent="0.25">
      <c r="C456"/>
      <c r="D456"/>
      <c r="E456"/>
      <c r="F456"/>
      <c r="G456"/>
      <c r="H456"/>
    </row>
    <row r="457" spans="3:8" x14ac:dyDescent="0.25">
      <c r="C457"/>
      <c r="D457"/>
      <c r="E457"/>
      <c r="F457"/>
      <c r="G457"/>
      <c r="H457"/>
    </row>
    <row r="458" spans="3:8" x14ac:dyDescent="0.25">
      <c r="C458"/>
      <c r="D458"/>
      <c r="E458"/>
      <c r="F458"/>
      <c r="G458"/>
      <c r="H458"/>
    </row>
    <row r="459" spans="3:8" x14ac:dyDescent="0.25">
      <c r="C459"/>
      <c r="D459"/>
      <c r="E459"/>
      <c r="F459"/>
      <c r="G459"/>
      <c r="H459"/>
    </row>
    <row r="460" spans="3:8" x14ac:dyDescent="0.25">
      <c r="C460"/>
      <c r="D460"/>
      <c r="E460"/>
      <c r="F460"/>
      <c r="G460"/>
      <c r="H460"/>
    </row>
    <row r="461" spans="3:8" x14ac:dyDescent="0.25">
      <c r="C461"/>
      <c r="D461"/>
      <c r="E461"/>
      <c r="F461"/>
      <c r="G461"/>
      <c r="H461"/>
    </row>
    <row r="462" spans="3:8" x14ac:dyDescent="0.25">
      <c r="C462"/>
      <c r="D462"/>
      <c r="E462"/>
      <c r="F462"/>
      <c r="G462"/>
      <c r="H462"/>
    </row>
    <row r="463" spans="3:8" x14ac:dyDescent="0.25">
      <c r="C463"/>
      <c r="D463"/>
      <c r="E463"/>
      <c r="F463"/>
      <c r="G463"/>
      <c r="H463"/>
    </row>
    <row r="464" spans="3:8" x14ac:dyDescent="0.25">
      <c r="C464"/>
      <c r="D464"/>
      <c r="E464"/>
      <c r="F464"/>
      <c r="G464"/>
      <c r="H464"/>
    </row>
    <row r="465" spans="3:8" x14ac:dyDescent="0.25">
      <c r="C465"/>
      <c r="D465"/>
      <c r="E465"/>
      <c r="F465"/>
      <c r="G465"/>
      <c r="H465"/>
    </row>
    <row r="466" spans="3:8" x14ac:dyDescent="0.25">
      <c r="C466"/>
      <c r="D466"/>
      <c r="E466"/>
      <c r="F466"/>
      <c r="G466"/>
      <c r="H466"/>
    </row>
    <row r="467" spans="3:8" x14ac:dyDescent="0.25">
      <c r="C467"/>
      <c r="D467"/>
      <c r="E467"/>
      <c r="F467"/>
      <c r="G467"/>
      <c r="H467"/>
    </row>
    <row r="468" spans="3:8" x14ac:dyDescent="0.25">
      <c r="C468"/>
      <c r="D468"/>
      <c r="E468"/>
      <c r="F468"/>
      <c r="G468"/>
      <c r="H468"/>
    </row>
    <row r="469" spans="3:8" x14ac:dyDescent="0.25">
      <c r="C469"/>
      <c r="D469"/>
      <c r="E469"/>
      <c r="F469"/>
      <c r="G469"/>
      <c r="H469"/>
    </row>
    <row r="470" spans="3:8" x14ac:dyDescent="0.25">
      <c r="C470"/>
      <c r="D470"/>
      <c r="E470"/>
      <c r="F470"/>
      <c r="G470"/>
      <c r="H470"/>
    </row>
    <row r="471" spans="3:8" x14ac:dyDescent="0.25">
      <c r="C471"/>
      <c r="D471"/>
      <c r="E471"/>
      <c r="F471"/>
      <c r="G471"/>
      <c r="H471"/>
    </row>
    <row r="472" spans="3:8" x14ac:dyDescent="0.25">
      <c r="C472"/>
      <c r="D472"/>
      <c r="E472"/>
      <c r="F472"/>
      <c r="G472"/>
      <c r="H472"/>
    </row>
    <row r="473" spans="3:8" x14ac:dyDescent="0.25">
      <c r="C473"/>
      <c r="D473"/>
      <c r="E473"/>
      <c r="F473"/>
      <c r="G473"/>
      <c r="H473"/>
    </row>
    <row r="474" spans="3:8" x14ac:dyDescent="0.25">
      <c r="C474"/>
      <c r="D474"/>
      <c r="E474"/>
      <c r="F474"/>
      <c r="G474"/>
      <c r="H474"/>
    </row>
    <row r="475" spans="3:8" x14ac:dyDescent="0.25">
      <c r="C475"/>
      <c r="D475"/>
      <c r="E475"/>
      <c r="F475"/>
      <c r="G475"/>
      <c r="H475"/>
    </row>
    <row r="476" spans="3:8" x14ac:dyDescent="0.25">
      <c r="C476"/>
      <c r="D476"/>
      <c r="E476"/>
      <c r="F476"/>
      <c r="G476"/>
      <c r="H476"/>
    </row>
    <row r="477" spans="3:8" x14ac:dyDescent="0.25">
      <c r="C477"/>
      <c r="D477"/>
      <c r="E477"/>
      <c r="F477"/>
      <c r="G477"/>
      <c r="H477"/>
    </row>
    <row r="478" spans="3:8" x14ac:dyDescent="0.25">
      <c r="C478"/>
      <c r="D478"/>
      <c r="E478"/>
      <c r="F478"/>
      <c r="G478"/>
      <c r="H478"/>
    </row>
    <row r="479" spans="3:8" x14ac:dyDescent="0.25">
      <c r="C479"/>
      <c r="D479"/>
      <c r="E479"/>
      <c r="F479"/>
      <c r="G479"/>
      <c r="H479"/>
    </row>
    <row r="480" spans="3:8" x14ac:dyDescent="0.25">
      <c r="C480"/>
      <c r="D480"/>
      <c r="E480"/>
      <c r="F480"/>
      <c r="G480"/>
      <c r="H480"/>
    </row>
    <row r="481" spans="3:8" x14ac:dyDescent="0.25">
      <c r="C481"/>
      <c r="D481"/>
      <c r="E481"/>
      <c r="F481"/>
      <c r="G481"/>
      <c r="H481"/>
    </row>
    <row r="482" spans="3:8" x14ac:dyDescent="0.25">
      <c r="C482"/>
      <c r="D482"/>
      <c r="E482"/>
      <c r="F482"/>
      <c r="G482"/>
      <c r="H482"/>
    </row>
    <row r="483" spans="3:8" x14ac:dyDescent="0.25">
      <c r="C483"/>
      <c r="D483"/>
      <c r="E483"/>
      <c r="F483"/>
      <c r="G483"/>
      <c r="H483"/>
    </row>
  </sheetData>
  <sheetProtection algorithmName="SHA-512" hashValue="Wx3ZaiwD1Vgsi+V+J3JXS05sIyoz2Oe5brxt+6rwi7Ab+IPBfR7XvHebec4cKL3YK2W5kr5idOp2tNs4j75Ntw==" saltValue="YleI8gJGyPT//v5ZCBcZJA==" spinCount="100000" sheet="1" objects="1" scenarios="1"/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8"/>
  <sheetViews>
    <sheetView zoomScale="190" zoomScaleNormal="190" workbookViewId="0">
      <selection activeCell="C1" sqref="C1"/>
    </sheetView>
  </sheetViews>
  <sheetFormatPr defaultRowHeight="15" x14ac:dyDescent="0.25"/>
  <cols>
    <col min="1" max="1" width="3.5703125" customWidth="1"/>
    <col min="2" max="2" width="28.85546875" customWidth="1"/>
    <col min="3" max="3" width="14.5703125" style="5" customWidth="1"/>
    <col min="4" max="4" width="13.42578125" style="5" customWidth="1"/>
    <col min="5" max="5" width="9.140625" customWidth="1"/>
    <col min="6" max="6" width="14.42578125" bestFit="1" customWidth="1"/>
    <col min="7" max="7" width="17" customWidth="1"/>
    <col min="8" max="8" width="14.28515625" customWidth="1"/>
  </cols>
  <sheetData>
    <row r="1" spans="1:12" ht="12.95" customHeight="1" x14ac:dyDescent="0.25">
      <c r="A1" s="1" t="s">
        <v>0</v>
      </c>
      <c r="B1" s="2"/>
      <c r="C1" s="20"/>
      <c r="D1" s="20"/>
    </row>
    <row r="2" spans="1:12" ht="12.95" hidden="1" customHeight="1" x14ac:dyDescent="0.25">
      <c r="A2" s="1"/>
      <c r="B2" s="108" t="s">
        <v>133</v>
      </c>
      <c r="C2" s="107">
        <f>Summary!C3</f>
        <v>8</v>
      </c>
      <c r="D2" s="20"/>
    </row>
    <row r="3" spans="1:12" ht="12.95" customHeight="1" x14ac:dyDescent="0.25">
      <c r="A3" s="1"/>
      <c r="B3" s="2"/>
      <c r="C3" s="21"/>
      <c r="D3" s="21"/>
    </row>
    <row r="4" spans="1:12" ht="12.95" customHeight="1" x14ac:dyDescent="0.25">
      <c r="A4" s="1"/>
      <c r="B4" s="140" t="s">
        <v>155</v>
      </c>
      <c r="C4" s="22" t="str">
        <f>IF($C$2=1,I6,IF($C$2=2,I7,IF($C$2=3,I8,IF($C$2=4,I9,IF($C$2=5,I11,IF($C$2=6,I12,IF($C$2=7,I13,IF($C$2=8,I14,IF($C$2=9,I15,IF($C$2=10,I16,IF($C$2=11,I17,IF($C$2=12,I18,IF($C$2=13,"Cummulative Totals","Enter correct month")))))))))))))</f>
        <v>August 2025</v>
      </c>
      <c r="D4" s="21"/>
      <c r="F4" s="40" t="s">
        <v>84</v>
      </c>
      <c r="G4" s="40"/>
      <c r="H4" s="40"/>
      <c r="I4" s="40" t="s">
        <v>85</v>
      </c>
      <c r="J4" s="41"/>
      <c r="K4" s="41"/>
      <c r="L4" s="41"/>
    </row>
    <row r="5" spans="1:12" ht="12.95" customHeight="1" x14ac:dyDescent="0.25">
      <c r="A5" s="1"/>
      <c r="C5" s="6"/>
      <c r="D5" s="6"/>
      <c r="F5" s="42" t="s">
        <v>86</v>
      </c>
      <c r="G5" s="43">
        <v>2024</v>
      </c>
      <c r="H5" s="40"/>
      <c r="I5" s="44" t="str">
        <f t="shared" ref="I5:I18" si="0">CONCATENATE(F5,G5)</f>
        <v>December 2024</v>
      </c>
      <c r="J5" s="41"/>
      <c r="K5" s="41"/>
      <c r="L5" s="41"/>
    </row>
    <row r="6" spans="1:12" ht="9.9499999999999993" customHeight="1" x14ac:dyDescent="0.25">
      <c r="A6" s="1"/>
      <c r="B6" s="2"/>
      <c r="C6" s="6"/>
      <c r="D6" s="21"/>
      <c r="F6" s="45" t="s">
        <v>87</v>
      </c>
      <c r="G6" s="40">
        <f>+G5+1</f>
        <v>2025</v>
      </c>
      <c r="H6" s="41"/>
      <c r="I6" s="44" t="str">
        <f t="shared" si="0"/>
        <v>January 2025</v>
      </c>
      <c r="J6" s="41"/>
      <c r="K6" s="41"/>
      <c r="L6" s="41"/>
    </row>
    <row r="7" spans="1:12" ht="12" customHeight="1" x14ac:dyDescent="0.25">
      <c r="C7" s="3" t="s">
        <v>9</v>
      </c>
      <c r="D7" s="3" t="s">
        <v>10</v>
      </c>
      <c r="F7" s="45" t="s">
        <v>88</v>
      </c>
      <c r="G7" s="40">
        <f t="shared" ref="G7:G18" si="1">+G6</f>
        <v>2025</v>
      </c>
      <c r="H7" s="41"/>
      <c r="I7" s="44" t="str">
        <f t="shared" si="0"/>
        <v>February 2025</v>
      </c>
      <c r="J7" s="41"/>
      <c r="K7" s="41"/>
      <c r="L7" s="41"/>
    </row>
    <row r="8" spans="1:12" ht="12" customHeight="1" x14ac:dyDescent="0.25">
      <c r="A8" s="16" t="s">
        <v>1</v>
      </c>
      <c r="B8" s="16"/>
      <c r="C8" s="6"/>
      <c r="D8" s="23"/>
      <c r="F8" s="45" t="s">
        <v>89</v>
      </c>
      <c r="G8" s="40">
        <f t="shared" si="1"/>
        <v>2025</v>
      </c>
      <c r="H8" s="41"/>
      <c r="I8" s="44" t="str">
        <f t="shared" si="0"/>
        <v>March 2025</v>
      </c>
      <c r="J8" s="41"/>
      <c r="K8" s="41"/>
      <c r="L8" s="41"/>
    </row>
    <row r="9" spans="1:12" ht="12" customHeight="1" x14ac:dyDescent="0.25">
      <c r="A9" s="13">
        <v>1</v>
      </c>
      <c r="B9" s="15" t="str">
        <f>'Sales Input'!B10</f>
        <v>Domasi Supermarket</v>
      </c>
      <c r="C9" s="55">
        <f>IF($C$2=1,'Sales Input'!C10,IF($C$2=2,'Sales Input'!D10,IF($C$2=3,'Sales Input'!E10,IF($C$2=4,'Sales Input'!F10,IF($C$2=5,'Sales Input'!G10,IF($C$2=6,'Sales Input'!H10,IF($C$2=7,'Sales Input'!I10,IF($C$2=8,'Sales Input'!J10,IF($C$2=9,'Sales Input'!K10,IF($C$2=10,'Sales Input'!L10,IF($C$2=11,'Sales Input'!M10,IF($C$2=12,'Sales Input'!N10,IF($C$2=13,'Sales Input'!O10,0)))))))))))))</f>
        <v>4715460</v>
      </c>
      <c r="D9" s="9"/>
      <c r="F9" s="45" t="s">
        <v>90</v>
      </c>
      <c r="G9" s="40">
        <f t="shared" si="1"/>
        <v>2025</v>
      </c>
      <c r="H9" s="41"/>
      <c r="I9" s="44" t="str">
        <f t="shared" si="0"/>
        <v>April 2025</v>
      </c>
      <c r="J9" s="41"/>
      <c r="K9" s="41"/>
      <c r="L9" s="41"/>
    </row>
    <row r="10" spans="1:12" ht="12" customHeight="1" x14ac:dyDescent="0.25">
      <c r="A10" s="13">
        <f>A9+1</f>
        <v>2</v>
      </c>
      <c r="B10" s="15" t="str">
        <f>'Sales Input'!B11</f>
        <v>Chinyonga Supermarket</v>
      </c>
      <c r="C10" s="55">
        <f>IF($C$2=1,'Sales Input'!C11,IF($C$2=2,'Sales Input'!D11,IF($C$2=3,'Sales Input'!E11,IF($C$2=4,'Sales Input'!F11,IF($C$2=5,'Sales Input'!G11,IF($C$2=6,'Sales Input'!H11,IF($C$2=7,'Sales Input'!I11,IF($C$2=8,'Sales Input'!J11,IF('Consolidated Sales'!$C$2=9,'Sales Input'!K11,IF($C$2=10,'Sales Input'!L11,IF($C$2=11,'Sales Input'!M11,IF($C$2=12,'Sales Input'!N11,IF($C$2=13,'Sales Input'!O11,0)))))))))))))</f>
        <v>0</v>
      </c>
      <c r="D10" s="9"/>
      <c r="F10" s="45"/>
      <c r="G10" s="40"/>
      <c r="H10" s="41"/>
      <c r="I10" s="44"/>
      <c r="J10" s="41"/>
      <c r="K10" s="41"/>
      <c r="L10" s="41"/>
    </row>
    <row r="11" spans="1:12" ht="12" customHeight="1" x14ac:dyDescent="0.25">
      <c r="A11" s="13">
        <f t="shared" ref="A11:A16" si="2">A10+1</f>
        <v>3</v>
      </c>
      <c r="B11" s="15" t="s">
        <v>2</v>
      </c>
      <c r="C11" s="55">
        <f>IF($C$2=1,'Sales Input'!C12,IF($C$2=2,'Sales Input'!D12,IF($C$2=3,'Sales Input'!E12,IF($C$2=4,'Sales Input'!F12,IF($C$2=5,'Sales Input'!G12,IF($C$2=6,'Sales Input'!H12,IF($C$2=7,'Sales Input'!I12,IF($C$2=8,'Sales Input'!J12,IF($C$2=9,'Sales Input'!K12,IF($C$2=10,'Sales Input'!L12,IF($C$2=11,'Sales Input'!M12,IF($C$2=12,'Sales Input'!N12,IF($C$2=13,'Sales Input'!O12,0)))))))))))))</f>
        <v>3303950</v>
      </c>
      <c r="D11" s="9"/>
      <c r="F11" s="45" t="s">
        <v>91</v>
      </c>
      <c r="G11" s="40">
        <f>+G9</f>
        <v>2025</v>
      </c>
      <c r="H11" s="41"/>
      <c r="I11" s="44" t="str">
        <f t="shared" si="0"/>
        <v>May 2025</v>
      </c>
      <c r="J11" s="41"/>
      <c r="K11" s="41"/>
      <c r="L11" s="41"/>
    </row>
    <row r="12" spans="1:12" ht="12" customHeight="1" x14ac:dyDescent="0.25">
      <c r="A12" s="13">
        <f t="shared" si="2"/>
        <v>4</v>
      </c>
      <c r="B12" s="15" t="s">
        <v>3</v>
      </c>
      <c r="C12" s="55">
        <f>IF($C$2=1,'Sales Input'!C13,IF($C$2=2,'Sales Input'!D13,IF($C$2=3,'Sales Input'!E13,IF($C$2=4,'Sales Input'!F13,IF($C$2=5,'Sales Input'!G13,IF($C$2=6,'Sales Input'!H13,IF($C$2=7,'Sales Input'!I13,IF($C$2=8,'Sales Input'!J13,IF($C$2=9,'Sales Input'!K13,IF($C$2=10,'Sales Input'!L13,IF($C$2=11,'Sales Input'!M13,IF($C$2=12,'Sales Input'!N13,IF($C$2=13,'Sales Input'!O13,0)))))))))))))</f>
        <v>0</v>
      </c>
      <c r="D12" s="9"/>
      <c r="F12" s="45" t="s">
        <v>92</v>
      </c>
      <c r="G12" s="40">
        <f t="shared" si="1"/>
        <v>2025</v>
      </c>
      <c r="H12" s="41"/>
      <c r="I12" s="44" t="str">
        <f t="shared" si="0"/>
        <v>June 2025</v>
      </c>
      <c r="J12" s="41"/>
      <c r="K12" s="41"/>
      <c r="L12" s="41"/>
    </row>
    <row r="13" spans="1:12" ht="12" customHeight="1" x14ac:dyDescent="0.25">
      <c r="A13" s="13">
        <f t="shared" si="2"/>
        <v>5</v>
      </c>
      <c r="B13" s="15" t="s">
        <v>4</v>
      </c>
      <c r="C13" s="55">
        <f>IF($C$2=1,'Sales Input'!C14,IF($C$2=2,'Sales Input'!D14,IF($C$2=3,'Sales Input'!E14,IF($C$2=4,'Sales Input'!F14,IF($C$2=5,'Sales Input'!G14,IF($C$2=6,'Sales Input'!H14,IF($C$2=7,'Sales Input'!I14,IF($C$2=8,'Sales Input'!J14,IF($C$2=9,'Sales Input'!K14,IF($C$2=10,'Sales Input'!L14,IF($C$2=11,'Sales Input'!M14,IF($C$2=12,'Sales Input'!N14,IF($C$2=13,'Sales Input'!O14,0)))))))))))))</f>
        <v>120000</v>
      </c>
      <c r="D13" s="9"/>
      <c r="F13" s="45" t="s">
        <v>93</v>
      </c>
      <c r="G13" s="40">
        <f t="shared" si="1"/>
        <v>2025</v>
      </c>
      <c r="H13" s="41"/>
      <c r="I13" s="44" t="str">
        <f t="shared" si="0"/>
        <v>July 2025</v>
      </c>
      <c r="J13" s="41"/>
      <c r="K13" s="41"/>
      <c r="L13" s="41"/>
    </row>
    <row r="14" spans="1:12" ht="12" customHeight="1" x14ac:dyDescent="0.25">
      <c r="A14" s="13">
        <f t="shared" si="2"/>
        <v>6</v>
      </c>
      <c r="B14" s="15" t="s">
        <v>5</v>
      </c>
      <c r="C14" s="55">
        <f>IF($C$2=1,'Sales Input'!C15,IF($C$2=2,'Sales Input'!D15,IF($C$2=3,'Sales Input'!E15,IF($C$2=4,'Sales Input'!F15,IF($C$2=5,'Sales Input'!G15,IF($C$2=6,'Sales Input'!H15,IF($C$2=7,'Sales Input'!I15,IF($C$2=8,'Sales Input'!J15,IF($C$2=9,'Sales Input'!K15,IF($C$2=10,'Sales Input'!L15,IF($C$2=11,'Sales Input'!M15,IF($C$2=12,'Sales Input'!N15,IF($C$2=13,'Sales Input'!O15,0)))))))))))))</f>
        <v>236500</v>
      </c>
      <c r="D14" s="9"/>
      <c r="F14" s="45" t="s">
        <v>94</v>
      </c>
      <c r="G14" s="40">
        <f t="shared" si="1"/>
        <v>2025</v>
      </c>
      <c r="H14" s="41"/>
      <c r="I14" s="44" t="str">
        <f t="shared" si="0"/>
        <v>August 2025</v>
      </c>
      <c r="J14" s="41"/>
      <c r="K14" s="41"/>
      <c r="L14" s="41"/>
    </row>
    <row r="15" spans="1:12" ht="12" customHeight="1" x14ac:dyDescent="0.25">
      <c r="A15" s="13">
        <f t="shared" si="2"/>
        <v>7</v>
      </c>
      <c r="B15" s="15" t="s">
        <v>6</v>
      </c>
      <c r="C15" s="55">
        <f>IF($C$2=1,'Sales Input'!C16,IF($C$2=2,'Sales Input'!D16,IF($C$2=3,'Sales Input'!E16,IF($C$2=4,'Sales Input'!F16,IF($C$2=5,'Sales Input'!G16,IF($C$2=6,'Sales Input'!H16,IF($C$2=7,'Sales Input'!I16,IF($C$2=8,'Sales Input'!J16,IF($C$2=9,'Sales Input'!K16,IF($C$2=10,'Sales Input'!L16,IF($C$2=11,'Sales Input'!M16,IF($C$2=12,'Sales Input'!N16,IF($C$2=13,'Sales Input'!O16,0)))))))))))))</f>
        <v>0</v>
      </c>
      <c r="D15" s="9"/>
      <c r="F15" s="45" t="s">
        <v>95</v>
      </c>
      <c r="G15" s="40">
        <f t="shared" si="1"/>
        <v>2025</v>
      </c>
      <c r="H15" s="41"/>
      <c r="I15" s="44" t="str">
        <f t="shared" si="0"/>
        <v>September 2025</v>
      </c>
      <c r="J15" s="41"/>
      <c r="K15" s="41"/>
      <c r="L15" s="41"/>
    </row>
    <row r="16" spans="1:12" ht="12" customHeight="1" x14ac:dyDescent="0.25">
      <c r="A16" s="13">
        <f t="shared" si="2"/>
        <v>8</v>
      </c>
      <c r="B16" s="15" t="s">
        <v>68</v>
      </c>
      <c r="C16" s="55">
        <f>IF($C$2=1,'Sales Input'!C17,IF($C$2=2,'Sales Input'!D17,IF($C$2=3,'Sales Input'!E17,IF($C$2=4,'Sales Input'!F17,IF($C$2=5,'Sales Input'!G17,IF($C$2=6,'Sales Input'!H17,IF($C$2=7,'Sales Input'!I17,IF($C$2=8,'Sales Input'!J17,IF($C$2=9,'Sales Input'!K17,IF($C$2=10,'Sales Input'!L17,IF($C$2=11,'Sales Input'!M17,IF($C$2=12,'Sales Input'!N17,IF($C$2=13,'Sales Input'!O17,0)))))))))))))</f>
        <v>460000</v>
      </c>
      <c r="D16" s="9"/>
      <c r="F16" s="45" t="s">
        <v>96</v>
      </c>
      <c r="G16" s="40">
        <f t="shared" si="1"/>
        <v>2025</v>
      </c>
      <c r="H16" s="41"/>
      <c r="I16" s="44" t="str">
        <f t="shared" si="0"/>
        <v>October 2025</v>
      </c>
      <c r="J16" s="41"/>
      <c r="K16" s="41"/>
      <c r="L16" s="41"/>
    </row>
    <row r="17" spans="1:12" ht="12" customHeight="1" thickBot="1" x14ac:dyDescent="0.3">
      <c r="A17" s="13" t="s">
        <v>7</v>
      </c>
      <c r="B17" s="24" t="s">
        <v>8</v>
      </c>
      <c r="C17" s="56">
        <f>SUM(C9:C16)</f>
        <v>8835910</v>
      </c>
      <c r="D17" s="9"/>
      <c r="F17" s="45" t="s">
        <v>97</v>
      </c>
      <c r="G17" s="40">
        <f t="shared" si="1"/>
        <v>2025</v>
      </c>
      <c r="H17" s="41"/>
      <c r="I17" s="44" t="str">
        <f t="shared" si="0"/>
        <v>November 2025</v>
      </c>
      <c r="J17" s="41"/>
      <c r="K17" s="41"/>
      <c r="L17" s="41"/>
    </row>
    <row r="18" spans="1:12" ht="12" customHeight="1" thickTop="1" x14ac:dyDescent="0.25">
      <c r="A18" s="15"/>
      <c r="B18" s="15"/>
      <c r="C18" s="57"/>
      <c r="D18" s="9"/>
      <c r="F18" s="46" t="s">
        <v>86</v>
      </c>
      <c r="G18" s="47">
        <f t="shared" si="1"/>
        <v>2025</v>
      </c>
      <c r="H18" s="41"/>
      <c r="I18" s="44" t="str">
        <f t="shared" si="0"/>
        <v>December 2025</v>
      </c>
      <c r="J18" s="41"/>
      <c r="K18" s="41"/>
      <c r="L18" s="41"/>
    </row>
    <row r="19" spans="1:12" ht="12" customHeight="1" x14ac:dyDescent="0.25">
      <c r="A19" s="16" t="s">
        <v>11</v>
      </c>
      <c r="B19" s="15"/>
      <c r="C19" s="57"/>
      <c r="D19" s="9"/>
      <c r="F19" s="41"/>
      <c r="G19" s="41">
        <f>G6+1</f>
        <v>2026</v>
      </c>
      <c r="H19" s="41"/>
      <c r="I19" s="41"/>
      <c r="J19" s="41"/>
      <c r="K19" s="41"/>
      <c r="L19" s="41"/>
    </row>
    <row r="20" spans="1:12" ht="12" customHeight="1" x14ac:dyDescent="0.25">
      <c r="A20" s="13">
        <v>1</v>
      </c>
      <c r="B20" s="14" t="str">
        <f>'Sales Input'!B20</f>
        <v>Domasi Supermarket</v>
      </c>
      <c r="C20" s="57"/>
      <c r="D20" s="9"/>
      <c r="F20" s="41"/>
      <c r="G20" s="41"/>
      <c r="H20" s="41"/>
      <c r="I20" s="41"/>
      <c r="J20" s="41"/>
      <c r="K20" s="41"/>
      <c r="L20" s="41"/>
    </row>
    <row r="21" spans="1:12" ht="12" customHeight="1" x14ac:dyDescent="0.25">
      <c r="A21" s="13"/>
      <c r="B21" s="15" t="s">
        <v>26</v>
      </c>
      <c r="C21" s="55">
        <f>IF($C$2=1,'Sales Input'!C21,IF($C$2=2,'Sales Input'!D21,IF($C$2=3,'Sales Input'!E21,IF($C$2=4,'Sales Input'!F21,IF($C$2=5,'Sales Input'!G21,IF($C$2=6,'Sales Input'!H21,IF($C$2=7,'Sales Input'!I21,IF($C$2=8,'Sales Input'!J21,IF($C$2=9,'Sales Input'!K21,IF($C$2=10,'Sales Input'!L21,IF($C$2=11,'Sales Input'!M21,IF($C$2=12,'Sales Input'!N21,IF($C$2=13,'Sales Input'!O21,0)))))))))))))</f>
        <v>784650</v>
      </c>
      <c r="D21" s="9"/>
      <c r="F21" s="41"/>
      <c r="G21" s="41"/>
      <c r="H21" s="41"/>
      <c r="I21" s="41"/>
      <c r="J21" s="41"/>
      <c r="K21" s="41"/>
      <c r="L21" s="41"/>
    </row>
    <row r="22" spans="1:12" ht="12" customHeight="1" x14ac:dyDescent="0.25">
      <c r="A22" s="13"/>
      <c r="B22" s="15" t="s">
        <v>27</v>
      </c>
      <c r="C22" s="55">
        <f>IF($C$2=1,'Sales Input'!C22,IF($C$2=2,'Sales Input'!D22,IF($C$2=3,'Sales Input'!E22,IF($C$2=4,'Sales Input'!F22,IF($C$2=5,'Sales Input'!G22,IF($C$2=6,'Sales Input'!H22,IF($C$2=7,'Sales Input'!I22,IF($C$2=8,'Sales Input'!J22,IF($C$2=9,'Sales Input'!K22,IF($C$2=10,'Sales Input'!L22,IF($C$2=11,'Sales Input'!M22,IF($C$2=12,'Sales Input'!N22,IF($C$2=13,'Sales Input'!O22,0)))))))))))))</f>
        <v>205650</v>
      </c>
      <c r="D22" s="9"/>
      <c r="F22" s="41"/>
      <c r="G22" s="44" t="s">
        <v>98</v>
      </c>
      <c r="H22" s="44" t="s">
        <v>99</v>
      </c>
      <c r="I22" s="41"/>
      <c r="J22" s="41"/>
      <c r="K22" s="41"/>
      <c r="L22" s="41"/>
    </row>
    <row r="23" spans="1:12" ht="12" customHeight="1" x14ac:dyDescent="0.25">
      <c r="A23" s="13"/>
      <c r="B23" s="15" t="s">
        <v>28</v>
      </c>
      <c r="C23" s="55">
        <f>IF($C$2=1,'Sales Input'!C23,IF($C$2=2,'Sales Input'!D23,IF($C$2=3,'Sales Input'!E23,IF($C$2=4,'Sales Input'!F23,IF($C$2=5,'Sales Input'!G23,IF($C$2=6,'Sales Input'!H23,IF($C$2=7,'Sales Input'!I23,IF($C$2=8,'Sales Input'!J23,IF($C$2=9,'Sales Input'!K23,IF($C$2=10,'Sales Input'!L23,IF($C$2=11,'Sales Input'!M23,IF($C$2=12,'Sales Input'!N23,IF($C$2=13,'Sales Input'!O23,0)))))))))))))</f>
        <v>74900</v>
      </c>
      <c r="D23" s="9"/>
    </row>
    <row r="24" spans="1:12" ht="12" customHeight="1" x14ac:dyDescent="0.25">
      <c r="A24" s="13"/>
      <c r="B24" s="15" t="s">
        <v>44</v>
      </c>
      <c r="C24" s="55">
        <f>IF($C$2=1,'Sales Input'!C24,IF($C$2=2,'Sales Input'!D24,IF($C$2=3,'Sales Input'!E24,IF($C$2=4,'Sales Input'!F24,IF($C$2=5,'Sales Input'!G24,IF($C$2=6,'Sales Input'!H24,IF($C$2=7,'Sales Input'!I24,IF($C$2=8,'Sales Input'!J24,IF($C$2=9,'Sales Input'!K24,IF($C$2=10,'Sales Input'!L24,IF($C$2=11,'Sales Input'!M24,IF($C$2=12,'Sales Input'!N24,IF($C$2=13,'Sales Input'!O24,0)))))))))))))</f>
        <v>0</v>
      </c>
      <c r="D24" s="9"/>
    </row>
    <row r="25" spans="1:12" s="4" customFormat="1" ht="12" customHeight="1" x14ac:dyDescent="0.25">
      <c r="A25" s="25"/>
      <c r="B25" s="24" t="s">
        <v>170</v>
      </c>
      <c r="C25" s="59">
        <f>SUM(C21:C24)</f>
        <v>1065200</v>
      </c>
      <c r="D25" s="11"/>
    </row>
    <row r="26" spans="1:12" s="4" customFormat="1" ht="12" customHeight="1" x14ac:dyDescent="0.25">
      <c r="A26" s="13">
        <v>2</v>
      </c>
      <c r="B26" s="14" t="str">
        <f>'Sales Input'!B25</f>
        <v>Chinyonga Supermarket</v>
      </c>
      <c r="D26" s="11"/>
    </row>
    <row r="27" spans="1:12" s="4" customFormat="1" ht="12" customHeight="1" x14ac:dyDescent="0.25">
      <c r="A27" s="13"/>
      <c r="B27" s="15" t="s">
        <v>26</v>
      </c>
      <c r="C27" s="55">
        <f>IF($C$2=1,'Sales Input'!C26,IF($C$2=2,'Sales Input'!D26,IF($C$2=3,'Sales Input'!E26,IF($C$2=4,'Sales Input'!F26,IF($C$2=5,'Sales Input'!G26,IF($C$2=6,'Sales Input'!H26,IF($C$2=7,'Sales Input'!I26,IF($C$2=8,'Sales Input'!J26,IF($C$2=9,'Sales Input'!K26,IF($C$2=10,'Sales Input'!L26,IF($C$2=11,'Sales Input'!M26,IF($C$2=12,'Sales Input'!N26,IF($C$2=13,'Sales Input'!O26,0)))))))))))))</f>
        <v>0</v>
      </c>
      <c r="D27" s="11"/>
    </row>
    <row r="28" spans="1:12" s="4" customFormat="1" ht="12" customHeight="1" x14ac:dyDescent="0.25">
      <c r="A28" s="13"/>
      <c r="B28" s="15" t="s">
        <v>27</v>
      </c>
      <c r="C28" s="55">
        <f>IF($C$2=1,'Sales Input'!C27,IF($C$2=2,'Sales Input'!D27,IF($C$2=3,'Sales Input'!E27,IF($C$2=4,'Sales Input'!F27,IF($C$2=5,'Sales Input'!G27,IF($C$2=6,'Sales Input'!H27,IF($C$2=7,'Sales Input'!I27,IF($C$2=8,'Sales Input'!J27,IF($C$2=9,'Sales Input'!K27,IF($C$2=10,'Sales Input'!L27,IF($C$2=11,'Sales Input'!M27,IF($C$2=12,'Sales Input'!N27,IF($C$2=13,'Sales Input'!O27,0)))))))))))))</f>
        <v>0</v>
      </c>
      <c r="D28" s="11"/>
    </row>
    <row r="29" spans="1:12" s="4" customFormat="1" ht="12" customHeight="1" x14ac:dyDescent="0.25">
      <c r="A29" s="13"/>
      <c r="B29" s="15" t="s">
        <v>28</v>
      </c>
      <c r="C29" s="55">
        <f>IF($C$2=1,'Sales Input'!C28,IF($C$2=2,'Sales Input'!D28,IF($C$2=3,'Sales Input'!E28,IF($C$2=4,'Sales Input'!F28,IF($C$2=5,'Sales Input'!G28,IF($C$2=6,'Sales Input'!H28,IF($C$2=7,'Sales Input'!I28,IF($C$2=8,'Sales Input'!J28,IF($C$2=9,'Sales Input'!K28,IF($C$2=10,'Sales Input'!L28,IF($C$2=11,'Sales Input'!M28,IF($C$2=12,'Sales Input'!N28,IF($C$2=13,'Sales Input'!O28,0)))))))))))))</f>
        <v>0</v>
      </c>
      <c r="D29" s="11"/>
    </row>
    <row r="30" spans="1:12" s="4" customFormat="1" ht="12" customHeight="1" x14ac:dyDescent="0.25">
      <c r="A30" s="13"/>
      <c r="B30" s="15" t="s">
        <v>44</v>
      </c>
      <c r="C30" s="55">
        <f>IF($C$2=1,'Sales Input'!C29,IF($C$2=2,'Sales Input'!D29,IF($C$2=3,'Sales Input'!E29,IF($C$2=4,'Sales Input'!F29,IF($C$2=5,'Sales Input'!G29,IF($C$2=6,'Sales Input'!H29,IF($C$2=7,'Sales Input'!I29,IF($C$2=8,'Sales Input'!J29,IF($C$2=9,'Sales Input'!K29,IF($C$2=10,'Sales Input'!L29,IF($C$2=11,'Sales Input'!M29,IF($C$2=12,'Sales Input'!N29,IF($C$2=13,'Sales Input'!O29,0)))))))))))))</f>
        <v>0</v>
      </c>
      <c r="D30" s="11"/>
    </row>
    <row r="31" spans="1:12" s="4" customFormat="1" ht="12" customHeight="1" x14ac:dyDescent="0.25">
      <c r="A31" s="25"/>
      <c r="B31" s="24" t="s">
        <v>170</v>
      </c>
      <c r="C31" s="59">
        <f>SUM(C27:C30)</f>
        <v>0</v>
      </c>
      <c r="D31" s="11"/>
    </row>
    <row r="32" spans="1:12" ht="12" customHeight="1" x14ac:dyDescent="0.25">
      <c r="A32" s="13">
        <v>3</v>
      </c>
      <c r="B32" s="14" t="s">
        <v>2</v>
      </c>
      <c r="C32" s="59"/>
      <c r="D32" s="9"/>
    </row>
    <row r="33" spans="1:5" ht="12" customHeight="1" x14ac:dyDescent="0.25">
      <c r="A33" s="13"/>
      <c r="B33" s="15" t="s">
        <v>26</v>
      </c>
      <c r="C33" s="55">
        <f>IF($C$2=1,'Sales Input'!C31,IF($C$2=2,'Sales Input'!D31,IF($C$2=3,'Sales Input'!E31,IF($C$2=4,'Sales Input'!F31,IF($C$2=5,'Sales Input'!G31,IF($C$2=6,'Sales Input'!H31,IF($C$2=7,'Sales Input'!I31,IF($C$2=8,'Sales Input'!J31,IF($C$2=9,'Sales Input'!K31,IF($C$2=10,'Sales Input'!L31,IF($C$2=11,'Sales Input'!M31,IF($C$2=12,'Sales Input'!N31,IF($C$2=13,'Sales Input'!O31,0)))))))))))))</f>
        <v>1526450</v>
      </c>
      <c r="D33" s="9"/>
    </row>
    <row r="34" spans="1:5" ht="12" customHeight="1" x14ac:dyDescent="0.25">
      <c r="A34" s="13"/>
      <c r="B34" s="15" t="s">
        <v>27</v>
      </c>
      <c r="C34" s="55">
        <f>IF($C$2=1,'Sales Input'!C32,IF($C$2=2,'Sales Input'!D32,IF($C$2=3,'Sales Input'!E32,IF($C$2=4,'Sales Input'!F32,IF($C$2=5,'Sales Input'!G32,IF($C$2=6,'Sales Input'!H32,IF($C$2=7,'Sales Input'!I32,IF($C$2=8,'Sales Input'!J32,IF($C$2=9,'Sales Input'!K32,IF($C$2=10,'Sales Input'!L32,IF($C$2=11,'Sales Input'!M32,IF($C$2=12,'Sales Input'!N32,IF($C$2=13,'Sales Input'!O32,0)))))))))))))</f>
        <v>566700</v>
      </c>
      <c r="D34" s="9"/>
    </row>
    <row r="35" spans="1:5" ht="12" customHeight="1" x14ac:dyDescent="0.25">
      <c r="A35" s="13"/>
      <c r="B35" s="15" t="s">
        <v>28</v>
      </c>
      <c r="C35" s="55">
        <f>IF($C$2=1,'Sales Input'!C33,IF($C$2=2,'Sales Input'!D33,IF($C$2=3,'Sales Input'!E33,IF($C$2=4,'Sales Input'!F33,IF($C$2=5,'Sales Input'!G33,IF($C$2=6,'Sales Input'!H33,IF($C$2=7,'Sales Input'!I33,IF($C$2=8,'Sales Input'!J33,IF($C$2=9,'Sales Input'!K33,IF($C$2=10,'Sales Input'!L33,IF($C$2=11,'Sales Input'!M33,IF($C$2=12,'Sales Input'!N33,IF($C$2=13,'Sales Input'!O33,0)))))))))))))</f>
        <v>223700</v>
      </c>
      <c r="D35" s="9"/>
    </row>
    <row r="36" spans="1:5" ht="12" customHeight="1" x14ac:dyDescent="0.25">
      <c r="A36" s="13"/>
      <c r="B36" s="15" t="s">
        <v>44</v>
      </c>
      <c r="C36" s="55">
        <f>IF($C$2=1,'Sales Input'!C34,IF($C$2=2,'Sales Input'!D34,IF($C$2=3,'Sales Input'!E34,IF($C$2=4,'Sales Input'!F34,IF($C$2=5,'Sales Input'!G34,IF($C$2=6,'Sales Input'!H34,IF($C$2=7,'Sales Input'!I34,IF($C$2=8,'Sales Input'!J34,IF($C$2=9,'Sales Input'!K34,IF($C$2=10,'Sales Input'!L34,IF($C$2=11,'Sales Input'!M34,IF($C$2=12,'Sales Input'!N34,IF($C$2=13,'Sales Input'!O34,0)))))))))))))</f>
        <v>0</v>
      </c>
      <c r="D36" s="9"/>
    </row>
    <row r="37" spans="1:5" ht="12" customHeight="1" x14ac:dyDescent="0.25">
      <c r="A37" s="25"/>
      <c r="B37" s="24" t="s">
        <v>170</v>
      </c>
      <c r="C37" s="59">
        <f>SUM(C33:C36)</f>
        <v>2316850</v>
      </c>
      <c r="D37" s="9"/>
    </row>
    <row r="38" spans="1:5" ht="12" customHeight="1" x14ac:dyDescent="0.25">
      <c r="A38" s="13">
        <v>4</v>
      </c>
      <c r="B38" s="14" t="s">
        <v>3</v>
      </c>
      <c r="C38" s="57"/>
      <c r="D38" s="9"/>
    </row>
    <row r="39" spans="1:5" ht="12" customHeight="1" x14ac:dyDescent="0.25">
      <c r="A39" s="13"/>
      <c r="B39" s="15" t="s">
        <v>26</v>
      </c>
      <c r="C39" s="55">
        <f>IF($C$2=1,'Sales Input'!C36,IF($C$2=2,'Sales Input'!D36,IF($C$2=3,'Sales Input'!E36,IF($C$2=4,'Sales Input'!F36,IF($C$2=5,'Sales Input'!G36,IF($C$2=6,'Sales Input'!H36,IF($C$2=7,'Sales Input'!I36,IF($C$2=8,'Sales Input'!J36,IF($C$2=9,'Sales Input'!K36,IF($C$2=10,'Sales Input'!L36,IF($C$2=11,'Sales Input'!M36,IF($C$2=12,'Sales Input'!N36,IF($C$2=13,'Sales Input'!O36,0)))))))))))))</f>
        <v>0</v>
      </c>
      <c r="D39" s="9"/>
    </row>
    <row r="40" spans="1:5" ht="12" customHeight="1" x14ac:dyDescent="0.25">
      <c r="A40" s="13"/>
      <c r="B40" s="15" t="s">
        <v>27</v>
      </c>
      <c r="C40" s="55">
        <f>IF($C$2=1,'Sales Input'!C37,IF($C$2=2,'Sales Input'!D37,IF($C$2=3,'Sales Input'!E37,IF($C$2=4,'Sales Input'!F37,IF($C$2=5,'Sales Input'!G37,IF($C$2=6,'Sales Input'!H37,IF($C$2=7,'Sales Input'!I37,IF($C$2=8,'Sales Input'!J37,IF($C$2=9,'Sales Input'!K37,IF($C$2=10,'Sales Input'!L37,IF($C$2=11,'Sales Input'!M37,IF($C$2=12,'Sales Input'!N37,IF($C$2=13,'Sales Input'!O37,0)))))))))))))</f>
        <v>0</v>
      </c>
      <c r="D40" s="9"/>
    </row>
    <row r="41" spans="1:5" ht="12" customHeight="1" x14ac:dyDescent="0.25">
      <c r="A41" s="13"/>
      <c r="B41" s="15" t="s">
        <v>28</v>
      </c>
      <c r="C41" s="55">
        <f>IF($C$2=1,'Sales Input'!C38,IF($C$2=2,'Sales Input'!D38,IF($C$2=3,'Sales Input'!E38,IF($C$2=4,'Sales Input'!F38,IF($C$2=5,'Sales Input'!G38,IF($C$2=6,'Sales Input'!H38,IF($C$2=7,'Sales Input'!I38,IF($C$2=8,'Sales Input'!J38,IF($C$2=9,'Sales Input'!K38,IF($C$2=10,'Sales Input'!L38,IF($C$2=11,'Sales Input'!M38,IF($C$2=12,'Sales Input'!N38,IF($C$2=13,'Sales Input'!O38,0)))))))))))))</f>
        <v>0</v>
      </c>
      <c r="D41" s="9"/>
      <c r="E41" t="s">
        <v>102</v>
      </c>
    </row>
    <row r="42" spans="1:5" ht="12" customHeight="1" x14ac:dyDescent="0.25">
      <c r="A42" s="13"/>
      <c r="B42" s="15" t="s">
        <v>44</v>
      </c>
      <c r="C42" s="55">
        <f>IF($C$2=1,'Sales Input'!C39,IF($C$2=2,'Sales Input'!D39,IF($C$2=3,'Sales Input'!E39,IF($C$2=4,'Sales Input'!F39,IF($C$2=5,'Sales Input'!G39,IF($C$2=6,'Sales Input'!H39,IF($C$2=7,'Sales Input'!I39,IF($C$2=8,'Sales Input'!J39,IF($C$2=9,'Sales Input'!K39,IF($C$2=10,'Sales Input'!L39,IF($C$2=11,'Sales Input'!M39,IF($C$2=12,'Sales Input'!N39,IF($C$2=13,'Sales Input'!O39,0)))))))))))))</f>
        <v>0</v>
      </c>
      <c r="D42" s="9"/>
    </row>
    <row r="43" spans="1:5" ht="12" customHeight="1" x14ac:dyDescent="0.25">
      <c r="A43" s="25"/>
      <c r="B43" s="24" t="s">
        <v>170</v>
      </c>
      <c r="C43" s="59">
        <f>SUM(C39:C42)</f>
        <v>0</v>
      </c>
      <c r="D43" s="9"/>
    </row>
    <row r="44" spans="1:5" ht="12" customHeight="1" x14ac:dyDescent="0.25">
      <c r="A44" s="13">
        <v>5</v>
      </c>
      <c r="B44" s="14" t="s">
        <v>4</v>
      </c>
      <c r="C44" s="57"/>
      <c r="D44" s="9"/>
    </row>
    <row r="45" spans="1:5" ht="12" customHeight="1" x14ac:dyDescent="0.25">
      <c r="A45" s="13"/>
      <c r="B45" s="15" t="s">
        <v>26</v>
      </c>
      <c r="C45" s="55">
        <f>IF($C$2=1,'Sales Input'!C41,IF($C$2=2,'Sales Input'!D41,IF($C$2=3,'Sales Input'!E41,IF($C$2=4,'Sales Input'!F41,IF($C$2=5,'Sales Input'!G41,IF($C$2=6,'Sales Input'!H41,IF($C$2=7,'Sales Input'!I41,IF($C$2=8,'Sales Input'!J41,IF($C$2=9,'Sales Input'!K41,IF($C$2=10,'Sales Input'!L41,IF($C$2=11,'Sales Input'!M41,IF($C$2=12,'Sales Input'!N41,IF($C$2=13,'Sales Input'!O41,0)))))))))))))</f>
        <v>0</v>
      </c>
      <c r="D45" s="9"/>
    </row>
    <row r="46" spans="1:5" ht="12" customHeight="1" x14ac:dyDescent="0.25">
      <c r="A46" s="13"/>
      <c r="B46" s="15" t="s">
        <v>27</v>
      </c>
      <c r="C46" s="55">
        <f>IF($C$2=1,'Sales Input'!C42,IF($C$2=2,'Sales Input'!D42,IF($C$2=3,'Sales Input'!E42,IF($C$2=4,'Sales Input'!F42,IF($C$2=5,'Sales Input'!G42,IF($C$2=6,'Sales Input'!H42,IF($C$2=7,'Sales Input'!I42,IF($C$2=8,'Sales Input'!J42,IF($C$2=9,'Sales Input'!K42,IF($C$2=10,'Sales Input'!L42,IF($C$2=11,'Sales Input'!M42,IF($C$2=12,'Sales Input'!N42,IF($C$2=13,'Sales Input'!O42,0)))))))))))))</f>
        <v>0</v>
      </c>
      <c r="D46" s="9"/>
    </row>
    <row r="47" spans="1:5" ht="12" customHeight="1" x14ac:dyDescent="0.25">
      <c r="A47" s="13"/>
      <c r="B47" s="15" t="s">
        <v>28</v>
      </c>
      <c r="C47" s="55">
        <f>IF($C$2=1,'Sales Input'!C43,IF($C$2=2,'Sales Input'!D43,IF($C$2=3,'Sales Input'!E43,IF($C$2=4,'Sales Input'!F43,IF($C$2=5,'Sales Input'!G43,IF($C$2=6,'Sales Input'!H43,IF($C$2=7,'Sales Input'!I43,IF($C$2=8,'Sales Input'!J43,IF($C$2=9,'Sales Input'!K43,IF($C$2=10,'Sales Input'!L43,IF($C$2=11,'Sales Input'!M43,IF($C$2=12,'Sales Input'!N43,IF($C$2=13,'Sales Input'!O43,0)))))))))))))</f>
        <v>0</v>
      </c>
      <c r="D47" s="9"/>
    </row>
    <row r="48" spans="1:5" ht="12" customHeight="1" x14ac:dyDescent="0.25">
      <c r="A48" s="13"/>
      <c r="B48" s="15" t="s">
        <v>44</v>
      </c>
      <c r="C48" s="55">
        <f>IF($C$2=1,'Sales Input'!C44,IF($C$2=2,'Sales Input'!D44,IF($C$2=3,'Sales Input'!E44,IF($C$2=4,'Sales Input'!F44,IF($C$2=5,'Sales Input'!G44,IF($C$2=6,'Sales Input'!H44,IF($C$2=7,'Sales Input'!I44,IF($C$2=8,'Sales Input'!J44,IF($C$2=9,'Sales Input'!K44,IF($C$2=10,'Sales Input'!L44,IF($C$2=11,'Sales Input'!M44,IF($C$2=12,'Sales Input'!N44,IF($C$2=13,'Sales Input'!O44,0)))))))))))))</f>
        <v>0</v>
      </c>
      <c r="D48" s="9"/>
    </row>
    <row r="49" spans="1:4" ht="12" customHeight="1" x14ac:dyDescent="0.25">
      <c r="A49" s="25"/>
      <c r="B49" s="24" t="s">
        <v>170</v>
      </c>
      <c r="C49" s="59">
        <f>SUM(C45:C48)</f>
        <v>0</v>
      </c>
      <c r="D49" s="9"/>
    </row>
    <row r="50" spans="1:4" ht="12" customHeight="1" x14ac:dyDescent="0.25">
      <c r="A50" s="13">
        <v>6</v>
      </c>
      <c r="B50" s="14" t="s">
        <v>5</v>
      </c>
      <c r="C50" s="57"/>
      <c r="D50" s="9"/>
    </row>
    <row r="51" spans="1:4" ht="12" customHeight="1" x14ac:dyDescent="0.25">
      <c r="A51" s="13"/>
      <c r="B51" s="15" t="s">
        <v>26</v>
      </c>
      <c r="C51" s="55">
        <f>IF($C$2=1,'Sales Input'!C46,IF($C$2=2,'Sales Input'!D46,IF($C$2=3,'Sales Input'!E46,IF($C$2=4,'Sales Input'!F46,IF($C$2=5,'Sales Input'!G46,IF($C$2=6,'Sales Input'!H46,IF($C$2=7,'Sales Input'!I46,IF($C$2=8,'Sales Input'!J46,IF($C$2=9,'Sales Input'!K46,IF($C$2=10,'Sales Input'!L46,IF($C$2=11,'Sales Input'!M46,IF($C$2=12,'Sales Input'!N46,IF($C$2=13,'Sales Input'!O46,0)))))))))))))</f>
        <v>0</v>
      </c>
      <c r="D51" s="9"/>
    </row>
    <row r="52" spans="1:4" ht="12" customHeight="1" x14ac:dyDescent="0.25">
      <c r="A52" s="13"/>
      <c r="B52" s="15" t="s">
        <v>27</v>
      </c>
      <c r="C52" s="55">
        <f>IF($C$2=1,'Sales Input'!C47,IF($C$2=2,'Sales Input'!D47,IF($C$2=3,'Sales Input'!E47,IF($C$2=4,'Sales Input'!F47,IF($C$2=5,'Sales Input'!G47,IF($C$2=6,'Sales Input'!H47,IF($C$2=7,'Sales Input'!I47,IF($C$2=8,'Sales Input'!J47,IF($C$2=9,'Sales Input'!K47,IF($C$2=10,'Sales Input'!L47,IF($C$2=11,'Sales Input'!M47,IF($C$2=12,'Sales Input'!N47,IF($C$2=13,'Sales Input'!O47,0)))))))))))))</f>
        <v>0</v>
      </c>
      <c r="D52" s="9"/>
    </row>
    <row r="53" spans="1:4" ht="12" customHeight="1" x14ac:dyDescent="0.25">
      <c r="A53" s="13"/>
      <c r="B53" s="15" t="s">
        <v>28</v>
      </c>
      <c r="C53" s="55">
        <f>IF($C$2=1,'Sales Input'!C48,IF($C$2=2,'Sales Input'!D48,IF($C$2=3,'Sales Input'!E48,IF($C$2=4,'Sales Input'!F48,IF($C$2=5,'Sales Input'!G48,IF($C$2=6,'Sales Input'!H48,IF($C$2=7,'Sales Input'!I48,IF($C$2=8,'Sales Input'!J48,IF($C$2=9,'Sales Input'!K48,IF($C$2=10,'Sales Input'!L48,IF($C$2=11,'Sales Input'!M48,IF($C$2=12,'Sales Input'!N48,IF($C$2=13,'Sales Input'!O48,0)))))))))))))</f>
        <v>0</v>
      </c>
      <c r="D53" s="9"/>
    </row>
    <row r="54" spans="1:4" ht="12" customHeight="1" x14ac:dyDescent="0.25">
      <c r="A54" s="13"/>
      <c r="B54" s="15" t="s">
        <v>44</v>
      </c>
      <c r="C54" s="55">
        <f>IF($C$2=1,'Sales Input'!C49,IF($C$2=2,'Sales Input'!D49,IF($C$2=3,'Sales Input'!E49,IF($C$2=4,'Sales Input'!F49,IF($C$2=5,'Sales Input'!G49,IF($C$2=6,'Sales Input'!H49,IF($C$2=7,'Sales Input'!I49,IF($C$2=8,'Sales Input'!J49,IF($C$2=9,'Sales Input'!K49,IF($C$2=10,'Sales Input'!L49,IF($C$2=11,'Sales Input'!M49,IF($C$2=12,'Sales Input'!N49,IF($C$2=13,'Sales Input'!O49,0)))))))))))))</f>
        <v>0</v>
      </c>
      <c r="D54" s="9"/>
    </row>
    <row r="55" spans="1:4" ht="12" customHeight="1" x14ac:dyDescent="0.25">
      <c r="A55" s="25"/>
      <c r="B55" s="24" t="s">
        <v>170</v>
      </c>
      <c r="C55" s="59">
        <f>SUM(C51:C54)</f>
        <v>0</v>
      </c>
      <c r="D55" s="9"/>
    </row>
    <row r="56" spans="1:4" ht="12" customHeight="1" x14ac:dyDescent="0.25">
      <c r="A56" s="13">
        <v>7</v>
      </c>
      <c r="B56" s="14" t="s">
        <v>6</v>
      </c>
      <c r="C56" s="57"/>
      <c r="D56" s="9"/>
    </row>
    <row r="57" spans="1:4" ht="12" customHeight="1" x14ac:dyDescent="0.25">
      <c r="A57" s="13"/>
      <c r="B57" s="15" t="s">
        <v>26</v>
      </c>
      <c r="C57" s="55">
        <f>IF($C$2=1,'Sales Input'!C51,IF($C$2=2,'Sales Input'!D51,IF($C$2=3,'Sales Input'!E51,IF($C$2=4,'Sales Input'!F51,IF($C$2=5,'Sales Input'!G51,IF($C$2=6,'Sales Input'!H51,IF($C$2=7,'Sales Input'!I51,IF($C$2=8,'Sales Input'!J51,IF($C$2=9,'Sales Input'!K51,IF($C$2=10,'Sales Input'!L51,IF($C$2=11,'Sales Input'!M51,IF($C$2=12,'Sales Input'!N51,IF($C$2=13,'Sales Input'!O51,0)))))))))))))</f>
        <v>0</v>
      </c>
      <c r="D57" s="9"/>
    </row>
    <row r="58" spans="1:4" ht="12" customHeight="1" x14ac:dyDescent="0.25">
      <c r="A58" s="13"/>
      <c r="B58" s="15" t="s">
        <v>27</v>
      </c>
      <c r="C58" s="55">
        <f>IF($C$2=1,'Sales Input'!C52,IF($C$2=2,'Sales Input'!D52,IF($C$2=3,'Sales Input'!E52,IF($C$2=4,'Sales Input'!F52,IF($C$2=5,'Sales Input'!G52,IF($C$2=6,'Sales Input'!H52,IF($C$2=7,'Sales Input'!I52,IF($C$2=8,'Sales Input'!J52,IF($C$2=9,'Sales Input'!K52,IF($C$2=10,'Sales Input'!L52,IF($C$2=11,'Sales Input'!M52,IF($C$2=12,'Sales Input'!N52,IF($C$2=13,'Sales Input'!O52,0)))))))))))))</f>
        <v>0</v>
      </c>
      <c r="D58" s="9"/>
    </row>
    <row r="59" spans="1:4" ht="12" customHeight="1" x14ac:dyDescent="0.25">
      <c r="A59" s="13"/>
      <c r="B59" s="15" t="s">
        <v>28</v>
      </c>
      <c r="C59" s="55">
        <f>IF($C$2=1,'Sales Input'!C53,IF($C$2=2,'Sales Input'!D53,IF($C$2=3,'Sales Input'!E53,IF($C$2=4,'Sales Input'!F53,IF($C$2=5,'Sales Input'!G53,IF($C$2=6,'Sales Input'!H53,IF($C$2=7,'Sales Input'!I53,IF($C$2=8,'Sales Input'!J53,IF($C$2=9,'Sales Input'!K53,IF($C$2=10,'Sales Input'!L53,IF($C$2=11,'Sales Input'!M53,IF($C$2=12,'Sales Input'!N53,IF($C$2=13,'Sales Input'!O53,0)))))))))))))</f>
        <v>0</v>
      </c>
      <c r="D59" s="9"/>
    </row>
    <row r="60" spans="1:4" ht="12" customHeight="1" x14ac:dyDescent="0.25">
      <c r="A60" s="13"/>
      <c r="B60" s="15" t="s">
        <v>44</v>
      </c>
      <c r="C60" s="55">
        <f>IF($C$2=1,'Sales Input'!C54,IF($C$2=2,'Sales Input'!D54,IF($C$2=3,'Sales Input'!E54,IF($C$2=4,'Sales Input'!F54,IF($C$2=5,'Sales Input'!G54,IF($C$2=6,'Sales Input'!H54,IF($C$2=7,'Sales Input'!I54,IF($C$2=8,'Sales Input'!J54,IF($C$2=9,'Sales Input'!K54,IF($C$2=10,'Sales Input'!L54,IF($C$2=11,'Sales Input'!M54,IF($C$2=12,'Sales Input'!N54,IF($C$2=13,'Sales Input'!O54,0)))))))))))))</f>
        <v>0</v>
      </c>
      <c r="D60" s="9"/>
    </row>
    <row r="61" spans="1:4" ht="12" customHeight="1" x14ac:dyDescent="0.25">
      <c r="A61" s="25"/>
      <c r="B61" s="24" t="s">
        <v>170</v>
      </c>
      <c r="C61" s="59">
        <f>SUM(C57:C60)</f>
        <v>0</v>
      </c>
      <c r="D61" s="9"/>
    </row>
    <row r="62" spans="1:4" ht="12" customHeight="1" x14ac:dyDescent="0.25">
      <c r="A62" s="13">
        <v>8</v>
      </c>
      <c r="B62" s="14" t="s">
        <v>69</v>
      </c>
      <c r="C62" s="57"/>
      <c r="D62" s="9"/>
    </row>
    <row r="63" spans="1:4" ht="12" customHeight="1" x14ac:dyDescent="0.25">
      <c r="A63" s="13"/>
      <c r="B63" s="15" t="s">
        <v>26</v>
      </c>
      <c r="C63" s="55">
        <f>IF($C$2=1,'Sales Input'!C56,IF($C$2=2,'Sales Input'!D56,IF($C$2=3,'Sales Input'!E56,IF($C$2=4,'Sales Input'!F56,IF($C$2=5,'Sales Input'!G56,IF($C$2=6,'Sales Input'!H56,IF($C$2=7,'Sales Input'!I56,IF($C$2=8,'Sales Input'!J56,IF($C$2=9,'Sales Input'!K56,IF($C$2=10,'Sales Input'!L56,IF($C$2=11,'Sales Input'!M56,IF($C$2=12,'Sales Input'!N56,IF($C$2=13,'Sales Input'!O56,0)))))))))))))</f>
        <v>0</v>
      </c>
      <c r="D63" s="9"/>
    </row>
    <row r="64" spans="1:4" ht="12" customHeight="1" x14ac:dyDescent="0.25">
      <c r="A64" s="13"/>
      <c r="B64" s="15" t="s">
        <v>27</v>
      </c>
      <c r="C64" s="55">
        <f>IF($C$2=1,'Sales Input'!C57,IF($C$2=2,'Sales Input'!D57,IF($C$2=3,'Sales Input'!E57,IF($C$2=4,'Sales Input'!F57,IF($C$2=5,'Sales Input'!G57,IF($C$2=6,'Sales Input'!H57,IF($C$2=7,'Sales Input'!I57,IF($C$2=8,'Sales Input'!J57,IF($C$2=9,'Sales Input'!K57,IF($C$2=10,'Sales Input'!L57,IF($C$2=11,'Sales Input'!M57,IF($C$2=12,'Sales Input'!N57,IF($C$2=13,'Sales Input'!O57,0)))))))))))))</f>
        <v>0</v>
      </c>
      <c r="D64" s="9"/>
    </row>
    <row r="65" spans="1:4" ht="12" customHeight="1" x14ac:dyDescent="0.25">
      <c r="A65" s="13"/>
      <c r="B65" s="15" t="s">
        <v>28</v>
      </c>
      <c r="C65" s="55">
        <f>IF($C$2=1,'Sales Input'!C58,IF($C$2=2,'Sales Input'!D58,IF($C$2=3,'Sales Input'!E58,IF($C$2=4,'Sales Input'!F58,IF($C$2=5,'Sales Input'!G58,IF($C$2=6,'Sales Input'!H58,IF($C$2=7,'Sales Input'!I58,IF($C$2=8,'Sales Input'!J58,IF($C$2=9,'Sales Input'!K58,IF($C$2=10,'Sales Input'!L58,IF($C$2=11,'Sales Input'!M58,IF($C$2=12,'Sales Input'!N58,IF($C$2=13,'Sales Input'!O58,0)))))))))))))</f>
        <v>0</v>
      </c>
      <c r="D65" s="9"/>
    </row>
    <row r="66" spans="1:4" ht="12" customHeight="1" x14ac:dyDescent="0.25">
      <c r="A66" s="13"/>
      <c r="B66" s="15" t="s">
        <v>44</v>
      </c>
      <c r="C66" s="55">
        <f>IF($C$2=1,'Sales Input'!C59,IF($C$2=2,'Sales Input'!D59,IF($C$2=3,'Sales Input'!E59,IF($C$2=4,'Sales Input'!F59,IF($C$2=5,'Sales Input'!G59,IF($C$2=6,'Sales Input'!H59,IF($C$2=7,'Sales Input'!I59,IF($C$2=8,'Sales Input'!J59,IF($C$2=9,'Sales Input'!K59,IF($C$2=10,'Sales Input'!L59,IF($C$2=11,'Sales Input'!M59,IF($C$2=12,'Sales Input'!N59,IF($C$2=13,'Sales Input'!O59,0)))))))))))))</f>
        <v>0</v>
      </c>
      <c r="D66" s="9"/>
    </row>
    <row r="67" spans="1:4" ht="12" customHeight="1" x14ac:dyDescent="0.25">
      <c r="A67" s="25"/>
      <c r="B67" s="24" t="s">
        <v>170</v>
      </c>
      <c r="C67" s="59">
        <f>SUM(C63:C66)</f>
        <v>0</v>
      </c>
      <c r="D67" s="9"/>
    </row>
    <row r="68" spans="1:4" ht="12" customHeight="1" x14ac:dyDescent="0.25">
      <c r="A68" s="13" t="s">
        <v>7</v>
      </c>
      <c r="B68" s="24" t="s">
        <v>175</v>
      </c>
      <c r="C68" s="60">
        <f>C25+C37+C43+C49+C55+C61+C67</f>
        <v>3382050</v>
      </c>
      <c r="D68" s="9"/>
    </row>
    <row r="69" spans="1:4" ht="12" customHeight="1" x14ac:dyDescent="0.25">
      <c r="A69" s="13"/>
      <c r="B69" s="24" t="s">
        <v>176</v>
      </c>
      <c r="C69" s="60">
        <f>C31</f>
        <v>0</v>
      </c>
      <c r="D69" s="9"/>
    </row>
    <row r="70" spans="1:4" ht="12" customHeight="1" x14ac:dyDescent="0.25">
      <c r="A70" s="13"/>
      <c r="B70" s="24"/>
      <c r="C70" s="60"/>
      <c r="D70" s="9"/>
    </row>
    <row r="71" spans="1:4" ht="12" customHeight="1" thickBot="1" x14ac:dyDescent="0.3">
      <c r="A71" s="13"/>
      <c r="B71" s="24" t="s">
        <v>177</v>
      </c>
      <c r="C71" s="56">
        <f>+C17-C10+C68</f>
        <v>12217960</v>
      </c>
      <c r="D71" s="9"/>
    </row>
    <row r="72" spans="1:4" ht="12" customHeight="1" thickTop="1" thickBot="1" x14ac:dyDescent="0.3">
      <c r="A72" s="13" t="s">
        <v>7</v>
      </c>
      <c r="B72" s="24" t="s">
        <v>178</v>
      </c>
      <c r="C72" s="56">
        <f>+C10+C69</f>
        <v>0</v>
      </c>
      <c r="D72" s="9"/>
    </row>
    <row r="73" spans="1:4" ht="12" customHeight="1" thickTop="1" x14ac:dyDescent="0.25">
      <c r="A73" s="13"/>
      <c r="B73" s="24"/>
      <c r="C73" s="62"/>
      <c r="D73" s="9"/>
    </row>
    <row r="74" spans="1:4" ht="12" customHeight="1" x14ac:dyDescent="0.25">
      <c r="A74" s="13" t="s">
        <v>7</v>
      </c>
      <c r="B74" s="24" t="s">
        <v>171</v>
      </c>
      <c r="C74" s="61">
        <f>IF($C$2=1,'Sales Input'!C6,IF($C$2=2,'Sales Input'!D6,IF($C$2=3,'Sales Input'!E6,IF($C$2=4,'Sales Input'!F6,IF($C$2=5,'Sales Input'!G6,IF($C$2=6,'Sales Input'!H6,IF($C$2=7,'Sales Input'!I6,IF($C$2=8,'Sales Input'!J6,IF($C$2=9,'Sales Input'!K6,IF($C$2=10,'Sales Input'!L6,IF($C$2=11,'Sales Input'!M6,IF($C$2=12,'Sales Input'!N6,IF($C$2=13,'Sales Input'!O6,0)))))))))))))</f>
        <v>0</v>
      </c>
      <c r="D74" s="9"/>
    </row>
    <row r="75" spans="1:4" ht="12" customHeight="1" x14ac:dyDescent="0.25">
      <c r="A75" s="13"/>
      <c r="B75" s="24" t="s">
        <v>172</v>
      </c>
      <c r="C75" s="61">
        <f>IF($C$2=1,'Sales Input'!C7,IF($C$2=2,'Sales Input'!D7,IF($C$2=3,'Sales Input'!E7,IF($C$2=4,'Sales Input'!F7,IF($C$2=5,'Sales Input'!G7,IF($C$2=6,'Sales Input'!H7,IF($C$2=7,'Sales Input'!I7,IF($C$2=8,'Sales Input'!J7,IF($C$2=9,'Sales Input'!K7,IF($C$2=10,'Sales Input'!L7,IF($C$2=11,'Sales Input'!M7,IF($C$2=12,'Sales Input'!N7,IF($C$2=13,'Sales Input'!O7,0)))))))))))))</f>
        <v>0</v>
      </c>
      <c r="D75" s="9"/>
    </row>
    <row r="76" spans="1:4" ht="12" customHeight="1" thickBot="1" x14ac:dyDescent="0.3">
      <c r="A76" s="17"/>
      <c r="B76" s="24" t="s">
        <v>173</v>
      </c>
      <c r="C76" s="56">
        <f>IF(C71=0,0,C71-C74)</f>
        <v>12217960</v>
      </c>
      <c r="D76" s="9"/>
    </row>
    <row r="77" spans="1:4" ht="12" customHeight="1" thickTop="1" thickBot="1" x14ac:dyDescent="0.3">
      <c r="A77" s="17"/>
      <c r="B77" s="24" t="s">
        <v>174</v>
      </c>
      <c r="C77" s="56">
        <f>IF(C72=0,0,C72-C75)</f>
        <v>0</v>
      </c>
      <c r="D77" s="9"/>
    </row>
    <row r="78" spans="1:4" ht="12" customHeight="1" thickTop="1" x14ac:dyDescent="0.25">
      <c r="A78" s="13"/>
      <c r="B78" s="15"/>
      <c r="C78" s="57"/>
      <c r="D78" s="9"/>
    </row>
    <row r="79" spans="1:4" ht="12" customHeight="1" x14ac:dyDescent="0.25">
      <c r="A79" s="13"/>
      <c r="B79" s="15"/>
      <c r="C79" s="57"/>
      <c r="D79" s="9"/>
    </row>
    <row r="80" spans="1:4" ht="12" customHeight="1" x14ac:dyDescent="0.25">
      <c r="A80" s="16" t="s">
        <v>16</v>
      </c>
      <c r="B80" s="15"/>
      <c r="C80" s="55" t="s">
        <v>7</v>
      </c>
      <c r="D80" s="9"/>
    </row>
    <row r="81" spans="1:5" ht="12" customHeight="1" x14ac:dyDescent="0.25">
      <c r="A81" s="13">
        <v>1</v>
      </c>
      <c r="B81" s="15" t="s">
        <v>17</v>
      </c>
      <c r="C81" s="55">
        <f>IF($C$2=1,'Sales Input'!C62+$E$81,IF($C$2=2,'Sales Input'!D62+$E$81,IF($C$2=3,'Sales Input'!E62+$E$81,IF($C$2=4,'Sales Input'!F62+$E$81,IF($C$2=5,'Sales Input'!G62+$E$81,IF($C$2=6,'Sales Input'!H62+$E$81,IF($C$2=7,'Sales Input'!I62+$E$81,IF($C$2=8,'Sales Input'!J62+$E$81,IF($C$2=9,'Sales Input'!K62+$E$81,IF($C$2=10,'Sales Input'!L62+$E$81,IF($C$2=11,'Sales Input'!M62+$E$81,IF($C$2=12,'Sales Input'!N62+$E$81,IF($C$2=13,'Sales Input'!O62+$E$81,0)))))))))))))</f>
        <v>772350</v>
      </c>
      <c r="D81" s="9"/>
      <c r="E81" s="72">
        <f>+C22+C34+C40+C46+C52+C58+C64</f>
        <v>772350</v>
      </c>
    </row>
    <row r="82" spans="1:5" ht="12" customHeight="1" x14ac:dyDescent="0.25">
      <c r="A82" s="13">
        <v>2</v>
      </c>
      <c r="B82" s="15" t="s">
        <v>29</v>
      </c>
      <c r="C82" s="55">
        <f>IF($C$2=1,'Sales Input'!C63+$E$82,IF($C$2=2,'Sales Input'!D63+$E$82,IF($C$2=3,'Sales Input'!E63+$E$82,IF($C$2=4,'Sales Input'!F63+$E$82,IF($C$2=5,'Sales Input'!G63+$E$82,IF($C$2=6,'Sales Input'!H63+$E$82,IF($C$2=7,'Sales Input'!I63+$E$82,IF($C$2=8,'Sales Input'!J63+$E$82,IF($C$2=9,'Sales Input'!K63+$E$82,IF($C$2=10,'Sales Input'!L63+$E$82,IF($C$2=11,'Sales Input'!M63+$E$82,IF($C$2=12,'Sales Input'!N63+$E$82,IF($C$2=13,'Sales Input'!O63+$E$82,0)))))))))))))</f>
        <v>8255910</v>
      </c>
      <c r="D82" s="9"/>
      <c r="E82" s="72">
        <f>+C24+C36+C42+C48+C54+C60+C66</f>
        <v>0</v>
      </c>
    </row>
    <row r="83" spans="1:5" ht="12" customHeight="1" x14ac:dyDescent="0.25">
      <c r="A83" s="13">
        <v>2</v>
      </c>
      <c r="B83" s="15" t="s">
        <v>14</v>
      </c>
      <c r="C83" s="55">
        <f>IF($C$2=1,'Sales Input'!C64+$E$83,IF($C$2=2,'Sales Input'!D64+$E$83,IF($C$2=3,'Sales Input'!E64+$E$83,IF($C$2=4,'Sales Input'!F64+$E$83,IF($C$2=5,'Sales Input'!G64+$E$83,IF($C$2=6,'Sales Input'!H64+$E$83,IF($C$2=7,'Sales Input'!I64+$E$83,IF($C$2=8,'Sales Input'!J64+$E$83,IF($C$2=9,'Sales Input'!K64+$E$83,IF($C$2=10,'Sales Input'!L64+$E$83,IF($C$2=11,'Sales Input'!M64+$E$83,IF($C$2=12,'Sales Input'!N64+$E$83,IF($C$2=13,'Sales Input'!O64+$E$83,0)))))))))))))</f>
        <v>2311100</v>
      </c>
      <c r="D83" s="9"/>
      <c r="E83" s="72">
        <f>+C21+C27+C33+C39+C45+C51+C57+C63</f>
        <v>2311100</v>
      </c>
    </row>
    <row r="84" spans="1:5" ht="12" customHeight="1" x14ac:dyDescent="0.25">
      <c r="A84" s="13">
        <v>3</v>
      </c>
      <c r="B84" s="15" t="s">
        <v>15</v>
      </c>
      <c r="C84" s="55">
        <f>IF($C$2=1,'Sales Input'!C65+$E$84,IF($C$2=2,'Sales Input'!D65+$E$84,IF($C$2=3,'Sales Input'!E65+$E$84,IF($C$2=4,'Sales Input'!F65+$E$84,IF($C$2=5,'Sales Input'!G65+$E$84,IF($C$2=6,'Sales Input'!H65+$E$84,IF($C$2=7,'Sales Input'!I65+$E$84,IF($C$2=8,'Sales Input'!J65+$E$84,IF($C$2=9,'Sales Input'!K65+$E$84,IF($C$2=10,'Sales Input'!L65+$E$84,IF($C$2=11,'Sales Input'!M65+$E$84,IF($C$2=12,'Sales Input'!N65+$E$84,IF($C$2=13,'Sales Input'!O65+$E$84,0)))))))))))))</f>
        <v>298600</v>
      </c>
      <c r="D84" s="9"/>
      <c r="E84" s="72">
        <f>+C23+C35+C41+C47+C53+C59+C65</f>
        <v>298600</v>
      </c>
    </row>
    <row r="85" spans="1:5" ht="12" customHeight="1" x14ac:dyDescent="0.25">
      <c r="A85" s="13">
        <v>4</v>
      </c>
      <c r="B85" s="15" t="s">
        <v>145</v>
      </c>
      <c r="C85" s="55">
        <f>IF($C$2=1,'Sales Input'!C66,IF($C$2=2,'Sales Input'!D66,IF($C$2=3,'Sales Input'!E66,IF($C$2=4,'Sales Input'!F66,IF($C$2=5,'Sales Input'!G66,IF($C$2=6,'Sales Input'!H66,IF($C$2=7,'Sales Input'!I66,IF($C$2=8,'Sales Input'!J66,IF($C$2=9,'Sales Input'!K66,IF($C$2=10,'Sales Input'!L66,IF($C$2=11,'Sales Input'!M66,IF($C$2=12,'Sales Input'!N66,IF($C$2=13,'Sales Input'!O66,0)))))))))))))</f>
        <v>0</v>
      </c>
      <c r="D85" s="9"/>
      <c r="E85" s="72"/>
    </row>
    <row r="86" spans="1:5" ht="12" customHeight="1" thickBot="1" x14ac:dyDescent="0.3">
      <c r="A86" s="13" t="s">
        <v>7</v>
      </c>
      <c r="B86" s="24" t="s">
        <v>146</v>
      </c>
      <c r="C86" s="56">
        <f>+SUM(C81:C85)</f>
        <v>11637960</v>
      </c>
      <c r="D86" s="9"/>
    </row>
    <row r="87" spans="1:5" ht="12" customHeight="1" thickTop="1" x14ac:dyDescent="0.25">
      <c r="A87" s="13"/>
      <c r="B87" s="24" t="s">
        <v>30</v>
      </c>
      <c r="C87" s="62">
        <f>SUM(C17-C81-C82-C83-C84+E81+E82+E83+E84+C85)</f>
        <v>580000</v>
      </c>
      <c r="D87" s="10"/>
    </row>
    <row r="88" spans="1:5" ht="12" customHeight="1" x14ac:dyDescent="0.25">
      <c r="A88" s="13"/>
      <c r="B88" s="15"/>
      <c r="C88" s="57"/>
      <c r="D88" s="7"/>
    </row>
    <row r="89" spans="1:5" ht="24.75" x14ac:dyDescent="0.25">
      <c r="B89" s="24"/>
      <c r="C89" s="58" t="s">
        <v>9</v>
      </c>
      <c r="D89" s="3" t="s">
        <v>10</v>
      </c>
    </row>
    <row r="90" spans="1:5" x14ac:dyDescent="0.25">
      <c r="B90" s="15" t="s">
        <v>150</v>
      </c>
      <c r="C90" s="55">
        <f>IF($C$2=1,'Sales Input'!C190,IF($C$2=2,'Sales Input'!D190,IF($C$2=3,'Sales Input'!E190,IF($C$2=4,'Sales Input'!F190,IF($C$2=5,'Sales Input'!G190,IF($C$2=6,'Sales Input'!H190,IF($C$2=7,'Sales Input'!I190,IF($C$2=8,'Sales Input'!J190,IF($C$2=9,'Sales Input'!K190,IF($C$2=10,'Sales Input'!L190,IF($C$2=11,'Sales Input'!M190,IF($C$2=12,'Sales Input'!N190,IF($C$2=13,'Sales Input'!O190,0)))))))))))))</f>
        <v>0</v>
      </c>
      <c r="D90" s="6">
        <f>C85-C90</f>
        <v>0</v>
      </c>
    </row>
    <row r="91" spans="1:5" x14ac:dyDescent="0.25">
      <c r="B91" s="15"/>
      <c r="C91" s="55"/>
      <c r="D91" s="6"/>
    </row>
    <row r="92" spans="1:5" x14ac:dyDescent="0.25">
      <c r="B92" s="26" t="s">
        <v>60</v>
      </c>
      <c r="C92" s="57"/>
      <c r="D92" s="6"/>
    </row>
    <row r="93" spans="1:5" x14ac:dyDescent="0.25">
      <c r="B93" t="str">
        <f>B4</f>
        <v>Sales as at</v>
      </c>
      <c r="C93" s="136" t="str">
        <f>C4</f>
        <v>August 2025</v>
      </c>
      <c r="D93" s="6"/>
    </row>
    <row r="94" spans="1:5" x14ac:dyDescent="0.25">
      <c r="B94" s="24" t="s">
        <v>13</v>
      </c>
      <c r="C94" s="61">
        <f>C74+C75</f>
        <v>0</v>
      </c>
      <c r="D94" s="6"/>
    </row>
    <row r="95" spans="1:5" x14ac:dyDescent="0.25">
      <c r="B95" s="24" t="s">
        <v>12</v>
      </c>
      <c r="C95" s="59">
        <f>C71+C72</f>
        <v>12217960</v>
      </c>
      <c r="D95" s="6"/>
    </row>
    <row r="96" spans="1:5" x14ac:dyDescent="0.25">
      <c r="B96" s="24" t="s">
        <v>104</v>
      </c>
      <c r="C96" s="59">
        <f>C76+C77</f>
        <v>12217960</v>
      </c>
      <c r="D96" s="6"/>
    </row>
    <row r="97" spans="2:4" x14ac:dyDescent="0.25">
      <c r="B97" t="s">
        <v>105</v>
      </c>
      <c r="C97" s="57"/>
      <c r="D97" s="6"/>
    </row>
    <row r="98" spans="2:4" x14ac:dyDescent="0.25">
      <c r="B98" t="s">
        <v>106</v>
      </c>
      <c r="C98" s="63">
        <f>'Expenses Report'!E24</f>
        <v>580000</v>
      </c>
      <c r="D98" s="6"/>
    </row>
    <row r="99" spans="2:4" x14ac:dyDescent="0.25">
      <c r="B99" t="s">
        <v>107</v>
      </c>
      <c r="C99" s="64">
        <f>'Expenses Report'!G24</f>
        <v>1168374.5</v>
      </c>
      <c r="D99" s="6"/>
    </row>
    <row r="100" spans="2:4" x14ac:dyDescent="0.25">
      <c r="B100" t="s">
        <v>108</v>
      </c>
      <c r="C100" s="65">
        <f>'Expenses Report'!I24</f>
        <v>975000</v>
      </c>
      <c r="D100" s="6"/>
    </row>
    <row r="101" spans="2:4" x14ac:dyDescent="0.25">
      <c r="B101" t="s">
        <v>149</v>
      </c>
      <c r="C101" s="65">
        <f>'Suppliers Report'!K29</f>
        <v>0</v>
      </c>
      <c r="D101" s="6"/>
    </row>
    <row r="102" spans="2:4" ht="15.75" thickBot="1" x14ac:dyDescent="0.3">
      <c r="B102" s="4" t="s">
        <v>61</v>
      </c>
      <c r="C102" s="66">
        <f>SUM(C98:C101)</f>
        <v>2723374.5</v>
      </c>
      <c r="D102" s="6"/>
    </row>
    <row r="103" spans="2:4" ht="15.75" thickTop="1" x14ac:dyDescent="0.25">
      <c r="C103" s="67" t="s">
        <v>7</v>
      </c>
    </row>
    <row r="104" spans="2:4" x14ac:dyDescent="0.25">
      <c r="C104"/>
      <c r="D104"/>
    </row>
    <row r="105" spans="2:4" x14ac:dyDescent="0.25">
      <c r="C105"/>
      <c r="D105"/>
    </row>
    <row r="106" spans="2:4" x14ac:dyDescent="0.25">
      <c r="C106"/>
      <c r="D106"/>
    </row>
    <row r="107" spans="2:4" x14ac:dyDescent="0.25">
      <c r="C107"/>
      <c r="D107"/>
    </row>
    <row r="108" spans="2:4" x14ac:dyDescent="0.25">
      <c r="C108"/>
      <c r="D108"/>
    </row>
    <row r="109" spans="2:4" x14ac:dyDescent="0.25">
      <c r="C109"/>
      <c r="D109"/>
    </row>
    <row r="110" spans="2:4" x14ac:dyDescent="0.25">
      <c r="C110"/>
      <c r="D110"/>
    </row>
    <row r="111" spans="2:4" x14ac:dyDescent="0.25">
      <c r="C111"/>
      <c r="D111"/>
    </row>
    <row r="112" spans="2:4" x14ac:dyDescent="0.25">
      <c r="C112"/>
      <c r="D112"/>
    </row>
    <row r="113" spans="3:4" x14ac:dyDescent="0.25">
      <c r="C113"/>
      <c r="D113"/>
    </row>
    <row r="114" spans="3:4" x14ac:dyDescent="0.25">
      <c r="C114"/>
      <c r="D114"/>
    </row>
    <row r="115" spans="3:4" x14ac:dyDescent="0.25">
      <c r="C115"/>
      <c r="D115"/>
    </row>
    <row r="116" spans="3:4" x14ac:dyDescent="0.25">
      <c r="C116"/>
      <c r="D116"/>
    </row>
    <row r="117" spans="3:4" x14ac:dyDescent="0.25">
      <c r="C117"/>
      <c r="D117"/>
    </row>
    <row r="118" spans="3:4" x14ac:dyDescent="0.25">
      <c r="C118"/>
      <c r="D118"/>
    </row>
    <row r="119" spans="3:4" x14ac:dyDescent="0.25">
      <c r="C119"/>
      <c r="D119"/>
    </row>
    <row r="120" spans="3:4" x14ac:dyDescent="0.25">
      <c r="C120"/>
      <c r="D120"/>
    </row>
    <row r="121" spans="3:4" x14ac:dyDescent="0.25">
      <c r="C121"/>
      <c r="D121"/>
    </row>
    <row r="122" spans="3:4" x14ac:dyDescent="0.25">
      <c r="C122"/>
      <c r="D122"/>
    </row>
    <row r="123" spans="3:4" x14ac:dyDescent="0.25">
      <c r="C123"/>
      <c r="D123"/>
    </row>
    <row r="124" spans="3:4" x14ac:dyDescent="0.25">
      <c r="C124"/>
      <c r="D124"/>
    </row>
    <row r="125" spans="3:4" x14ac:dyDescent="0.25">
      <c r="C125"/>
      <c r="D125"/>
    </row>
    <row r="126" spans="3:4" x14ac:dyDescent="0.25">
      <c r="C126"/>
      <c r="D126"/>
    </row>
    <row r="127" spans="3:4" x14ac:dyDescent="0.25">
      <c r="C127"/>
      <c r="D127"/>
    </row>
    <row r="128" spans="3:4" x14ac:dyDescent="0.25">
      <c r="C128"/>
      <c r="D128"/>
    </row>
    <row r="129" spans="3:4" x14ac:dyDescent="0.25">
      <c r="C129"/>
      <c r="D129"/>
    </row>
    <row r="130" spans="3:4" x14ac:dyDescent="0.25">
      <c r="C130"/>
      <c r="D130"/>
    </row>
    <row r="131" spans="3:4" x14ac:dyDescent="0.25">
      <c r="C131"/>
      <c r="D131"/>
    </row>
    <row r="132" spans="3:4" x14ac:dyDescent="0.25">
      <c r="C132"/>
      <c r="D132"/>
    </row>
    <row r="133" spans="3:4" x14ac:dyDescent="0.25">
      <c r="C133"/>
      <c r="D133"/>
    </row>
    <row r="134" spans="3:4" x14ac:dyDescent="0.25">
      <c r="C134"/>
      <c r="D134"/>
    </row>
    <row r="135" spans="3:4" x14ac:dyDescent="0.25">
      <c r="C135"/>
      <c r="D135"/>
    </row>
    <row r="136" spans="3:4" x14ac:dyDescent="0.25">
      <c r="C136" s="67"/>
    </row>
    <row r="137" spans="3:4" x14ac:dyDescent="0.25">
      <c r="C137" s="67"/>
    </row>
    <row r="138" spans="3:4" x14ac:dyDescent="0.25">
      <c r="C138" s="67"/>
    </row>
    <row r="139" spans="3:4" x14ac:dyDescent="0.25">
      <c r="C139" s="67"/>
    </row>
    <row r="141" spans="3:4" x14ac:dyDescent="0.25">
      <c r="C141"/>
      <c r="D141"/>
    </row>
    <row r="142" spans="3:4" x14ac:dyDescent="0.25">
      <c r="C142"/>
      <c r="D142"/>
    </row>
    <row r="143" spans="3:4" x14ac:dyDescent="0.25">
      <c r="C143"/>
      <c r="D143"/>
    </row>
    <row r="144" spans="3:4" x14ac:dyDescent="0.25">
      <c r="C144"/>
      <c r="D144"/>
    </row>
    <row r="145" spans="3:4" x14ac:dyDescent="0.25">
      <c r="C145"/>
      <c r="D145"/>
    </row>
    <row r="146" spans="3:4" x14ac:dyDescent="0.25">
      <c r="C146"/>
      <c r="D146"/>
    </row>
    <row r="147" spans="3:4" x14ac:dyDescent="0.25">
      <c r="C147"/>
      <c r="D147"/>
    </row>
    <row r="148" spans="3:4" x14ac:dyDescent="0.25">
      <c r="C148"/>
      <c r="D148"/>
    </row>
    <row r="149" spans="3:4" x14ac:dyDescent="0.25">
      <c r="C149"/>
      <c r="D149"/>
    </row>
    <row r="150" spans="3:4" x14ac:dyDescent="0.25">
      <c r="C150"/>
      <c r="D150"/>
    </row>
    <row r="151" spans="3:4" x14ac:dyDescent="0.25">
      <c r="C151"/>
      <c r="D151"/>
    </row>
    <row r="152" spans="3:4" x14ac:dyDescent="0.25">
      <c r="C152"/>
      <c r="D152"/>
    </row>
    <row r="153" spans="3:4" x14ac:dyDescent="0.25">
      <c r="C153"/>
      <c r="D153"/>
    </row>
    <row r="154" spans="3:4" x14ac:dyDescent="0.25">
      <c r="C154"/>
      <c r="D154"/>
    </row>
    <row r="155" spans="3:4" x14ac:dyDescent="0.25">
      <c r="C155"/>
      <c r="D155"/>
    </row>
    <row r="156" spans="3:4" x14ac:dyDescent="0.25">
      <c r="C156"/>
      <c r="D156"/>
    </row>
    <row r="157" spans="3:4" x14ac:dyDescent="0.25">
      <c r="C157"/>
      <c r="D157"/>
    </row>
    <row r="158" spans="3:4" x14ac:dyDescent="0.25">
      <c r="C158" s="67"/>
    </row>
    <row r="159" spans="3:4" x14ac:dyDescent="0.25">
      <c r="C159" s="67"/>
    </row>
    <row r="160" spans="3:4" x14ac:dyDescent="0.25">
      <c r="C160" s="67"/>
    </row>
    <row r="161" spans="3:3" x14ac:dyDescent="0.25">
      <c r="C161" s="67"/>
    </row>
    <row r="162" spans="3:3" x14ac:dyDescent="0.25">
      <c r="C162" s="67"/>
    </row>
    <row r="163" spans="3:3" x14ac:dyDescent="0.25">
      <c r="C163" s="67"/>
    </row>
    <row r="164" spans="3:3" x14ac:dyDescent="0.25">
      <c r="C164" s="67"/>
    </row>
    <row r="165" spans="3:3" x14ac:dyDescent="0.25">
      <c r="C165" s="67"/>
    </row>
    <row r="166" spans="3:3" x14ac:dyDescent="0.25">
      <c r="C166" s="67"/>
    </row>
    <row r="167" spans="3:3" x14ac:dyDescent="0.25">
      <c r="C167" s="67"/>
    </row>
    <row r="168" spans="3:3" x14ac:dyDescent="0.25">
      <c r="C168" s="67"/>
    </row>
    <row r="169" spans="3:3" x14ac:dyDescent="0.25">
      <c r="C169" s="67"/>
    </row>
    <row r="170" spans="3:3" x14ac:dyDescent="0.25">
      <c r="C170" s="67"/>
    </row>
    <row r="171" spans="3:3" x14ac:dyDescent="0.25">
      <c r="C171" s="67"/>
    </row>
    <row r="172" spans="3:3" x14ac:dyDescent="0.25">
      <c r="C172" s="67"/>
    </row>
    <row r="173" spans="3:3" x14ac:dyDescent="0.25">
      <c r="C173" s="67"/>
    </row>
    <row r="174" spans="3:3" x14ac:dyDescent="0.25">
      <c r="C174" s="67"/>
    </row>
    <row r="175" spans="3:3" x14ac:dyDescent="0.25">
      <c r="C175" s="67"/>
    </row>
    <row r="176" spans="3:3" x14ac:dyDescent="0.25">
      <c r="C176" s="67"/>
    </row>
    <row r="177" spans="3:3" x14ac:dyDescent="0.25">
      <c r="C177" s="67"/>
    </row>
    <row r="178" spans="3:3" x14ac:dyDescent="0.25">
      <c r="C178" s="67"/>
    </row>
    <row r="179" spans="3:3" x14ac:dyDescent="0.25">
      <c r="C179" s="67"/>
    </row>
    <row r="180" spans="3:3" x14ac:dyDescent="0.25">
      <c r="C180" s="67"/>
    </row>
    <row r="181" spans="3:3" x14ac:dyDescent="0.25">
      <c r="C181" s="67"/>
    </row>
    <row r="182" spans="3:3" x14ac:dyDescent="0.25">
      <c r="C182" s="67"/>
    </row>
    <row r="183" spans="3:3" x14ac:dyDescent="0.25">
      <c r="C183" s="67"/>
    </row>
    <row r="184" spans="3:3" x14ac:dyDescent="0.25">
      <c r="C184" s="67"/>
    </row>
    <row r="185" spans="3:3" x14ac:dyDescent="0.25">
      <c r="C185" s="67"/>
    </row>
    <row r="186" spans="3:3" x14ac:dyDescent="0.25">
      <c r="C186" s="67"/>
    </row>
    <row r="187" spans="3:3" x14ac:dyDescent="0.25">
      <c r="C187" s="67"/>
    </row>
    <row r="188" spans="3:3" x14ac:dyDescent="0.25">
      <c r="C188" s="67"/>
    </row>
    <row r="189" spans="3:3" x14ac:dyDescent="0.25">
      <c r="C189" s="67"/>
    </row>
    <row r="190" spans="3:3" x14ac:dyDescent="0.25">
      <c r="C190" s="67"/>
    </row>
    <row r="191" spans="3:3" x14ac:dyDescent="0.25">
      <c r="C191" s="67"/>
    </row>
    <row r="192" spans="3:3" x14ac:dyDescent="0.25">
      <c r="C192" s="67"/>
    </row>
    <row r="193" spans="3:3" x14ac:dyDescent="0.25">
      <c r="C193" s="67"/>
    </row>
    <row r="194" spans="3:3" x14ac:dyDescent="0.25">
      <c r="C194" s="67"/>
    </row>
    <row r="195" spans="3:3" x14ac:dyDescent="0.25">
      <c r="C195" s="67"/>
    </row>
    <row r="196" spans="3:3" x14ac:dyDescent="0.25">
      <c r="C196" s="67"/>
    </row>
    <row r="197" spans="3:3" x14ac:dyDescent="0.25">
      <c r="C197" s="67"/>
    </row>
    <row r="198" spans="3:3" x14ac:dyDescent="0.25">
      <c r="C198" s="67"/>
    </row>
    <row r="199" spans="3:3" x14ac:dyDescent="0.25">
      <c r="C199" s="67"/>
    </row>
    <row r="200" spans="3:3" x14ac:dyDescent="0.25">
      <c r="C200" s="67"/>
    </row>
    <row r="201" spans="3:3" x14ac:dyDescent="0.25">
      <c r="C201" s="67"/>
    </row>
    <row r="202" spans="3:3" x14ac:dyDescent="0.25">
      <c r="C202" s="67"/>
    </row>
    <row r="203" spans="3:3" x14ac:dyDescent="0.25">
      <c r="C203" s="67"/>
    </row>
    <row r="204" spans="3:3" x14ac:dyDescent="0.25">
      <c r="C204" s="67"/>
    </row>
    <row r="205" spans="3:3" x14ac:dyDescent="0.25">
      <c r="C205" s="67"/>
    </row>
    <row r="206" spans="3:3" x14ac:dyDescent="0.25">
      <c r="C206" s="67"/>
    </row>
    <row r="207" spans="3:3" x14ac:dyDescent="0.25">
      <c r="C207" s="67"/>
    </row>
    <row r="208" spans="3:3" x14ac:dyDescent="0.25">
      <c r="C208" s="67"/>
    </row>
    <row r="209" spans="3:3" x14ac:dyDescent="0.25">
      <c r="C209" s="67"/>
    </row>
    <row r="210" spans="3:3" x14ac:dyDescent="0.25">
      <c r="C210" s="67"/>
    </row>
    <row r="211" spans="3:3" x14ac:dyDescent="0.25">
      <c r="C211" s="67"/>
    </row>
    <row r="212" spans="3:3" x14ac:dyDescent="0.25">
      <c r="C212" s="67"/>
    </row>
    <row r="213" spans="3:3" x14ac:dyDescent="0.25">
      <c r="C213" s="67"/>
    </row>
    <row r="214" spans="3:3" x14ac:dyDescent="0.25">
      <c r="C214" s="67"/>
    </row>
    <row r="215" spans="3:3" x14ac:dyDescent="0.25">
      <c r="C215" s="67"/>
    </row>
    <row r="216" spans="3:3" x14ac:dyDescent="0.25">
      <c r="C216" s="67"/>
    </row>
    <row r="217" spans="3:3" x14ac:dyDescent="0.25">
      <c r="C217" s="67"/>
    </row>
    <row r="218" spans="3:3" x14ac:dyDescent="0.25">
      <c r="C218" s="67"/>
    </row>
    <row r="219" spans="3:3" x14ac:dyDescent="0.25">
      <c r="C219" s="67"/>
    </row>
    <row r="220" spans="3:3" x14ac:dyDescent="0.25">
      <c r="C220" s="67"/>
    </row>
    <row r="221" spans="3:3" x14ac:dyDescent="0.25">
      <c r="C221" s="67"/>
    </row>
    <row r="222" spans="3:3" x14ac:dyDescent="0.25">
      <c r="C222" s="67"/>
    </row>
    <row r="223" spans="3:3" x14ac:dyDescent="0.25">
      <c r="C223" s="67"/>
    </row>
    <row r="224" spans="3:3" x14ac:dyDescent="0.25">
      <c r="C224" s="67"/>
    </row>
    <row r="225" spans="3:3" x14ac:dyDescent="0.25">
      <c r="C225" s="67"/>
    </row>
    <row r="226" spans="3:3" x14ac:dyDescent="0.25">
      <c r="C226" s="67"/>
    </row>
    <row r="227" spans="3:3" x14ac:dyDescent="0.25">
      <c r="C227" s="67"/>
    </row>
    <row r="228" spans="3:3" x14ac:dyDescent="0.25">
      <c r="C228" s="67"/>
    </row>
    <row r="229" spans="3:3" x14ac:dyDescent="0.25">
      <c r="C229" s="67"/>
    </row>
    <row r="230" spans="3:3" x14ac:dyDescent="0.25">
      <c r="C230" s="67"/>
    </row>
    <row r="231" spans="3:3" x14ac:dyDescent="0.25">
      <c r="C231" s="67"/>
    </row>
    <row r="232" spans="3:3" x14ac:dyDescent="0.25">
      <c r="C232" s="67"/>
    </row>
    <row r="233" spans="3:3" x14ac:dyDescent="0.25">
      <c r="C233" s="67"/>
    </row>
    <row r="234" spans="3:3" x14ac:dyDescent="0.25">
      <c r="C234" s="67"/>
    </row>
    <row r="235" spans="3:3" x14ac:dyDescent="0.25">
      <c r="C235" s="67"/>
    </row>
    <row r="236" spans="3:3" x14ac:dyDescent="0.25">
      <c r="C236" s="67"/>
    </row>
    <row r="237" spans="3:3" x14ac:dyDescent="0.25">
      <c r="C237" s="67"/>
    </row>
    <row r="238" spans="3:3" x14ac:dyDescent="0.25">
      <c r="C238" s="67"/>
    </row>
    <row r="239" spans="3:3" x14ac:dyDescent="0.25">
      <c r="C239" s="67"/>
    </row>
    <row r="240" spans="3:3" x14ac:dyDescent="0.25">
      <c r="C240" s="67"/>
    </row>
    <row r="241" spans="3:3" x14ac:dyDescent="0.25">
      <c r="C241" s="67"/>
    </row>
    <row r="242" spans="3:3" x14ac:dyDescent="0.25">
      <c r="C242" s="67"/>
    </row>
    <row r="243" spans="3:3" x14ac:dyDescent="0.25">
      <c r="C243" s="67"/>
    </row>
    <row r="244" spans="3:3" x14ac:dyDescent="0.25">
      <c r="C244" s="67"/>
    </row>
    <row r="245" spans="3:3" x14ac:dyDescent="0.25">
      <c r="C245" s="67"/>
    </row>
    <row r="246" spans="3:3" x14ac:dyDescent="0.25">
      <c r="C246" s="67"/>
    </row>
    <row r="247" spans="3:3" x14ac:dyDescent="0.25">
      <c r="C247" s="67"/>
    </row>
    <row r="248" spans="3:3" x14ac:dyDescent="0.25">
      <c r="C248" s="67"/>
    </row>
  </sheetData>
  <sheetProtection algorithmName="SHA-512" hashValue="GNcvLLXv0euKIayBYkXSx7/BE1e6kcSvuAeee1Q6qYS0TJGptX5a1g3oN+OEU3AFW4zmPWAIP30EUq7rWAu/PQ==" saltValue="JOlYbaSxyTq8/geS3Grong==" spinCount="100000" sheet="1" objects="1" scenarios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2"/>
  <sheetViews>
    <sheetView workbookViewId="0">
      <selection activeCell="C8" sqref="C8"/>
    </sheetView>
  </sheetViews>
  <sheetFormatPr defaultRowHeight="15" x14ac:dyDescent="0.25"/>
  <cols>
    <col min="1" max="1" width="6.42578125" customWidth="1"/>
    <col min="2" max="2" width="50.5703125" customWidth="1"/>
    <col min="3" max="14" width="20.5703125" customWidth="1"/>
  </cols>
  <sheetData>
    <row r="1" spans="1:12" ht="18.75" x14ac:dyDescent="0.3">
      <c r="A1" s="143" t="s">
        <v>18</v>
      </c>
    </row>
    <row r="3" spans="1:12" ht="15.75" thickBot="1" x14ac:dyDescent="0.3"/>
    <row r="4" spans="1:12" s="166" customFormat="1" ht="24.95" customHeight="1" thickBot="1" x14ac:dyDescent="0.35">
      <c r="C4" s="195" t="s">
        <v>156</v>
      </c>
      <c r="D4" s="196"/>
      <c r="E4" s="195" t="s">
        <v>159</v>
      </c>
      <c r="F4" s="196"/>
      <c r="G4" s="195" t="s">
        <v>160</v>
      </c>
      <c r="H4" s="196"/>
      <c r="I4" s="195" t="s">
        <v>161</v>
      </c>
      <c r="J4" s="196"/>
      <c r="K4" s="195" t="s">
        <v>162</v>
      </c>
      <c r="L4" s="196"/>
    </row>
    <row r="5" spans="1:12" ht="39.950000000000003" customHeight="1" thickBot="1" x14ac:dyDescent="0.35">
      <c r="A5" s="141" t="s">
        <v>7</v>
      </c>
      <c r="B5" s="177" t="s">
        <v>163</v>
      </c>
      <c r="C5" s="181" t="s">
        <v>32</v>
      </c>
      <c r="D5" s="181" t="s">
        <v>10</v>
      </c>
      <c r="E5" s="181" t="s">
        <v>9</v>
      </c>
      <c r="F5" s="181" t="s">
        <v>10</v>
      </c>
      <c r="G5" s="181" t="s">
        <v>9</v>
      </c>
      <c r="H5" s="181" t="s">
        <v>10</v>
      </c>
      <c r="I5" s="181" t="s">
        <v>9</v>
      </c>
      <c r="J5" s="181" t="s">
        <v>10</v>
      </c>
      <c r="K5" s="181" t="s">
        <v>9</v>
      </c>
      <c r="L5" s="181" t="s">
        <v>10</v>
      </c>
    </row>
    <row r="6" spans="1:12" ht="21.95" customHeight="1" x14ac:dyDescent="0.3">
      <c r="A6" s="141" t="s">
        <v>7</v>
      </c>
      <c r="B6" s="171" t="s">
        <v>20</v>
      </c>
      <c r="C6" s="173">
        <f>IF('Consolidated Sales'!$C$2=1,'Sales Input'!C69,IF('Consolidated Sales'!$C$2=2,'Sales Input'!D69,IF('Consolidated Sales'!$C$2=3,'Sales Input'!E69,IF('Consolidated Sales'!$C$2=4,'Sales Input'!F69,IF('Consolidated Sales'!$C$2=5,'Sales Input'!G69,IF('Consolidated Sales'!$C$2=6,'Sales Input'!H69,IF('Consolidated Sales'!$C$2=7,'Sales Input'!I69,IF('Consolidated Sales'!$C$2=8,'Sales Input'!J69,IF('Consolidated Sales'!$C$2=9,'Sales Input'!K69,IF('Consolidated Sales'!$C$2=10,'Sales Input'!L69,IF('Consolidated Sales'!$C$2=11,'Sales Input'!M69,IF('Consolidated Sales'!$C$2=12,'Sales Input'!N69,IF('Consolidated Sales'!$C$2=13,'Sales Input'!O69,0)))))))))))))</f>
        <v>323500.02</v>
      </c>
      <c r="D6" s="174">
        <f t="shared" ref="D6:D25" si="0">SUM(C6-E6-G6-I6-K6)</f>
        <v>0</v>
      </c>
      <c r="E6" s="173">
        <f>IF('Consolidated Sales'!$C$2=1,'Sales Input'!C103,IF('Consolidated Sales'!$C$2=2,'Sales Input'!D103,IF('Consolidated Sales'!$C$2=3,'Sales Input'!E103,IF('Consolidated Sales'!$C$2=4,'Sales Input'!F103,IF('Consolidated Sales'!$C$2=5,'Sales Input'!G103,IF('Consolidated Sales'!$C$2=6,'Sales Input'!H103,IF('Consolidated Sales'!$C$2=7,'Sales Input'!I103,IF('Consolidated Sales'!$C$2=8,'Sales Input'!J103,IF('Consolidated Sales'!$C$2=9,'Sales Input'!K103,IF('Consolidated Sales'!$C$2=10,'Sales Input'!L103,IF('Consolidated Sales'!$C$2=11,'Sales Input'!M103,IF('Consolidated Sales'!$C$2=12,'Sales Input'!N103,IF('Consolidated Sales'!$C$2=13,'Sales Input'!O103,0)))))))))))))</f>
        <v>0</v>
      </c>
      <c r="F6" s="174">
        <f t="shared" ref="F6:F25" si="1">SUM(C6-E6-G6-I6-K6)</f>
        <v>0</v>
      </c>
      <c r="G6" s="173">
        <f>IF('Consolidated Sales'!$C$2=1,'Sales Input'!C125,IF('Consolidated Sales'!$C$2=2,'Sales Input'!D125,IF('Consolidated Sales'!$C$2=3,'Sales Input'!E125,IF('Consolidated Sales'!$C$2=4,'Sales Input'!F125,IF('Consolidated Sales'!$C$2=5,'Sales Input'!G125,IF('Consolidated Sales'!$C$2=6,'Sales Input'!H125,IF('Consolidated Sales'!$C$2=7,'Sales Input'!I125,IF('Consolidated Sales'!$C$2=8,'Sales Input'!J125,IF('Consolidated Sales'!$C$2=9,'Sales Input'!K125,IF('Consolidated Sales'!$C$2=10,'Sales Input'!L125,IF('Consolidated Sales'!$C$2=11,'Sales Input'!M125,IF('Consolidated Sales'!$C$2=12,'Sales Input'!N125,IF('Consolidated Sales'!$C$2=13,'Sales Input'!O125,0)))))))))))))</f>
        <v>323500.02</v>
      </c>
      <c r="H6" s="174">
        <f t="shared" ref="H6:H25" si="2">C6-E6-G6-I6-K6</f>
        <v>0</v>
      </c>
      <c r="I6" s="173">
        <f>IF('Consolidated Sales'!$C$2=1,'Sales Input'!C147,IF('Consolidated Sales'!$C$2=2,'Sales Input'!D147,IF('Consolidated Sales'!$C$2=3,'Sales Input'!E147,IF('Consolidated Sales'!$C$2=4,'Sales Input'!F147,IF('Consolidated Sales'!$C$2=5,'Sales Input'!G147,IF('Consolidated Sales'!$C$2=6,'Sales Input'!H147,IF('Consolidated Sales'!$C$2=7,'Sales Input'!I147,IF('Consolidated Sales'!$C$2=8,'Sales Input'!J147,IF('Consolidated Sales'!$C$2=9,'Sales Input'!K147,IF('Consolidated Sales'!$C$2=10,'Sales Input'!L147,IF('Consolidated Sales'!$C$2=11,'Sales Input'!M147,IF('Consolidated Sales'!$C$2=12,'Sales Input'!N147,IF('Consolidated Sales'!$C$2=13,'Sales Input'!O147,0)))))))))))))</f>
        <v>0</v>
      </c>
      <c r="J6" s="174">
        <f t="shared" ref="J6:J25" si="3">C6-E6-G6-I6-K6</f>
        <v>0</v>
      </c>
      <c r="K6" s="173">
        <f>IF('Consolidated Sales'!$C$2=1,'Sales Input'!C169,IF('Consolidated Sales'!$C$2=2,'Sales Input'!D169,IF('Consolidated Sales'!$C$2=3,'Sales Input'!E169,IF('Consolidated Sales'!$C$2=4,'Sales Input'!F169,IF('Consolidated Sales'!$C$2=5,'Sales Input'!G169,IF('Consolidated Sales'!$C$2=6,'Sales Input'!H169,IF('Consolidated Sales'!$C$2=7,'Sales Input'!I169,IF('Consolidated Sales'!$C$2=8,'Sales Input'!J169,IF('Consolidated Sales'!$C$2=9,'Sales Input'!K169,IF('Consolidated Sales'!$C$2=10,'Sales Input'!L169,IF('Consolidated Sales'!$C$2=11,'Sales Input'!M169,IF('Consolidated Sales'!$C$2=12,'Sales Input'!N169,IF('Consolidated Sales'!$C$2=13,'Sales Input'!O169,0)))))))))))))</f>
        <v>0</v>
      </c>
      <c r="L6" s="174">
        <f t="shared" ref="L6:L25" si="4">C6-E6-G6-I6-K6</f>
        <v>0</v>
      </c>
    </row>
    <row r="7" spans="1:12" ht="21.95" customHeight="1" x14ac:dyDescent="0.3">
      <c r="A7" s="141" t="s">
        <v>7</v>
      </c>
      <c r="B7" s="171" t="s">
        <v>47</v>
      </c>
      <c r="C7" s="173">
        <f>IF('Consolidated Sales'!$C$2=1,'Sales Input'!C70,IF('Consolidated Sales'!$C$2=2,'Sales Input'!D70,IF('Consolidated Sales'!$C$2=3,'Sales Input'!E70,IF('Consolidated Sales'!$C$2=4,'Sales Input'!F70,IF('Consolidated Sales'!$C$2=5,'Sales Input'!G70,IF('Consolidated Sales'!$C$2=6,'Sales Input'!H70,IF('Consolidated Sales'!$C$2=7,'Sales Input'!I70,IF('Consolidated Sales'!$C$2=8,'Sales Input'!J70,IF('Consolidated Sales'!$C$2=9,'Sales Input'!K70,IF('Consolidated Sales'!$C$2=10,'Sales Input'!L70,IF('Consolidated Sales'!$C$2=11,'Sales Input'!M70,IF('Consolidated Sales'!$C$2=12,'Sales Input'!N70,IF('Consolidated Sales'!$C$2=13,'Sales Input'!O70,0)))))))))))))</f>
        <v>0</v>
      </c>
      <c r="D7" s="174">
        <f t="shared" si="0"/>
        <v>0</v>
      </c>
      <c r="E7" s="173">
        <f>IF('Consolidated Sales'!$C$2=1,'Sales Input'!C104,IF('Consolidated Sales'!$C$2=2,'Sales Input'!D104,IF('Consolidated Sales'!$C$2=3,'Sales Input'!E104,IF('Consolidated Sales'!$C$2=4,'Sales Input'!F104,IF('Consolidated Sales'!$C$2=5,'Sales Input'!G104,IF('Consolidated Sales'!$C$2=6,'Sales Input'!H104,IF('Consolidated Sales'!$C$2=7,'Sales Input'!I104,IF('Consolidated Sales'!$C$2=8,'Sales Input'!J104,IF('Consolidated Sales'!$C$2=9,'Sales Input'!K104,IF('Consolidated Sales'!$C$2=10,'Sales Input'!L104,IF('Consolidated Sales'!$C$2=11,'Sales Input'!M104,IF('Consolidated Sales'!$C$2=12,'Sales Input'!N104,IF('Consolidated Sales'!$C$2=13,'Sales Input'!O104,0)))))))))))))</f>
        <v>0</v>
      </c>
      <c r="F7" s="174">
        <f t="shared" si="1"/>
        <v>0</v>
      </c>
      <c r="G7" s="173">
        <f>IF('Consolidated Sales'!$C$2=1,'Sales Input'!C126,IF('Consolidated Sales'!$C$2=2,'Sales Input'!D126,IF('Consolidated Sales'!$C$2=3,'Sales Input'!E126,IF('Consolidated Sales'!$C$2=4,'Sales Input'!F126,IF('Consolidated Sales'!$C$2=5,'Sales Input'!G126,IF('Consolidated Sales'!$C$2=6,'Sales Input'!H126,IF('Consolidated Sales'!$C$2=7,'Sales Input'!I126,IF('Consolidated Sales'!$C$2=8,'Sales Input'!J126,IF('Consolidated Sales'!$C$2=9,'Sales Input'!K126,IF('Consolidated Sales'!$C$2=10,'Sales Input'!L126,IF('Consolidated Sales'!$C$2=11,'Sales Input'!M126,IF('Consolidated Sales'!$C$2=12,'Sales Input'!N126,IF('Consolidated Sales'!$C$2=13,'Sales Input'!O126,0)))))))))))))</f>
        <v>0</v>
      </c>
      <c r="H7" s="174">
        <f t="shared" si="2"/>
        <v>0</v>
      </c>
      <c r="I7" s="173">
        <f>IF('Consolidated Sales'!$C$2=1,'Sales Input'!C148,IF('Consolidated Sales'!$C$2=2,'Sales Input'!D148,IF('Consolidated Sales'!$C$2=3,'Sales Input'!E148,IF('Consolidated Sales'!$C$2=4,'Sales Input'!F148,IF('Consolidated Sales'!$C$2=5,'Sales Input'!G148,IF('Consolidated Sales'!$C$2=6,'Sales Input'!H148,IF('Consolidated Sales'!$C$2=7,'Sales Input'!I148,IF('Consolidated Sales'!$C$2=8,'Sales Input'!J148,IF('Consolidated Sales'!$C$2=9,'Sales Input'!K148,IF('Consolidated Sales'!$C$2=10,'Sales Input'!L148,IF('Consolidated Sales'!$C$2=11,'Sales Input'!M148,IF('Consolidated Sales'!$C$2=12,'Sales Input'!N148,IF('Consolidated Sales'!$C$2=13,'Sales Input'!O148,0)))))))))))))</f>
        <v>0</v>
      </c>
      <c r="J7" s="174">
        <f t="shared" si="3"/>
        <v>0</v>
      </c>
      <c r="K7" s="173">
        <f>IF('Consolidated Sales'!$C$2=1,'Sales Input'!C170,IF('Consolidated Sales'!$C$2=2,'Sales Input'!D170,IF('Consolidated Sales'!$C$2=3,'Sales Input'!E170,IF('Consolidated Sales'!$C$2=4,'Sales Input'!F170,IF('Consolidated Sales'!$C$2=5,'Sales Input'!G170,IF('Consolidated Sales'!$C$2=6,'Sales Input'!H170,IF('Consolidated Sales'!$C$2=7,'Sales Input'!I170,IF('Consolidated Sales'!$C$2=8,'Sales Input'!J170,IF('Consolidated Sales'!$C$2=9,'Sales Input'!K170,IF('Consolidated Sales'!$C$2=10,'Sales Input'!L170,IF('Consolidated Sales'!$C$2=11,'Sales Input'!M170,IF('Consolidated Sales'!$C$2=12,'Sales Input'!N170,IF('Consolidated Sales'!$C$2=13,'Sales Input'!O170,0)))))))))))))</f>
        <v>0</v>
      </c>
      <c r="L7" s="174">
        <f t="shared" si="4"/>
        <v>0</v>
      </c>
    </row>
    <row r="8" spans="1:12" ht="21.95" customHeight="1" x14ac:dyDescent="0.3">
      <c r="A8" s="141" t="s">
        <v>7</v>
      </c>
      <c r="B8" s="171" t="s">
        <v>45</v>
      </c>
      <c r="C8" s="173">
        <f>IF('Consolidated Sales'!$C$2=1,'Sales Input'!C77,IF('Consolidated Sales'!$C$2=2,'Sales Input'!D77,IF('Consolidated Sales'!$C$2=3,'Sales Input'!E77,IF('Consolidated Sales'!$C$2=4,'Sales Input'!F77,IF('Consolidated Sales'!$C$2=5,'Sales Input'!G77,IF('Consolidated Sales'!$C$2=6,'Sales Input'!H77,IF('Consolidated Sales'!$C$2=7,'Sales Input'!I77,IF('Consolidated Sales'!$C$2=8,'Sales Input'!J77,IF('Consolidated Sales'!$C$2=9,'Sales Input'!K77,IF('Consolidated Sales'!$C$2=10,'Sales Input'!L77,IF('Consolidated Sales'!$C$2=11,'Sales Input'!M77,IF('Consolidated Sales'!$C$2=12,'Sales Input'!N77,IF('Consolidated Sales'!$C$2=13,'Sales Input'!O77,0)))))))))))))</f>
        <v>104700</v>
      </c>
      <c r="D8" s="174">
        <f t="shared" si="0"/>
        <v>0</v>
      </c>
      <c r="E8" s="173">
        <f>IF('Consolidated Sales'!$C$2=1,'Sales Input'!C105,IF('Consolidated Sales'!$C$2=2,'Sales Input'!D105,IF('Consolidated Sales'!$C$2=3,'Sales Input'!E105,IF('Consolidated Sales'!$C$2=4,'Sales Input'!F105,IF('Consolidated Sales'!$C$2=5,'Sales Input'!G105,IF('Consolidated Sales'!$C$2=6,'Sales Input'!H105,IF('Consolidated Sales'!$C$2=7,'Sales Input'!I105,IF('Consolidated Sales'!$C$2=8,'Sales Input'!J105,IF('Consolidated Sales'!$C$2=9,'Sales Input'!K105,IF('Consolidated Sales'!$C$2=10,'Sales Input'!L105,IF('Consolidated Sales'!$C$2=11,'Sales Input'!M105,IF('Consolidated Sales'!$C$2=12,'Sales Input'!N105,IF('Consolidated Sales'!$C$2=13,'Sales Input'!O105,0)))))))))))))</f>
        <v>0</v>
      </c>
      <c r="F8" s="174">
        <f t="shared" si="1"/>
        <v>0</v>
      </c>
      <c r="G8" s="173">
        <f>IF('Consolidated Sales'!$C$2=1,'Sales Input'!C127,IF('Consolidated Sales'!$C$2=2,'Sales Input'!D127,IF('Consolidated Sales'!$C$2=3,'Sales Input'!E127,IF('Consolidated Sales'!$C$2=4,'Sales Input'!F127,IF('Consolidated Sales'!$C$2=5,'Sales Input'!G127,IF('Consolidated Sales'!$C$2=6,'Sales Input'!H127,IF('Consolidated Sales'!$C$2=7,'Sales Input'!I127,IF('Consolidated Sales'!$C$2=8,'Sales Input'!J127,IF('Consolidated Sales'!$C$2=9,'Sales Input'!K127,IF('Consolidated Sales'!$C$2=10,'Sales Input'!L127,IF('Consolidated Sales'!$C$2=11,'Sales Input'!M127,IF('Consolidated Sales'!$C$2=12,'Sales Input'!N127,IF('Consolidated Sales'!$C$2=13,'Sales Input'!O127,0)))))))))))))</f>
        <v>0</v>
      </c>
      <c r="H8" s="174">
        <f t="shared" si="2"/>
        <v>0</v>
      </c>
      <c r="I8" s="173">
        <f>IF('Consolidated Sales'!$C$2=1,'Sales Input'!C149,IF('Consolidated Sales'!$C$2=2,'Sales Input'!D149,IF('Consolidated Sales'!$C$2=3,'Sales Input'!E149,IF('Consolidated Sales'!$C$2=4,'Sales Input'!F149,IF('Consolidated Sales'!$C$2=5,'Sales Input'!G149,IF('Consolidated Sales'!$C$2=6,'Sales Input'!H149,IF('Consolidated Sales'!$C$2=7,'Sales Input'!I149,IF('Consolidated Sales'!$C$2=8,'Sales Input'!J149,IF('Consolidated Sales'!$C$2=9,'Sales Input'!K149,IF('Consolidated Sales'!$C$2=10,'Sales Input'!L149,IF('Consolidated Sales'!$C$2=11,'Sales Input'!M149,IF('Consolidated Sales'!$C$2=12,'Sales Input'!N149,IF('Consolidated Sales'!$C$2=13,'Sales Input'!O149,0)))))))))))))</f>
        <v>104700</v>
      </c>
      <c r="J8" s="174">
        <f t="shared" si="3"/>
        <v>0</v>
      </c>
      <c r="K8" s="173">
        <f>IF('Consolidated Sales'!$C$2=1,'Sales Input'!C171,IF('Consolidated Sales'!$C$2=2,'Sales Input'!D171,IF('Consolidated Sales'!$C$2=3,'Sales Input'!E171,IF('Consolidated Sales'!$C$2=4,'Sales Input'!F171,IF('Consolidated Sales'!$C$2=5,'Sales Input'!G171,IF('Consolidated Sales'!$C$2=6,'Sales Input'!H171,IF('Consolidated Sales'!$C$2=7,'Sales Input'!I171,IF('Consolidated Sales'!$C$2=8,'Sales Input'!J171,IF('Consolidated Sales'!$C$2=9,'Sales Input'!K171,IF('Consolidated Sales'!$C$2=10,'Sales Input'!L171,IF('Consolidated Sales'!$C$2=11,'Sales Input'!M171,IF('Consolidated Sales'!$C$2=12,'Sales Input'!N171,IF('Consolidated Sales'!$C$2=13,'Sales Input'!O171,0)))))))))))))</f>
        <v>0</v>
      </c>
      <c r="L8" s="174">
        <f t="shared" si="4"/>
        <v>0</v>
      </c>
    </row>
    <row r="9" spans="1:12" ht="21.95" customHeight="1" x14ac:dyDescent="0.3">
      <c r="A9" s="141" t="s">
        <v>7</v>
      </c>
      <c r="B9" s="171" t="s">
        <v>22</v>
      </c>
      <c r="C9" s="173">
        <f>IF('Consolidated Sales'!$C$2=1,'Sales Input'!C78,IF('Consolidated Sales'!$C$2=2,'Sales Input'!D78,IF('Consolidated Sales'!$C$2=3,'Sales Input'!E78,IF('Consolidated Sales'!$C$2=4,'Sales Input'!F78,IF('Consolidated Sales'!$C$2=5,'Sales Input'!G78,IF('Consolidated Sales'!$C$2=6,'Sales Input'!H78,IF('Consolidated Sales'!$C$2=7,'Sales Input'!I78,IF('Consolidated Sales'!$C$2=8,'Sales Input'!J78,IF('Consolidated Sales'!$C$2=9,'Sales Input'!K78,IF('Consolidated Sales'!$C$2=10,'Sales Input'!L78,IF('Consolidated Sales'!$C$2=11,'Sales Input'!M78,IF('Consolidated Sales'!$C$2=12,'Sales Input'!N78,IF('Consolidated Sales'!$C$2=13,'Sales Input'!O78,0)))))))))))))</f>
        <v>0</v>
      </c>
      <c r="D9" s="174">
        <f t="shared" si="0"/>
        <v>0</v>
      </c>
      <c r="E9" s="173">
        <f>IF('Consolidated Sales'!$C$2=1,'Sales Input'!C106,IF('Consolidated Sales'!$C$2=2,'Sales Input'!D106,IF('Consolidated Sales'!$C$2=3,'Sales Input'!E106,IF('Consolidated Sales'!$C$2=4,'Sales Input'!F106,IF('Consolidated Sales'!$C$2=5,'Sales Input'!G106,IF('Consolidated Sales'!$C$2=6,'Sales Input'!H106,IF('Consolidated Sales'!$C$2=7,'Sales Input'!I106,IF('Consolidated Sales'!$C$2=8,'Sales Input'!J106,IF('Consolidated Sales'!$C$2=9,'Sales Input'!K106,IF('Consolidated Sales'!$C$2=10,'Sales Input'!L106,IF('Consolidated Sales'!$C$2=11,'Sales Input'!M106,IF('Consolidated Sales'!$C$2=12,'Sales Input'!N106,IF('Consolidated Sales'!$C$2=13,'Sales Input'!O106,0)))))))))))))</f>
        <v>0</v>
      </c>
      <c r="F9" s="174">
        <f t="shared" si="1"/>
        <v>0</v>
      </c>
      <c r="G9" s="173">
        <f>IF('Consolidated Sales'!$C$2=1,'Sales Input'!C128,IF('Consolidated Sales'!$C$2=2,'Sales Input'!D128,IF('Consolidated Sales'!$C$2=3,'Sales Input'!E128,IF('Consolidated Sales'!$C$2=4,'Sales Input'!F128,IF('Consolidated Sales'!$C$2=5,'Sales Input'!G128,IF('Consolidated Sales'!$C$2=6,'Sales Input'!H128,IF('Consolidated Sales'!$C$2=7,'Sales Input'!I128,IF('Consolidated Sales'!$C$2=8,'Sales Input'!J128,IF('Consolidated Sales'!$C$2=9,'Sales Input'!K128,IF('Consolidated Sales'!$C$2=10,'Sales Input'!L128,IF('Consolidated Sales'!$C$2=11,'Sales Input'!M128,IF('Consolidated Sales'!$C$2=12,'Sales Input'!N128,IF('Consolidated Sales'!$C$2=13,'Sales Input'!O128,0)))))))))))))</f>
        <v>0</v>
      </c>
      <c r="H9" s="174">
        <f t="shared" si="2"/>
        <v>0</v>
      </c>
      <c r="I9" s="173">
        <f>IF('Consolidated Sales'!$C$2=1,'Sales Input'!C150,IF('Consolidated Sales'!$C$2=2,'Sales Input'!D150,IF('Consolidated Sales'!$C$2=3,'Sales Input'!E150,IF('Consolidated Sales'!$C$2=4,'Sales Input'!F150,IF('Consolidated Sales'!$C$2=5,'Sales Input'!G150,IF('Consolidated Sales'!$C$2=6,'Sales Input'!H150,IF('Consolidated Sales'!$C$2=7,'Sales Input'!I150,IF('Consolidated Sales'!$C$2=8,'Sales Input'!J150,IF('Consolidated Sales'!$C$2=9,'Sales Input'!K150,IF('Consolidated Sales'!$C$2=10,'Sales Input'!L150,IF('Consolidated Sales'!$C$2=11,'Sales Input'!M150,IF('Consolidated Sales'!$C$2=12,'Sales Input'!N150,IF('Consolidated Sales'!$C$2=13,'Sales Input'!O150,0)))))))))))))</f>
        <v>0</v>
      </c>
      <c r="J9" s="174">
        <f t="shared" si="3"/>
        <v>0</v>
      </c>
      <c r="K9" s="173">
        <f>IF('Consolidated Sales'!$C$2=1,'Sales Input'!C172,IF('Consolidated Sales'!$C$2=2,'Sales Input'!D172,IF('Consolidated Sales'!$C$2=3,'Sales Input'!E172,IF('Consolidated Sales'!$C$2=4,'Sales Input'!F172,IF('Consolidated Sales'!$C$2=5,'Sales Input'!G172,IF('Consolidated Sales'!$C$2=6,'Sales Input'!H172,IF('Consolidated Sales'!$C$2=7,'Sales Input'!I172,IF('Consolidated Sales'!$C$2=8,'Sales Input'!J172,IF('Consolidated Sales'!$C$2=9,'Sales Input'!K172,IF('Consolidated Sales'!$C$2=10,'Sales Input'!L172,IF('Consolidated Sales'!$C$2=11,'Sales Input'!M172,IF('Consolidated Sales'!$C$2=12,'Sales Input'!N172,IF('Consolidated Sales'!$C$2=13,'Sales Input'!O172,0)))))))))))))</f>
        <v>0</v>
      </c>
      <c r="L9" s="174">
        <f t="shared" si="4"/>
        <v>0</v>
      </c>
    </row>
    <row r="10" spans="1:12" ht="21.95" customHeight="1" x14ac:dyDescent="0.3">
      <c r="A10" s="141" t="s">
        <v>7</v>
      </c>
      <c r="B10" s="171" t="s">
        <v>62</v>
      </c>
      <c r="C10" s="173">
        <f>IF('Consolidated Sales'!$C$2=1,'Sales Input'!C79,IF('Consolidated Sales'!$C$2=2,'Sales Input'!D79,IF('Consolidated Sales'!$C$2=3,'Sales Input'!E79,IF('Consolidated Sales'!$C$2=4,'Sales Input'!F79,IF('Consolidated Sales'!$C$2=5,'Sales Input'!G79,IF('Consolidated Sales'!$C$2=6,'Sales Input'!H79,IF('Consolidated Sales'!$C$2=7,'Sales Input'!I79,IF('Consolidated Sales'!$C$2=8,'Sales Input'!J79,IF('Consolidated Sales'!$C$2=9,'Sales Input'!K79,IF('Consolidated Sales'!$C$2=10,'Sales Input'!L79,IF('Consolidated Sales'!$C$2=11,'Sales Input'!M79,IF('Consolidated Sales'!$C$2=12,'Sales Input'!N79,IF('Consolidated Sales'!$C$2=13,'Sales Input'!O79,0)))))))))))))</f>
        <v>0</v>
      </c>
      <c r="D10" s="174">
        <f t="shared" si="0"/>
        <v>0</v>
      </c>
      <c r="E10" s="173">
        <f>IF('Consolidated Sales'!$C$2=1,'Sales Input'!C107,IF('Consolidated Sales'!$C$2=2,'Sales Input'!D107,IF('Consolidated Sales'!$C$2=3,'Sales Input'!E107,IF('Consolidated Sales'!$C$2=4,'Sales Input'!F107,IF('Consolidated Sales'!$C$2=5,'Sales Input'!G107,IF('Consolidated Sales'!$C$2=6,'Sales Input'!H107,IF('Consolidated Sales'!$C$2=7,'Sales Input'!I107,IF('Consolidated Sales'!$C$2=8,'Sales Input'!J107,IF('Consolidated Sales'!$C$2=9,'Sales Input'!K107,IF('Consolidated Sales'!$C$2=10,'Sales Input'!L107,IF('Consolidated Sales'!$C$2=11,'Sales Input'!M107,IF('Consolidated Sales'!$C$2=12,'Sales Input'!N107,IF('Consolidated Sales'!$C$2=13,'Sales Input'!O107,0)))))))))))))</f>
        <v>0</v>
      </c>
      <c r="F10" s="174">
        <f t="shared" si="1"/>
        <v>0</v>
      </c>
      <c r="G10" s="173">
        <f>IF('Consolidated Sales'!$C$2=1,'Sales Input'!C129,IF('Consolidated Sales'!$C$2=2,'Sales Input'!D129,IF('Consolidated Sales'!$C$2=3,'Sales Input'!E129,IF('Consolidated Sales'!$C$2=4,'Sales Input'!F129,IF('Consolidated Sales'!$C$2=5,'Sales Input'!G129,IF('Consolidated Sales'!$C$2=6,'Sales Input'!H129,IF('Consolidated Sales'!$C$2=7,'Sales Input'!I129,IF('Consolidated Sales'!$C$2=8,'Sales Input'!J129,IF('Consolidated Sales'!$C$2=9,'Sales Input'!K129,IF('Consolidated Sales'!$C$2=10,'Sales Input'!L129,IF('Consolidated Sales'!$C$2=11,'Sales Input'!M129,IF('Consolidated Sales'!$C$2=12,'Sales Input'!N129,IF('Consolidated Sales'!$C$2=13,'Sales Input'!O129,0)))))))))))))</f>
        <v>0</v>
      </c>
      <c r="H10" s="174">
        <f t="shared" si="2"/>
        <v>0</v>
      </c>
      <c r="I10" s="173">
        <f>IF('Consolidated Sales'!$C$2=1,'Sales Input'!C151,IF('Consolidated Sales'!$C$2=2,'Sales Input'!D151,IF('Consolidated Sales'!$C$2=3,'Sales Input'!E151,IF('Consolidated Sales'!$C$2=4,'Sales Input'!F151,IF('Consolidated Sales'!$C$2=5,'Sales Input'!G151,IF('Consolidated Sales'!$C$2=6,'Sales Input'!H151,IF('Consolidated Sales'!$C$2=7,'Sales Input'!I151,IF('Consolidated Sales'!$C$2=8,'Sales Input'!J151,IF('Consolidated Sales'!$C$2=9,'Sales Input'!K151,IF('Consolidated Sales'!$C$2=10,'Sales Input'!L151,IF('Consolidated Sales'!$C$2=11,'Sales Input'!M151,IF('Consolidated Sales'!$C$2=12,'Sales Input'!N151,IF('Consolidated Sales'!$C$2=13,'Sales Input'!O151,0)))))))))))))</f>
        <v>0</v>
      </c>
      <c r="J10" s="174">
        <f t="shared" si="3"/>
        <v>0</v>
      </c>
      <c r="K10" s="173">
        <f>IF('Consolidated Sales'!$C$2=1,'Sales Input'!C173,IF('Consolidated Sales'!$C$2=2,'Sales Input'!D173,IF('Consolidated Sales'!$C$2=3,'Sales Input'!E173,IF('Consolidated Sales'!$C$2=4,'Sales Input'!F173,IF('Consolidated Sales'!$C$2=5,'Sales Input'!G173,IF('Consolidated Sales'!$C$2=6,'Sales Input'!H173,IF('Consolidated Sales'!$C$2=7,'Sales Input'!I173,IF('Consolidated Sales'!$C$2=8,'Sales Input'!J173,IF('Consolidated Sales'!$C$2=9,'Sales Input'!K173,IF('Consolidated Sales'!$C$2=10,'Sales Input'!L173,IF('Consolidated Sales'!$C$2=11,'Sales Input'!M173,IF('Consolidated Sales'!$C$2=12,'Sales Input'!N173,IF('Consolidated Sales'!$C$2=13,'Sales Input'!O173,0)))))))))))))</f>
        <v>0</v>
      </c>
      <c r="L10" s="174">
        <f t="shared" si="4"/>
        <v>0</v>
      </c>
    </row>
    <row r="11" spans="1:12" ht="21.95" customHeight="1" x14ac:dyDescent="0.3">
      <c r="A11" s="141" t="s">
        <v>7</v>
      </c>
      <c r="B11" s="171" t="s">
        <v>21</v>
      </c>
      <c r="C11" s="173">
        <f>IF('Consolidated Sales'!$C$2=1,'Sales Input'!C80,IF('Consolidated Sales'!$C$2=2,'Sales Input'!D80,IF('Consolidated Sales'!$C$2=3,'Sales Input'!E80,IF('Consolidated Sales'!$C$2=4,'Sales Input'!F80,IF('Consolidated Sales'!$C$2=5,'Sales Input'!G80,IF('Consolidated Sales'!$C$2=6,'Sales Input'!H80,IF('Consolidated Sales'!$C$2=7,'Sales Input'!I80,IF('Consolidated Sales'!$C$2=8,'Sales Input'!J80,IF('Consolidated Sales'!$C$2=9,'Sales Input'!K80,IF('Consolidated Sales'!$C$2=10,'Sales Input'!L80,IF('Consolidated Sales'!$C$2=11,'Sales Input'!M80,IF('Consolidated Sales'!$C$2=12,'Sales Input'!N80,IF('Consolidated Sales'!$C$2=13,'Sales Input'!O80,0)))))))))))))</f>
        <v>0</v>
      </c>
      <c r="D11" s="174">
        <f t="shared" si="0"/>
        <v>0</v>
      </c>
      <c r="E11" s="173">
        <f>IF('Consolidated Sales'!$C$2=1,'Sales Input'!C108,IF('Consolidated Sales'!$C$2=2,'Sales Input'!D108,IF('Consolidated Sales'!$C$2=3,'Sales Input'!E108,IF('Consolidated Sales'!$C$2=4,'Sales Input'!F108,IF('Consolidated Sales'!$C$2=5,'Sales Input'!G108,IF('Consolidated Sales'!$C$2=6,'Sales Input'!H108,IF('Consolidated Sales'!$C$2=7,'Sales Input'!I108,IF('Consolidated Sales'!$C$2=8,'Sales Input'!J108,IF('Consolidated Sales'!$C$2=9,'Sales Input'!K108,IF('Consolidated Sales'!$C$2=10,'Sales Input'!L108,IF('Consolidated Sales'!$C$2=11,'Sales Input'!M108,IF('Consolidated Sales'!$C$2=12,'Sales Input'!N108,IF('Consolidated Sales'!$C$2=13,'Sales Input'!O108,0)))))))))))))</f>
        <v>0</v>
      </c>
      <c r="F11" s="174">
        <f t="shared" si="1"/>
        <v>0</v>
      </c>
      <c r="G11" s="173">
        <f>IF('Consolidated Sales'!$C$2=1,'Sales Input'!C130,IF('Consolidated Sales'!$C$2=2,'Sales Input'!D130,IF('Consolidated Sales'!$C$2=3,'Sales Input'!E130,IF('Consolidated Sales'!$C$2=4,'Sales Input'!F130,IF('Consolidated Sales'!$C$2=5,'Sales Input'!G130,IF('Consolidated Sales'!$C$2=6,'Sales Input'!H130,IF('Consolidated Sales'!$C$2=7,'Sales Input'!I130,IF('Consolidated Sales'!$C$2=8,'Sales Input'!J130,IF('Consolidated Sales'!$C$2=9,'Sales Input'!K130,IF('Consolidated Sales'!$C$2=10,'Sales Input'!L130,IF('Consolidated Sales'!$C$2=11,'Sales Input'!M130,IF('Consolidated Sales'!$C$2=12,'Sales Input'!N130,IF('Consolidated Sales'!$C$2=13,'Sales Input'!O130,0)))))))))))))</f>
        <v>0</v>
      </c>
      <c r="H11" s="174">
        <f t="shared" si="2"/>
        <v>0</v>
      </c>
      <c r="I11" s="173">
        <f>IF('Consolidated Sales'!$C$2=1,'Sales Input'!C152,IF('Consolidated Sales'!$C$2=2,'Sales Input'!D152,IF('Consolidated Sales'!$C$2=3,'Sales Input'!E152,IF('Consolidated Sales'!$C$2=4,'Sales Input'!F152,IF('Consolidated Sales'!$C$2=5,'Sales Input'!G152,IF('Consolidated Sales'!$C$2=6,'Sales Input'!H152,IF('Consolidated Sales'!$C$2=7,'Sales Input'!I152,IF('Consolidated Sales'!$C$2=8,'Sales Input'!J152,IF('Consolidated Sales'!$C$2=9,'Sales Input'!K152,IF('Consolidated Sales'!$C$2=10,'Sales Input'!L152,IF('Consolidated Sales'!$C$2=11,'Sales Input'!M152,IF('Consolidated Sales'!$C$2=12,'Sales Input'!N152,IF('Consolidated Sales'!$C$2=13,'Sales Input'!O152,0)))))))))))))</f>
        <v>0</v>
      </c>
      <c r="J11" s="174">
        <f t="shared" si="3"/>
        <v>0</v>
      </c>
      <c r="K11" s="173">
        <f>IF('Consolidated Sales'!$C$2=1,'Sales Input'!C174,IF('Consolidated Sales'!$C$2=2,'Sales Input'!D174,IF('Consolidated Sales'!$C$2=3,'Sales Input'!E174,IF('Consolidated Sales'!$C$2=4,'Sales Input'!F174,IF('Consolidated Sales'!$C$2=5,'Sales Input'!G174,IF('Consolidated Sales'!$C$2=6,'Sales Input'!H174,IF('Consolidated Sales'!$C$2=7,'Sales Input'!I174,IF('Consolidated Sales'!$C$2=8,'Sales Input'!J174,IF('Consolidated Sales'!$C$2=9,'Sales Input'!K174,IF('Consolidated Sales'!$C$2=10,'Sales Input'!L174,IF('Consolidated Sales'!$C$2=11,'Sales Input'!M174,IF('Consolidated Sales'!$C$2=12,'Sales Input'!N174,IF('Consolidated Sales'!$C$2=13,'Sales Input'!O174,0)))))))))))))</f>
        <v>0</v>
      </c>
      <c r="L11" s="174">
        <f t="shared" si="4"/>
        <v>0</v>
      </c>
    </row>
    <row r="12" spans="1:12" ht="21.95" customHeight="1" x14ac:dyDescent="0.3">
      <c r="A12" s="141" t="s">
        <v>7</v>
      </c>
      <c r="B12" s="171" t="s">
        <v>33</v>
      </c>
      <c r="C12" s="173">
        <f>IF('Consolidated Sales'!$C$2=1,'Sales Input'!C81,IF('Consolidated Sales'!$C$2=2,'Sales Input'!D81,IF('Consolidated Sales'!$C$2=3,'Sales Input'!E81,IF('Consolidated Sales'!$C$2=4,'Sales Input'!F81,IF('Consolidated Sales'!$C$2=5,'Sales Input'!G81,IF('Consolidated Sales'!$C$2=6,'Sales Input'!H81,IF('Consolidated Sales'!$C$2=7,'Sales Input'!I81,IF('Consolidated Sales'!$C$2=8,'Sales Input'!J81,IF('Consolidated Sales'!$C$2=9,'Sales Input'!K81,IF('Consolidated Sales'!$C$2=10,'Sales Input'!L81,IF('Consolidated Sales'!$C$2=11,'Sales Input'!M81,IF('Consolidated Sales'!$C$2=12,'Sales Input'!N81,IF('Consolidated Sales'!$C$2=13,'Sales Input'!O81,0)))))))))))))</f>
        <v>0</v>
      </c>
      <c r="D12" s="174">
        <f t="shared" si="0"/>
        <v>0</v>
      </c>
      <c r="E12" s="173">
        <f>IF('Consolidated Sales'!$C$2=1,'Sales Input'!C109,IF('Consolidated Sales'!$C$2=2,'Sales Input'!D109,IF('Consolidated Sales'!$C$2=3,'Sales Input'!E109,IF('Consolidated Sales'!$C$2=4,'Sales Input'!F109,IF('Consolidated Sales'!$C$2=5,'Sales Input'!G109,IF('Consolidated Sales'!$C$2=6,'Sales Input'!H109,IF('Consolidated Sales'!$C$2=7,'Sales Input'!I109,IF('Consolidated Sales'!$C$2=8,'Sales Input'!J109,IF('Consolidated Sales'!$C$2=9,'Sales Input'!K109,IF('Consolidated Sales'!$C$2=10,'Sales Input'!L109,IF('Consolidated Sales'!$C$2=11,'Sales Input'!M109,IF('Consolidated Sales'!$C$2=12,'Sales Input'!N109,IF('Consolidated Sales'!$C$2=13,'Sales Input'!O109,0)))))))))))))</f>
        <v>0</v>
      </c>
      <c r="F12" s="174">
        <f t="shared" si="1"/>
        <v>0</v>
      </c>
      <c r="G12" s="173">
        <f>IF('Consolidated Sales'!$C$2=1,'Sales Input'!C131,IF('Consolidated Sales'!$C$2=2,'Sales Input'!D131,IF('Consolidated Sales'!$C$2=3,'Sales Input'!E131,IF('Consolidated Sales'!$C$2=4,'Sales Input'!F131,IF('Consolidated Sales'!$C$2=5,'Sales Input'!G131,IF('Consolidated Sales'!$C$2=6,'Sales Input'!H131,IF('Consolidated Sales'!$C$2=7,'Sales Input'!I131,IF('Consolidated Sales'!$C$2=8,'Sales Input'!J131,IF('Consolidated Sales'!$C$2=9,'Sales Input'!K131,IF('Consolidated Sales'!$C$2=10,'Sales Input'!L131,IF('Consolidated Sales'!$C$2=11,'Sales Input'!M131,IF('Consolidated Sales'!$C$2=12,'Sales Input'!N131,IF('Consolidated Sales'!$C$2=13,'Sales Input'!O131,0)))))))))))))</f>
        <v>0</v>
      </c>
      <c r="H12" s="174">
        <f t="shared" si="2"/>
        <v>0</v>
      </c>
      <c r="I12" s="173">
        <f>IF('Consolidated Sales'!$C$2=1,'Sales Input'!C153,IF('Consolidated Sales'!$C$2=2,'Sales Input'!D153,IF('Consolidated Sales'!$C$2=3,'Sales Input'!E153,IF('Consolidated Sales'!$C$2=4,'Sales Input'!F153,IF('Consolidated Sales'!$C$2=5,'Sales Input'!G153,IF('Consolidated Sales'!$C$2=6,'Sales Input'!H153,IF('Consolidated Sales'!$C$2=7,'Sales Input'!I153,IF('Consolidated Sales'!$C$2=8,'Sales Input'!J153,IF('Consolidated Sales'!$C$2=9,'Sales Input'!K153,IF('Consolidated Sales'!$C$2=10,'Sales Input'!L153,IF('Consolidated Sales'!$C$2=11,'Sales Input'!M153,IF('Consolidated Sales'!$C$2=12,'Sales Input'!N153,IF('Consolidated Sales'!$C$2=13,'Sales Input'!O153,0)))))))))))))</f>
        <v>0</v>
      </c>
      <c r="J12" s="174">
        <f t="shared" si="3"/>
        <v>0</v>
      </c>
      <c r="K12" s="173">
        <f>IF('Consolidated Sales'!$C$2=1,'Sales Input'!C175,IF('Consolidated Sales'!$C$2=2,'Sales Input'!D175,IF('Consolidated Sales'!$C$2=3,'Sales Input'!E175,IF('Consolidated Sales'!$C$2=4,'Sales Input'!F175,IF('Consolidated Sales'!$C$2=5,'Sales Input'!G175,IF('Consolidated Sales'!$C$2=6,'Sales Input'!H175,IF('Consolidated Sales'!$C$2=7,'Sales Input'!I175,IF('Consolidated Sales'!$C$2=8,'Sales Input'!J175,IF('Consolidated Sales'!$C$2=9,'Sales Input'!K175,IF('Consolidated Sales'!$C$2=10,'Sales Input'!L175,IF('Consolidated Sales'!$C$2=11,'Sales Input'!M175,IF('Consolidated Sales'!$C$2=12,'Sales Input'!N175,IF('Consolidated Sales'!$C$2=13,'Sales Input'!O175,0)))))))))))))</f>
        <v>0</v>
      </c>
      <c r="L12" s="174">
        <f t="shared" si="4"/>
        <v>0</v>
      </c>
    </row>
    <row r="13" spans="1:12" ht="21.95" customHeight="1" x14ac:dyDescent="0.3">
      <c r="A13" s="141" t="s">
        <v>7</v>
      </c>
      <c r="B13" s="171" t="s">
        <v>70</v>
      </c>
      <c r="C13" s="173">
        <f>IF('Consolidated Sales'!$C$2=1,'Sales Input'!C82,IF('Consolidated Sales'!$C$2=2,'Sales Input'!D82,IF('Consolidated Sales'!$C$2=3,'Sales Input'!E82,IF('Consolidated Sales'!$C$2=4,'Sales Input'!F82,IF('Consolidated Sales'!$C$2=5,'Sales Input'!G82,IF('Consolidated Sales'!$C$2=6,'Sales Input'!H82,IF('Consolidated Sales'!$C$2=7,'Sales Input'!I82,IF('Consolidated Sales'!$C$2=8,'Sales Input'!J82,IF('Consolidated Sales'!$C$2=9,'Sales Input'!K82,IF('Consolidated Sales'!$C$2=10,'Sales Input'!L82,IF('Consolidated Sales'!$C$2=11,'Sales Input'!M82,IF('Consolidated Sales'!$C$2=12,'Sales Input'!N82,IF('Consolidated Sales'!$C$2=13,'Sales Input'!O82,0)))))))))))))</f>
        <v>3323620.49</v>
      </c>
      <c r="D13" s="174">
        <f t="shared" si="0"/>
        <v>0</v>
      </c>
      <c r="E13" s="173">
        <f>IF('Consolidated Sales'!$C$2=1,'Sales Input'!C110,IF('Consolidated Sales'!$C$2=2,'Sales Input'!D110,IF('Consolidated Sales'!$C$2=3,'Sales Input'!E110,IF('Consolidated Sales'!$C$2=4,'Sales Input'!F110,IF('Consolidated Sales'!$C$2=5,'Sales Input'!G110,IF('Consolidated Sales'!$C$2=6,'Sales Input'!H110,IF('Consolidated Sales'!$C$2=7,'Sales Input'!I110,IF('Consolidated Sales'!$C$2=8,'Sales Input'!J110,IF('Consolidated Sales'!$C$2=9,'Sales Input'!K110,IF('Consolidated Sales'!$C$2=10,'Sales Input'!L110,IF('Consolidated Sales'!$C$2=11,'Sales Input'!M110,IF('Consolidated Sales'!$C$2=12,'Sales Input'!N110,IF('Consolidated Sales'!$C$2=13,'Sales Input'!O110,0)))))))))))))</f>
        <v>0</v>
      </c>
      <c r="F13" s="174">
        <f t="shared" si="1"/>
        <v>0</v>
      </c>
      <c r="G13" s="173">
        <f>IF('Consolidated Sales'!$C$2=1,'Sales Input'!C132,IF('Consolidated Sales'!$C$2=2,'Sales Input'!D132,IF('Consolidated Sales'!$C$2=3,'Sales Input'!E132,IF('Consolidated Sales'!$C$2=4,'Sales Input'!F132,IF('Consolidated Sales'!$C$2=5,'Sales Input'!G132,IF('Consolidated Sales'!$C$2=6,'Sales Input'!H132,IF('Consolidated Sales'!$C$2=7,'Sales Input'!I132,IF('Consolidated Sales'!$C$2=8,'Sales Input'!J132,IF('Consolidated Sales'!$C$2=9,'Sales Input'!K132,IF('Consolidated Sales'!$C$2=10,'Sales Input'!L132,IF('Consolidated Sales'!$C$2=11,'Sales Input'!M132,IF('Consolidated Sales'!$C$2=12,'Sales Input'!N132,IF('Consolidated Sales'!$C$2=13,'Sales Input'!O132,0)))))))))))))</f>
        <v>3323620.49</v>
      </c>
      <c r="H13" s="174">
        <f t="shared" si="2"/>
        <v>0</v>
      </c>
      <c r="I13" s="173">
        <f>IF('Consolidated Sales'!$C$2=1,'Sales Input'!C154,IF('Consolidated Sales'!$C$2=2,'Sales Input'!D154,IF('Consolidated Sales'!$C$2=3,'Sales Input'!E154,IF('Consolidated Sales'!$C$2=4,'Sales Input'!F154,IF('Consolidated Sales'!$C$2=5,'Sales Input'!G154,IF('Consolidated Sales'!$C$2=6,'Sales Input'!H154,IF('Consolidated Sales'!$C$2=7,'Sales Input'!I154,IF('Consolidated Sales'!$C$2=8,'Sales Input'!J154,IF('Consolidated Sales'!$C$2=9,'Sales Input'!K154,IF('Consolidated Sales'!$C$2=10,'Sales Input'!L154,IF('Consolidated Sales'!$C$2=11,'Sales Input'!M154,IF('Consolidated Sales'!$C$2=12,'Sales Input'!N154,IF('Consolidated Sales'!$C$2=13,'Sales Input'!O154,0)))))))))))))</f>
        <v>0</v>
      </c>
      <c r="J13" s="174">
        <f t="shared" si="3"/>
        <v>0</v>
      </c>
      <c r="K13" s="173">
        <f>IF('Consolidated Sales'!$C$2=1,'Sales Input'!C176,IF('Consolidated Sales'!$C$2=2,'Sales Input'!D176,IF('Consolidated Sales'!$C$2=3,'Sales Input'!E176,IF('Consolidated Sales'!$C$2=4,'Sales Input'!F176,IF('Consolidated Sales'!$C$2=5,'Sales Input'!G176,IF('Consolidated Sales'!$C$2=6,'Sales Input'!H176,IF('Consolidated Sales'!$C$2=7,'Sales Input'!I176,IF('Consolidated Sales'!$C$2=8,'Sales Input'!J176,IF('Consolidated Sales'!$C$2=9,'Sales Input'!K176,IF('Consolidated Sales'!$C$2=10,'Sales Input'!L176,IF('Consolidated Sales'!$C$2=11,'Sales Input'!M176,IF('Consolidated Sales'!$C$2=12,'Sales Input'!N176,IF('Consolidated Sales'!$C$2=13,'Sales Input'!O176,0)))))))))))))</f>
        <v>0</v>
      </c>
      <c r="L13" s="174">
        <f t="shared" si="4"/>
        <v>0</v>
      </c>
    </row>
    <row r="14" spans="1:12" ht="21.95" customHeight="1" x14ac:dyDescent="0.3">
      <c r="A14" s="141" t="s">
        <v>7</v>
      </c>
      <c r="B14" s="171" t="s">
        <v>23</v>
      </c>
      <c r="C14" s="173">
        <f>IF('Consolidated Sales'!$C$2=1,'Sales Input'!C83,IF('Consolidated Sales'!$C$2=2,'Sales Input'!D83,IF('Consolidated Sales'!$C$2=3,'Sales Input'!E83,IF('Consolidated Sales'!$C$2=4,'Sales Input'!F83,IF('Consolidated Sales'!$C$2=5,'Sales Input'!G83,IF('Consolidated Sales'!$C$2=6,'Sales Input'!H83,IF('Consolidated Sales'!$C$2=7,'Sales Input'!I83,IF('Consolidated Sales'!$C$2=8,'Sales Input'!J83,IF('Consolidated Sales'!$C$2=9,'Sales Input'!K83,IF('Consolidated Sales'!$C$2=10,'Sales Input'!L83,IF('Consolidated Sales'!$C$2=11,'Sales Input'!M83,IF('Consolidated Sales'!$C$2=12,'Sales Input'!N83,IF('Consolidated Sales'!$C$2=13,'Sales Input'!O83,0)))))))))))))</f>
        <v>0</v>
      </c>
      <c r="D14" s="174">
        <f t="shared" si="0"/>
        <v>0</v>
      </c>
      <c r="E14" s="173">
        <f>IF('Consolidated Sales'!$C$2=1,'Sales Input'!C111,IF('Consolidated Sales'!$C$2=2,'Sales Input'!D111,IF('Consolidated Sales'!$C$2=3,'Sales Input'!E111,IF('Consolidated Sales'!$C$2=4,'Sales Input'!F111,IF('Consolidated Sales'!$C$2=5,'Sales Input'!G111,IF('Consolidated Sales'!$C$2=6,'Sales Input'!H111,IF('Consolidated Sales'!$C$2=7,'Sales Input'!I111,IF('Consolidated Sales'!$C$2=8,'Sales Input'!J111,IF('Consolidated Sales'!$C$2=9,'Sales Input'!K111,IF('Consolidated Sales'!$C$2=10,'Sales Input'!L111,IF('Consolidated Sales'!$C$2=11,'Sales Input'!M111,IF('Consolidated Sales'!$C$2=12,'Sales Input'!N111,IF('Consolidated Sales'!$C$2=13,'Sales Input'!O111,0)))))))))))))</f>
        <v>0</v>
      </c>
      <c r="F14" s="174">
        <f t="shared" si="1"/>
        <v>0</v>
      </c>
      <c r="G14" s="173">
        <f>IF('Consolidated Sales'!$C$2=1,'Sales Input'!C133,IF('Consolidated Sales'!$C$2=2,'Sales Input'!D133,IF('Consolidated Sales'!$C$2=3,'Sales Input'!E133,IF('Consolidated Sales'!$C$2=4,'Sales Input'!F133,IF('Consolidated Sales'!$C$2=5,'Sales Input'!G133,IF('Consolidated Sales'!$C$2=6,'Sales Input'!H133,IF('Consolidated Sales'!$C$2=7,'Sales Input'!I133,IF('Consolidated Sales'!$C$2=8,'Sales Input'!J133,IF('Consolidated Sales'!$C$2=9,'Sales Input'!K133,IF('Consolidated Sales'!$C$2=10,'Sales Input'!L133,IF('Consolidated Sales'!$C$2=11,'Sales Input'!M133,IF('Consolidated Sales'!$C$2=12,'Sales Input'!N133,IF('Consolidated Sales'!$C$2=13,'Sales Input'!O133,0)))))))))))))</f>
        <v>0</v>
      </c>
      <c r="H14" s="174">
        <f t="shared" si="2"/>
        <v>0</v>
      </c>
      <c r="I14" s="173">
        <f>IF('Consolidated Sales'!$C$2=1,'Sales Input'!C155,IF('Consolidated Sales'!$C$2=2,'Sales Input'!D155,IF('Consolidated Sales'!$C$2=3,'Sales Input'!E155,IF('Consolidated Sales'!$C$2=4,'Sales Input'!F155,IF('Consolidated Sales'!$C$2=5,'Sales Input'!G155,IF('Consolidated Sales'!$C$2=6,'Sales Input'!H155,IF('Consolidated Sales'!$C$2=7,'Sales Input'!I155,IF('Consolidated Sales'!$C$2=8,'Sales Input'!J155,IF('Consolidated Sales'!$C$2=9,'Sales Input'!K155,IF('Consolidated Sales'!$C$2=10,'Sales Input'!L155,IF('Consolidated Sales'!$C$2=11,'Sales Input'!M155,IF('Consolidated Sales'!$C$2=12,'Sales Input'!N155,IF('Consolidated Sales'!$C$2=13,'Sales Input'!O155,0)))))))))))))</f>
        <v>0</v>
      </c>
      <c r="J14" s="174">
        <f t="shared" si="3"/>
        <v>0</v>
      </c>
      <c r="K14" s="173">
        <f>IF('Consolidated Sales'!$C$2=1,'Sales Input'!C177,IF('Consolidated Sales'!$C$2=2,'Sales Input'!D177,IF('Consolidated Sales'!$C$2=3,'Sales Input'!E177,IF('Consolidated Sales'!$C$2=4,'Sales Input'!F177,IF('Consolidated Sales'!$C$2=5,'Sales Input'!G177,IF('Consolidated Sales'!$C$2=6,'Sales Input'!H177,IF('Consolidated Sales'!$C$2=7,'Sales Input'!I177,IF('Consolidated Sales'!$C$2=8,'Sales Input'!J177,IF('Consolidated Sales'!$C$2=9,'Sales Input'!K177,IF('Consolidated Sales'!$C$2=10,'Sales Input'!L177,IF('Consolidated Sales'!$C$2=11,'Sales Input'!M177,IF('Consolidated Sales'!$C$2=12,'Sales Input'!N177,IF('Consolidated Sales'!$C$2=13,'Sales Input'!O177,0)))))))))))))</f>
        <v>0</v>
      </c>
      <c r="L14" s="174">
        <f t="shared" si="4"/>
        <v>0</v>
      </c>
    </row>
    <row r="15" spans="1:12" ht="21.95" customHeight="1" x14ac:dyDescent="0.3">
      <c r="A15" s="141" t="s">
        <v>7</v>
      </c>
      <c r="B15" s="171" t="s">
        <v>24</v>
      </c>
      <c r="C15" s="173">
        <f>IF('Consolidated Sales'!$C$2=1,'Sales Input'!C84,IF('Consolidated Sales'!$C$2=2,'Sales Input'!D84,IF('Consolidated Sales'!$C$2=3,'Sales Input'!E84,IF('Consolidated Sales'!$C$2=4,'Sales Input'!F84,IF('Consolidated Sales'!$C$2=5,'Sales Input'!G84,IF('Consolidated Sales'!$C$2=6,'Sales Input'!H84,IF('Consolidated Sales'!$C$2=7,'Sales Input'!I84,IF('Consolidated Sales'!$C$2=8,'Sales Input'!J84,IF('Consolidated Sales'!$C$2=9,'Sales Input'!K84,IF('Consolidated Sales'!$C$2=10,'Sales Input'!L84,IF('Consolidated Sales'!$C$2=11,'Sales Input'!M84,IF('Consolidated Sales'!$C$2=12,'Sales Input'!N84,IF('Consolidated Sales'!$C$2=13,'Sales Input'!O84,0)))))))))))))</f>
        <v>0</v>
      </c>
      <c r="D15" s="174">
        <f t="shared" si="0"/>
        <v>0</v>
      </c>
      <c r="E15" s="173">
        <f>IF('Consolidated Sales'!$C$2=1,'Sales Input'!C112,IF('Consolidated Sales'!$C$2=2,'Sales Input'!D112,IF('Consolidated Sales'!$C$2=3,'Sales Input'!E112,IF('Consolidated Sales'!$C$2=4,'Sales Input'!F112,IF('Consolidated Sales'!$C$2=5,'Sales Input'!G112,IF('Consolidated Sales'!$C$2=6,'Sales Input'!H112,IF('Consolidated Sales'!$C$2=7,'Sales Input'!I112,IF('Consolidated Sales'!$C$2=8,'Sales Input'!J112,IF('Consolidated Sales'!$C$2=9,'Sales Input'!K112,IF('Consolidated Sales'!$C$2=10,'Sales Input'!L112,IF('Consolidated Sales'!$C$2=11,'Sales Input'!M112,IF('Consolidated Sales'!$C$2=12,'Sales Input'!N112,IF('Consolidated Sales'!$C$2=13,'Sales Input'!O112,0)))))))))))))</f>
        <v>0</v>
      </c>
      <c r="F15" s="174">
        <f t="shared" si="1"/>
        <v>0</v>
      </c>
      <c r="G15" s="173">
        <f>IF('Consolidated Sales'!$C$2=1,'Sales Input'!C134,IF('Consolidated Sales'!$C$2=2,'Sales Input'!D134,IF('Consolidated Sales'!$C$2=3,'Sales Input'!E134,IF('Consolidated Sales'!$C$2=4,'Sales Input'!F134,IF('Consolidated Sales'!$C$2=5,'Sales Input'!G134,IF('Consolidated Sales'!$C$2=6,'Sales Input'!H134,IF('Consolidated Sales'!$C$2=7,'Sales Input'!I134,IF('Consolidated Sales'!$C$2=8,'Sales Input'!J134,IF('Consolidated Sales'!$C$2=9,'Sales Input'!K134,IF('Consolidated Sales'!$C$2=10,'Sales Input'!L134,IF('Consolidated Sales'!$C$2=11,'Sales Input'!M134,IF('Consolidated Sales'!$C$2=12,'Sales Input'!N134,IF('Consolidated Sales'!$C$2=13,'Sales Input'!O134,0)))))))))))))</f>
        <v>0</v>
      </c>
      <c r="H15" s="174">
        <f t="shared" si="2"/>
        <v>0</v>
      </c>
      <c r="I15" s="173">
        <f>IF('Consolidated Sales'!$C$2=1,'Sales Input'!C156,IF('Consolidated Sales'!$C$2=2,'Sales Input'!D156,IF('Consolidated Sales'!$C$2=3,'Sales Input'!E156,IF('Consolidated Sales'!$C$2=4,'Sales Input'!F156,IF('Consolidated Sales'!$C$2=5,'Sales Input'!G156,IF('Consolidated Sales'!$C$2=6,'Sales Input'!H156,IF('Consolidated Sales'!$C$2=7,'Sales Input'!I156,IF('Consolidated Sales'!$C$2=8,'Sales Input'!J156,IF('Consolidated Sales'!$C$2=9,'Sales Input'!K156,IF('Consolidated Sales'!$C$2=10,'Sales Input'!L156,IF('Consolidated Sales'!$C$2=11,'Sales Input'!M156,IF('Consolidated Sales'!$C$2=12,'Sales Input'!N156,IF('Consolidated Sales'!$C$2=13,'Sales Input'!O156,0)))))))))))))</f>
        <v>0</v>
      </c>
      <c r="J15" s="174">
        <f t="shared" si="3"/>
        <v>0</v>
      </c>
      <c r="K15" s="173">
        <f>IF('Consolidated Sales'!$C$2=1,'Sales Input'!C178,IF('Consolidated Sales'!$C$2=2,'Sales Input'!D178,IF('Consolidated Sales'!$C$2=3,'Sales Input'!E178,IF('Consolidated Sales'!$C$2=4,'Sales Input'!F178,IF('Consolidated Sales'!$C$2=5,'Sales Input'!G178,IF('Consolidated Sales'!$C$2=6,'Sales Input'!H178,IF('Consolidated Sales'!$C$2=7,'Sales Input'!I178,IF('Consolidated Sales'!$C$2=8,'Sales Input'!J178,IF('Consolidated Sales'!$C$2=9,'Sales Input'!K178,IF('Consolidated Sales'!$C$2=10,'Sales Input'!L178,IF('Consolidated Sales'!$C$2=11,'Sales Input'!M178,IF('Consolidated Sales'!$C$2=12,'Sales Input'!N178,IF('Consolidated Sales'!$C$2=13,'Sales Input'!O178,0)))))))))))))</f>
        <v>0</v>
      </c>
      <c r="L15" s="174">
        <f t="shared" si="4"/>
        <v>0</v>
      </c>
    </row>
    <row r="16" spans="1:12" ht="21.95" customHeight="1" x14ac:dyDescent="0.3">
      <c r="A16" s="141" t="s">
        <v>7</v>
      </c>
      <c r="B16" s="171" t="s">
        <v>51</v>
      </c>
      <c r="C16" s="173">
        <f>IF('Consolidated Sales'!$C$2=1,'Sales Input'!C85,IF('Consolidated Sales'!$C$2=2,'Sales Input'!D85,IF('Consolidated Sales'!$C$2=3,'Sales Input'!E85,IF('Consolidated Sales'!$C$2=4,'Sales Input'!F85,IF('Consolidated Sales'!$C$2=5,'Sales Input'!G85,IF('Consolidated Sales'!$C$2=6,'Sales Input'!H85,IF('Consolidated Sales'!$C$2=7,'Sales Input'!I85,IF('Consolidated Sales'!$C$2=8,'Sales Input'!J85,IF('Consolidated Sales'!$C$2=9,'Sales Input'!K85,IF('Consolidated Sales'!$C$2=10,'Sales Input'!L85,IF('Consolidated Sales'!$C$2=11,'Sales Input'!M85,IF('Consolidated Sales'!$C$2=12,'Sales Input'!N85,IF('Consolidated Sales'!$C$2=13,'Sales Input'!O85,0)))))))))))))</f>
        <v>0</v>
      </c>
      <c r="D16" s="174">
        <f t="shared" si="0"/>
        <v>0</v>
      </c>
      <c r="E16" s="173">
        <f>IF('Consolidated Sales'!$C$2=1,'Sales Input'!C113,IF('Consolidated Sales'!$C$2=2,'Sales Input'!D113,IF('Consolidated Sales'!$C$2=3,'Sales Input'!E113,IF('Consolidated Sales'!$C$2=4,'Sales Input'!F113,IF('Consolidated Sales'!$C$2=5,'Sales Input'!G113,IF('Consolidated Sales'!$C$2=6,'Sales Input'!H113,IF('Consolidated Sales'!$C$2=7,'Sales Input'!I113,IF('Consolidated Sales'!$C$2=8,'Sales Input'!J113,IF('Consolidated Sales'!$C$2=9,'Sales Input'!K113,IF('Consolidated Sales'!$C$2=10,'Sales Input'!L113,IF('Consolidated Sales'!$C$2=11,'Sales Input'!M113,IF('Consolidated Sales'!$C$2=12,'Sales Input'!N113,IF('Consolidated Sales'!$C$2=13,'Sales Input'!O113,0)))))))))))))</f>
        <v>0</v>
      </c>
      <c r="F16" s="174">
        <f t="shared" si="1"/>
        <v>0</v>
      </c>
      <c r="G16" s="173">
        <f>IF('Consolidated Sales'!$C$2=1,'Sales Input'!C135,IF('Consolidated Sales'!$C$2=2,'Sales Input'!D135,IF('Consolidated Sales'!$C$2=3,'Sales Input'!E135,IF('Consolidated Sales'!$C$2=4,'Sales Input'!F135,IF('Consolidated Sales'!$C$2=5,'Sales Input'!G135,IF('Consolidated Sales'!$C$2=6,'Sales Input'!H135,IF('Consolidated Sales'!$C$2=7,'Sales Input'!I135,IF('Consolidated Sales'!$C$2=8,'Sales Input'!J135,IF('Consolidated Sales'!$C$2=9,'Sales Input'!K135,IF('Consolidated Sales'!$C$2=10,'Sales Input'!L135,IF('Consolidated Sales'!$C$2=11,'Sales Input'!M135,IF('Consolidated Sales'!$C$2=12,'Sales Input'!N135,IF('Consolidated Sales'!$C$2=13,'Sales Input'!O135,0)))))))))))))</f>
        <v>0</v>
      </c>
      <c r="H16" s="174">
        <f t="shared" si="2"/>
        <v>0</v>
      </c>
      <c r="I16" s="173">
        <f>IF('Consolidated Sales'!$C$2=1,'Sales Input'!C157,IF('Consolidated Sales'!$C$2=2,'Sales Input'!D157,IF('Consolidated Sales'!$C$2=3,'Sales Input'!E157,IF('Consolidated Sales'!$C$2=4,'Sales Input'!F157,IF('Consolidated Sales'!$C$2=5,'Sales Input'!G157,IF('Consolidated Sales'!$C$2=6,'Sales Input'!H157,IF('Consolidated Sales'!$C$2=7,'Sales Input'!I157,IF('Consolidated Sales'!$C$2=8,'Sales Input'!J157,IF('Consolidated Sales'!$C$2=9,'Sales Input'!K157,IF('Consolidated Sales'!$C$2=10,'Sales Input'!L157,IF('Consolidated Sales'!$C$2=11,'Sales Input'!M157,IF('Consolidated Sales'!$C$2=12,'Sales Input'!N157,IF('Consolidated Sales'!$C$2=13,'Sales Input'!O157,0)))))))))))))</f>
        <v>0</v>
      </c>
      <c r="J16" s="174">
        <f t="shared" si="3"/>
        <v>0</v>
      </c>
      <c r="K16" s="173">
        <f>IF('Consolidated Sales'!$C$2=1,'Sales Input'!C179,IF('Consolidated Sales'!$C$2=2,'Sales Input'!D179,IF('Consolidated Sales'!$C$2=3,'Sales Input'!E179,IF('Consolidated Sales'!$C$2=4,'Sales Input'!F179,IF('Consolidated Sales'!$C$2=5,'Sales Input'!G179,IF('Consolidated Sales'!$C$2=6,'Sales Input'!H179,IF('Consolidated Sales'!$C$2=7,'Sales Input'!I179,IF('Consolidated Sales'!$C$2=8,'Sales Input'!J179,IF('Consolidated Sales'!$C$2=9,'Sales Input'!K179,IF('Consolidated Sales'!$C$2=10,'Sales Input'!L179,IF('Consolidated Sales'!$C$2=11,'Sales Input'!M179,IF('Consolidated Sales'!$C$2=12,'Sales Input'!N179,IF('Consolidated Sales'!$C$2=13,'Sales Input'!O179,0)))))))))))))</f>
        <v>0</v>
      </c>
      <c r="L16" s="174">
        <f t="shared" si="4"/>
        <v>0</v>
      </c>
    </row>
    <row r="17" spans="1:12" ht="21.95" customHeight="1" x14ac:dyDescent="0.3">
      <c r="A17" s="141" t="s">
        <v>7</v>
      </c>
      <c r="B17" s="171" t="s">
        <v>63</v>
      </c>
      <c r="C17" s="173">
        <f>IF('Consolidated Sales'!$C$2=1,'Sales Input'!C86,IF('Consolidated Sales'!$C$2=2,'Sales Input'!D86,IF('Consolidated Sales'!$C$2=3,'Sales Input'!E86,IF('Consolidated Sales'!$C$2=4,'Sales Input'!F86,IF('Consolidated Sales'!$C$2=5,'Sales Input'!G86,IF('Consolidated Sales'!$C$2=6,'Sales Input'!H86,IF('Consolidated Sales'!$C$2=7,'Sales Input'!I86,IF('Consolidated Sales'!$C$2=8,'Sales Input'!J86,IF('Consolidated Sales'!$C$2=9,'Sales Input'!K86,IF('Consolidated Sales'!$C$2=10,'Sales Input'!L86,IF('Consolidated Sales'!$C$2=11,'Sales Input'!M86,IF('Consolidated Sales'!$C$2=12,'Sales Input'!N86,IF('Consolidated Sales'!$C$2=13,'Sales Input'!O86,0)))))))))))))</f>
        <v>647850</v>
      </c>
      <c r="D17" s="174">
        <f t="shared" si="0"/>
        <v>0</v>
      </c>
      <c r="E17" s="173">
        <f>IF('Consolidated Sales'!$C$2=1,'Sales Input'!C114,IF('Consolidated Sales'!$C$2=2,'Sales Input'!D114,IF('Consolidated Sales'!$C$2=3,'Sales Input'!E114,IF('Consolidated Sales'!$C$2=4,'Sales Input'!F114,IF('Consolidated Sales'!$C$2=5,'Sales Input'!G114,IF('Consolidated Sales'!$C$2=6,'Sales Input'!H114,IF('Consolidated Sales'!$C$2=7,'Sales Input'!I114,IF('Consolidated Sales'!$C$2=8,'Sales Input'!J114,IF('Consolidated Sales'!$C$2=9,'Sales Input'!K114,IF('Consolidated Sales'!$C$2=10,'Sales Input'!L114,IF('Consolidated Sales'!$C$2=11,'Sales Input'!M114,IF('Consolidated Sales'!$C$2=12,'Sales Input'!N114,IF('Consolidated Sales'!$C$2=13,'Sales Input'!O114,0)))))))))))))</f>
        <v>0</v>
      </c>
      <c r="F17" s="174">
        <f t="shared" si="1"/>
        <v>0</v>
      </c>
      <c r="G17" s="173">
        <f>IF('Consolidated Sales'!$C$2=1,'Sales Input'!C136,IF('Consolidated Sales'!$C$2=2,'Sales Input'!D136,IF('Consolidated Sales'!$C$2=3,'Sales Input'!E136,IF('Consolidated Sales'!$C$2=4,'Sales Input'!F136,IF('Consolidated Sales'!$C$2=5,'Sales Input'!G136,IF('Consolidated Sales'!$C$2=6,'Sales Input'!H136,IF('Consolidated Sales'!$C$2=7,'Sales Input'!I136,IF('Consolidated Sales'!$C$2=8,'Sales Input'!J136,IF('Consolidated Sales'!$C$2=9,'Sales Input'!K136,IF('Consolidated Sales'!$C$2=10,'Sales Input'!L136,IF('Consolidated Sales'!$C$2=11,'Sales Input'!M136,IF('Consolidated Sales'!$C$2=12,'Sales Input'!N136,IF('Consolidated Sales'!$C$2=13,'Sales Input'!O136,0)))))))))))))</f>
        <v>647850</v>
      </c>
      <c r="H17" s="174">
        <f t="shared" si="2"/>
        <v>0</v>
      </c>
      <c r="I17" s="173">
        <f>IF('Consolidated Sales'!$C$2=1,'Sales Input'!C158,IF('Consolidated Sales'!$C$2=2,'Sales Input'!D158,IF('Consolidated Sales'!$C$2=3,'Sales Input'!E158,IF('Consolidated Sales'!$C$2=4,'Sales Input'!F158,IF('Consolidated Sales'!$C$2=5,'Sales Input'!G158,IF('Consolidated Sales'!$C$2=6,'Sales Input'!H158,IF('Consolidated Sales'!$C$2=7,'Sales Input'!I158,IF('Consolidated Sales'!$C$2=8,'Sales Input'!J158,IF('Consolidated Sales'!$C$2=9,'Sales Input'!K158,IF('Consolidated Sales'!$C$2=10,'Sales Input'!L158,IF('Consolidated Sales'!$C$2=11,'Sales Input'!M158,IF('Consolidated Sales'!$C$2=12,'Sales Input'!N158,IF('Consolidated Sales'!$C$2=13,'Sales Input'!O158,0)))))))))))))</f>
        <v>0</v>
      </c>
      <c r="J17" s="174">
        <f t="shared" si="3"/>
        <v>0</v>
      </c>
      <c r="K17" s="173">
        <f>IF('Consolidated Sales'!$C$2=1,'Sales Input'!C180,IF('Consolidated Sales'!$C$2=2,'Sales Input'!D180,IF('Consolidated Sales'!$C$2=3,'Sales Input'!E180,IF('Consolidated Sales'!$C$2=4,'Sales Input'!F180,IF('Consolidated Sales'!$C$2=5,'Sales Input'!G180,IF('Consolidated Sales'!$C$2=6,'Sales Input'!H180,IF('Consolidated Sales'!$C$2=7,'Sales Input'!I180,IF('Consolidated Sales'!$C$2=8,'Sales Input'!J180,IF('Consolidated Sales'!$C$2=9,'Sales Input'!K180,IF('Consolidated Sales'!$C$2=10,'Sales Input'!L180,IF('Consolidated Sales'!$C$2=11,'Sales Input'!M180,IF('Consolidated Sales'!$C$2=12,'Sales Input'!N180,IF('Consolidated Sales'!$C$2=13,'Sales Input'!O180,0)))))))))))))</f>
        <v>0</v>
      </c>
      <c r="L17" s="174">
        <f t="shared" si="4"/>
        <v>0</v>
      </c>
    </row>
    <row r="18" spans="1:12" ht="21.95" customHeight="1" x14ac:dyDescent="0.3">
      <c r="A18" s="141" t="s">
        <v>7</v>
      </c>
      <c r="B18" s="171" t="s">
        <v>46</v>
      </c>
      <c r="C18" s="173">
        <f>IF('Consolidated Sales'!$C$2=1,'Sales Input'!C87,IF('Consolidated Sales'!$C$2=2,'Sales Input'!D87,IF('Consolidated Sales'!$C$2=3,'Sales Input'!E87,IF('Consolidated Sales'!$C$2=4,'Sales Input'!F87,IF('Consolidated Sales'!$C$2=5,'Sales Input'!G87,IF('Consolidated Sales'!$C$2=6,'Sales Input'!H87,IF('Consolidated Sales'!$C$2=7,'Sales Input'!I87,IF('Consolidated Sales'!$C$2=8,'Sales Input'!J87,IF('Consolidated Sales'!$C$2=9,'Sales Input'!K87,IF('Consolidated Sales'!$C$2=10,'Sales Input'!L87,IF('Consolidated Sales'!$C$2=11,'Sales Input'!M87,IF('Consolidated Sales'!$C$2=12,'Sales Input'!N87,IF('Consolidated Sales'!$C$2=13,'Sales Input'!O87,0)))))))))))))</f>
        <v>736199.99</v>
      </c>
      <c r="D18" s="174">
        <f t="shared" si="0"/>
        <v>0</v>
      </c>
      <c r="E18" s="173">
        <f>IF('Consolidated Sales'!$C$2=1,'Sales Input'!C115,IF('Consolidated Sales'!$C$2=2,'Sales Input'!D115,IF('Consolidated Sales'!$C$2=3,'Sales Input'!E115,IF('Consolidated Sales'!$C$2=4,'Sales Input'!F115,IF('Consolidated Sales'!$C$2=5,'Sales Input'!G115,IF('Consolidated Sales'!$C$2=6,'Sales Input'!H115,IF('Consolidated Sales'!$C$2=7,'Sales Input'!I115,IF('Consolidated Sales'!$C$2=8,'Sales Input'!J115,IF('Consolidated Sales'!$C$2=9,'Sales Input'!K115,IF('Consolidated Sales'!$C$2=10,'Sales Input'!L115,IF('Consolidated Sales'!$C$2=11,'Sales Input'!M115,IF('Consolidated Sales'!$C$2=12,'Sales Input'!N115,IF('Consolidated Sales'!$C$2=13,'Sales Input'!O115,0)))))))))))))</f>
        <v>0</v>
      </c>
      <c r="F18" s="174">
        <f t="shared" si="1"/>
        <v>0</v>
      </c>
      <c r="G18" s="173">
        <f>IF('Consolidated Sales'!$C$2=1,'Sales Input'!C137,IF('Consolidated Sales'!$C$2=2,'Sales Input'!D137,IF('Consolidated Sales'!$C$2=3,'Sales Input'!E137,IF('Consolidated Sales'!$C$2=4,'Sales Input'!F137,IF('Consolidated Sales'!$C$2=5,'Sales Input'!G137,IF('Consolidated Sales'!$C$2=6,'Sales Input'!H137,IF('Consolidated Sales'!$C$2=7,'Sales Input'!I137,IF('Consolidated Sales'!$C$2=8,'Sales Input'!J137,IF('Consolidated Sales'!$C$2=9,'Sales Input'!K137,IF('Consolidated Sales'!$C$2=10,'Sales Input'!L137,IF('Consolidated Sales'!$C$2=11,'Sales Input'!M137,IF('Consolidated Sales'!$C$2=12,'Sales Input'!N137,IF('Consolidated Sales'!$C$2=13,'Sales Input'!O137,0)))))))))))))</f>
        <v>736199.99</v>
      </c>
      <c r="H18" s="174">
        <f t="shared" si="2"/>
        <v>0</v>
      </c>
      <c r="I18" s="173">
        <f>IF('Consolidated Sales'!$C$2=1,'Sales Input'!C159,IF('Consolidated Sales'!$C$2=2,'Sales Input'!D159,IF('Consolidated Sales'!$C$2=3,'Sales Input'!E159,IF('Consolidated Sales'!$C$2=4,'Sales Input'!F159,IF('Consolidated Sales'!$C$2=5,'Sales Input'!G159,IF('Consolidated Sales'!$C$2=6,'Sales Input'!H159,IF('Consolidated Sales'!$C$2=7,'Sales Input'!I159,IF('Consolidated Sales'!$C$2=8,'Sales Input'!J159,IF('Consolidated Sales'!$C$2=9,'Sales Input'!K159,IF('Consolidated Sales'!$C$2=10,'Sales Input'!L159,IF('Consolidated Sales'!$C$2=11,'Sales Input'!M159,IF('Consolidated Sales'!$C$2=12,'Sales Input'!N159,IF('Consolidated Sales'!$C$2=13,'Sales Input'!O159,0)))))))))))))</f>
        <v>0</v>
      </c>
      <c r="J18" s="174">
        <f t="shared" si="3"/>
        <v>0</v>
      </c>
      <c r="K18" s="173">
        <f>IF('Consolidated Sales'!$C$2=1,'Sales Input'!C181,IF('Consolidated Sales'!$C$2=2,'Sales Input'!D181,IF('Consolidated Sales'!$C$2=3,'Sales Input'!E181,IF('Consolidated Sales'!$C$2=4,'Sales Input'!F181,IF('Consolidated Sales'!$C$2=5,'Sales Input'!G181,IF('Consolidated Sales'!$C$2=6,'Sales Input'!H181,IF('Consolidated Sales'!$C$2=7,'Sales Input'!I181,IF('Consolidated Sales'!$C$2=8,'Sales Input'!J181,IF('Consolidated Sales'!$C$2=9,'Sales Input'!K181,IF('Consolidated Sales'!$C$2=10,'Sales Input'!L181,IF('Consolidated Sales'!$C$2=11,'Sales Input'!M181,IF('Consolidated Sales'!$C$2=12,'Sales Input'!N181,IF('Consolidated Sales'!$C$2=13,'Sales Input'!O181,0)))))))))))))</f>
        <v>0</v>
      </c>
      <c r="L18" s="174">
        <f t="shared" si="4"/>
        <v>0</v>
      </c>
    </row>
    <row r="19" spans="1:12" ht="21.95" customHeight="1" x14ac:dyDescent="0.3">
      <c r="A19" s="141" t="s">
        <v>7</v>
      </c>
      <c r="B19" s="171" t="s">
        <v>25</v>
      </c>
      <c r="C19" s="173">
        <f>IF('Consolidated Sales'!$C$2=1,'Sales Input'!C88,IF('Consolidated Sales'!$C$2=2,'Sales Input'!D88,IF('Consolidated Sales'!$C$2=3,'Sales Input'!E88,IF('Consolidated Sales'!$C$2=4,'Sales Input'!F88,IF('Consolidated Sales'!$C$2=5,'Sales Input'!G88,IF('Consolidated Sales'!$C$2=6,'Sales Input'!H88,IF('Consolidated Sales'!$C$2=7,'Sales Input'!I88,IF('Consolidated Sales'!$C$2=8,'Sales Input'!J88,IF('Consolidated Sales'!$C$2=9,'Sales Input'!K88,IF('Consolidated Sales'!$C$2=10,'Sales Input'!L88,IF('Consolidated Sales'!$C$2=11,'Sales Input'!M88,IF('Consolidated Sales'!$C$2=12,'Sales Input'!N88,IF('Consolidated Sales'!$C$2=13,'Sales Input'!O88,0)))))))))))))</f>
        <v>0</v>
      </c>
      <c r="D19" s="174">
        <f t="shared" si="0"/>
        <v>0</v>
      </c>
      <c r="E19" s="173">
        <f>IF('Consolidated Sales'!$C$2=1,'Sales Input'!C116,IF('Consolidated Sales'!$C$2=2,'Sales Input'!D116,IF('Consolidated Sales'!$C$2=3,'Sales Input'!E116,IF('Consolidated Sales'!$C$2=4,'Sales Input'!F116,IF('Consolidated Sales'!$C$2=5,'Sales Input'!G116,IF('Consolidated Sales'!$C$2=6,'Sales Input'!H116,IF('Consolidated Sales'!$C$2=7,'Sales Input'!I116,IF('Consolidated Sales'!$C$2=8,'Sales Input'!J116,IF('Consolidated Sales'!$C$2=9,'Sales Input'!K116,IF('Consolidated Sales'!$C$2=10,'Sales Input'!L116,IF('Consolidated Sales'!$C$2=11,'Sales Input'!M116,IF('Consolidated Sales'!$C$2=12,'Sales Input'!N116,IF('Consolidated Sales'!$C$2=13,'Sales Input'!O116,0)))))))))))))</f>
        <v>0</v>
      </c>
      <c r="F19" s="174">
        <f t="shared" si="1"/>
        <v>0</v>
      </c>
      <c r="G19" s="173">
        <f>IF('Consolidated Sales'!$C$2=1,'Sales Input'!C138,IF('Consolidated Sales'!$C$2=2,'Sales Input'!D138,IF('Consolidated Sales'!$C$2=3,'Sales Input'!E138,IF('Consolidated Sales'!$C$2=4,'Sales Input'!F138,IF('Consolidated Sales'!$C$2=5,'Sales Input'!G138,IF('Consolidated Sales'!$C$2=6,'Sales Input'!H138,IF('Consolidated Sales'!$C$2=7,'Sales Input'!I138,IF('Consolidated Sales'!$C$2=8,'Sales Input'!J138,IF('Consolidated Sales'!$C$2=9,'Sales Input'!K138,IF('Consolidated Sales'!$C$2=10,'Sales Input'!L138,IF('Consolidated Sales'!$C$2=11,'Sales Input'!M138,IF('Consolidated Sales'!$C$2=12,'Sales Input'!N138,IF('Consolidated Sales'!$C$2=13,'Sales Input'!O138,0)))))))))))))</f>
        <v>0</v>
      </c>
      <c r="H19" s="174">
        <f t="shared" si="2"/>
        <v>0</v>
      </c>
      <c r="I19" s="173">
        <f>IF('Consolidated Sales'!$C$2=1,'Sales Input'!C160,IF('Consolidated Sales'!$C$2=2,'Sales Input'!D160,IF('Consolidated Sales'!$C$2=3,'Sales Input'!E160,IF('Consolidated Sales'!$C$2=4,'Sales Input'!F160,IF('Consolidated Sales'!$C$2=5,'Sales Input'!G160,IF('Consolidated Sales'!$C$2=6,'Sales Input'!H160,IF('Consolidated Sales'!$C$2=7,'Sales Input'!I160,IF('Consolidated Sales'!$C$2=8,'Sales Input'!J160,IF('Consolidated Sales'!$C$2=9,'Sales Input'!K160,IF('Consolidated Sales'!$C$2=10,'Sales Input'!L160,IF('Consolidated Sales'!$C$2=11,'Sales Input'!M160,IF('Consolidated Sales'!$C$2=12,'Sales Input'!N160,IF('Consolidated Sales'!$C$2=13,'Sales Input'!O160,0)))))))))))))</f>
        <v>0</v>
      </c>
      <c r="J19" s="174">
        <f t="shared" si="3"/>
        <v>0</v>
      </c>
      <c r="K19" s="173">
        <f>IF('Consolidated Sales'!$C$2=1,'Sales Input'!C182,IF('Consolidated Sales'!$C$2=2,'Sales Input'!D182,IF('Consolidated Sales'!$C$2=3,'Sales Input'!E182,IF('Consolidated Sales'!$C$2=4,'Sales Input'!F182,IF('Consolidated Sales'!$C$2=5,'Sales Input'!G182,IF('Consolidated Sales'!$C$2=6,'Sales Input'!H182,IF('Consolidated Sales'!$C$2=7,'Sales Input'!I182,IF('Consolidated Sales'!$C$2=8,'Sales Input'!J182,IF('Consolidated Sales'!$C$2=9,'Sales Input'!K182,IF('Consolidated Sales'!$C$2=10,'Sales Input'!L182,IF('Consolidated Sales'!$C$2=11,'Sales Input'!M182,IF('Consolidated Sales'!$C$2=12,'Sales Input'!N182,IF('Consolidated Sales'!$C$2=13,'Sales Input'!O182,0)))))))))))))</f>
        <v>0</v>
      </c>
      <c r="L19" s="174">
        <f t="shared" si="4"/>
        <v>0</v>
      </c>
    </row>
    <row r="20" spans="1:12" ht="21.95" customHeight="1" x14ac:dyDescent="0.3">
      <c r="A20" s="141" t="s">
        <v>7</v>
      </c>
      <c r="B20" s="171" t="s">
        <v>48</v>
      </c>
      <c r="C20" s="173">
        <f>IF('Consolidated Sales'!$C$2=1,'Sales Input'!C89,IF('Consolidated Sales'!$C$2=2,'Sales Input'!D89,IF('Consolidated Sales'!$C$2=3,'Sales Input'!E89,IF('Consolidated Sales'!$C$2=4,'Sales Input'!F89,IF('Consolidated Sales'!$C$2=5,'Sales Input'!G89,IF('Consolidated Sales'!$C$2=6,'Sales Input'!H89,IF('Consolidated Sales'!$C$2=7,'Sales Input'!I89,IF('Consolidated Sales'!$C$2=8,'Sales Input'!J89,IF('Consolidated Sales'!$C$2=9,'Sales Input'!K89,IF('Consolidated Sales'!$C$2=10,'Sales Input'!L89,IF('Consolidated Sales'!$C$2=11,'Sales Input'!M89,IF('Consolidated Sales'!$C$2=12,'Sales Input'!N89,IF('Consolidated Sales'!$C$2=13,'Sales Input'!O89,0)))))))))))))</f>
        <v>1563800</v>
      </c>
      <c r="D20" s="174">
        <f t="shared" si="0"/>
        <v>0</v>
      </c>
      <c r="E20" s="173">
        <f>IF('Consolidated Sales'!$C$2=1,'Sales Input'!C117,IF('Consolidated Sales'!$C$2=2,'Sales Input'!D117,IF('Consolidated Sales'!$C$2=3,'Sales Input'!E117,IF('Consolidated Sales'!$C$2=4,'Sales Input'!F117,IF('Consolidated Sales'!$C$2=5,'Sales Input'!G117,IF('Consolidated Sales'!$C$2=6,'Sales Input'!H117,IF('Consolidated Sales'!$C$2=7,'Sales Input'!I117,IF('Consolidated Sales'!$C$2=8,'Sales Input'!J117,IF('Consolidated Sales'!$C$2=9,'Sales Input'!K117,IF('Consolidated Sales'!$C$2=10,'Sales Input'!L117,IF('Consolidated Sales'!$C$2=11,'Sales Input'!M117,IF('Consolidated Sales'!$C$2=12,'Sales Input'!N117,IF('Consolidated Sales'!$C$2=13,'Sales Input'!O117,0)))))))))))))</f>
        <v>0</v>
      </c>
      <c r="F20" s="174">
        <f t="shared" si="1"/>
        <v>0</v>
      </c>
      <c r="G20" s="173">
        <f>IF('Consolidated Sales'!$C$2=1,'Sales Input'!C139,IF('Consolidated Sales'!$C$2=2,'Sales Input'!D139,IF('Consolidated Sales'!$C$2=3,'Sales Input'!E139,IF('Consolidated Sales'!$C$2=4,'Sales Input'!F139,IF('Consolidated Sales'!$C$2=5,'Sales Input'!G139,IF('Consolidated Sales'!$C$2=6,'Sales Input'!H139,IF('Consolidated Sales'!$C$2=7,'Sales Input'!I139,IF('Consolidated Sales'!$C$2=8,'Sales Input'!J139,IF('Consolidated Sales'!$C$2=9,'Sales Input'!K139,IF('Consolidated Sales'!$C$2=10,'Sales Input'!L139,IF('Consolidated Sales'!$C$2=11,'Sales Input'!M139,IF('Consolidated Sales'!$C$2=12,'Sales Input'!N139,IF('Consolidated Sales'!$C$2=13,'Sales Input'!O139,0)))))))))))))</f>
        <v>1563800</v>
      </c>
      <c r="H20" s="174">
        <f t="shared" si="2"/>
        <v>0</v>
      </c>
      <c r="I20" s="173">
        <f>IF('Consolidated Sales'!$C$2=1,'Sales Input'!C161,IF('Consolidated Sales'!$C$2=2,'Sales Input'!D161,IF('Consolidated Sales'!$C$2=3,'Sales Input'!E161,IF('Consolidated Sales'!$C$2=4,'Sales Input'!F161,IF('Consolidated Sales'!$C$2=5,'Sales Input'!G161,IF('Consolidated Sales'!$C$2=6,'Sales Input'!H161,IF('Consolidated Sales'!$C$2=7,'Sales Input'!I161,IF('Consolidated Sales'!$C$2=8,'Sales Input'!J161,IF('Consolidated Sales'!$C$2=9,'Sales Input'!K161,IF('Consolidated Sales'!$C$2=10,'Sales Input'!L161,IF('Consolidated Sales'!$C$2=11,'Sales Input'!M161,IF('Consolidated Sales'!$C$2=12,'Sales Input'!N161,IF('Consolidated Sales'!$C$2=13,'Sales Input'!O161,0)))))))))))))</f>
        <v>0</v>
      </c>
      <c r="J20" s="174">
        <f t="shared" si="3"/>
        <v>0</v>
      </c>
      <c r="K20" s="173">
        <f>IF('Consolidated Sales'!$C$2=1,'Sales Input'!C183,IF('Consolidated Sales'!$C$2=2,'Sales Input'!D183,IF('Consolidated Sales'!$C$2=3,'Sales Input'!E183,IF('Consolidated Sales'!$C$2=4,'Sales Input'!F183,IF('Consolidated Sales'!$C$2=5,'Sales Input'!G183,IF('Consolidated Sales'!$C$2=6,'Sales Input'!H183,IF('Consolidated Sales'!$C$2=7,'Sales Input'!I183,IF('Consolidated Sales'!$C$2=8,'Sales Input'!J183,IF('Consolidated Sales'!$C$2=9,'Sales Input'!K183,IF('Consolidated Sales'!$C$2=10,'Sales Input'!L183,IF('Consolidated Sales'!$C$2=11,'Sales Input'!M183,IF('Consolidated Sales'!$C$2=12,'Sales Input'!N183,IF('Consolidated Sales'!$C$2=13,'Sales Input'!O183,0)))))))))))))</f>
        <v>0</v>
      </c>
      <c r="L20" s="174">
        <f t="shared" si="4"/>
        <v>0</v>
      </c>
    </row>
    <row r="21" spans="1:12" ht="21.95" customHeight="1" x14ac:dyDescent="0.3">
      <c r="A21" s="141" t="s">
        <v>7</v>
      </c>
      <c r="B21" s="171" t="s">
        <v>50</v>
      </c>
      <c r="C21" s="173">
        <f>IF('Consolidated Sales'!$C$2=1,'Sales Input'!C90,IF('Consolidated Sales'!$C$2=2,'Sales Input'!D90,IF('Consolidated Sales'!$C$2=3,'Sales Input'!E90,IF('Consolidated Sales'!$C$2=4,'Sales Input'!F90,IF('Consolidated Sales'!$C$2=5,'Sales Input'!G90,IF('Consolidated Sales'!$C$2=6,'Sales Input'!H90,IF('Consolidated Sales'!$C$2=7,'Sales Input'!I90,IF('Consolidated Sales'!$C$2=8,'Sales Input'!J90,IF('Consolidated Sales'!$C$2=9,'Sales Input'!K90,IF('Consolidated Sales'!$C$2=10,'Sales Input'!L90,IF('Consolidated Sales'!$C$2=11,'Sales Input'!M90,IF('Consolidated Sales'!$C$2=12,'Sales Input'!N90,IF('Consolidated Sales'!$C$2=13,'Sales Input'!O90,0)))))))))))))</f>
        <v>0</v>
      </c>
      <c r="D21" s="174">
        <f t="shared" si="0"/>
        <v>0</v>
      </c>
      <c r="E21" s="173">
        <f>IF('Consolidated Sales'!$C$2=1,'Sales Input'!C118,IF('Consolidated Sales'!$C$2=2,'Sales Input'!D118,IF('Consolidated Sales'!$C$2=3,'Sales Input'!E118,IF('Consolidated Sales'!$C$2=4,'Sales Input'!F118,IF('Consolidated Sales'!$C$2=5,'Sales Input'!G118,IF('Consolidated Sales'!$C$2=6,'Sales Input'!H118,IF('Consolidated Sales'!$C$2=7,'Sales Input'!I118,IF('Consolidated Sales'!$C$2=8,'Sales Input'!J118,IF('Consolidated Sales'!$C$2=9,'Sales Input'!K118,IF('Consolidated Sales'!$C$2=10,'Sales Input'!L118,IF('Consolidated Sales'!$C$2=11,'Sales Input'!M118,IF('Consolidated Sales'!$C$2=12,'Sales Input'!N118,IF('Consolidated Sales'!$C$2=13,'Sales Input'!O118,0)))))))))))))</f>
        <v>0</v>
      </c>
      <c r="F21" s="174">
        <f t="shared" si="1"/>
        <v>0</v>
      </c>
      <c r="G21" s="173">
        <f>IF('Consolidated Sales'!$C$2=1,'Sales Input'!C140,IF('Consolidated Sales'!$C$2=2,'Sales Input'!D140,IF('Consolidated Sales'!$C$2=3,'Sales Input'!E140,IF('Consolidated Sales'!$C$2=4,'Sales Input'!F140,IF('Consolidated Sales'!$C$2=5,'Sales Input'!G140,IF('Consolidated Sales'!$C$2=6,'Sales Input'!H140,IF('Consolidated Sales'!$C$2=7,'Sales Input'!I140,IF('Consolidated Sales'!$C$2=8,'Sales Input'!J140,IF('Consolidated Sales'!$C$2=9,'Sales Input'!K140,IF('Consolidated Sales'!$C$2=10,'Sales Input'!L140,IF('Consolidated Sales'!$C$2=11,'Sales Input'!M140,IF('Consolidated Sales'!$C$2=12,'Sales Input'!N140,IF('Consolidated Sales'!$C$2=13,'Sales Input'!O140,0)))))))))))))</f>
        <v>0</v>
      </c>
      <c r="H21" s="174">
        <f t="shared" si="2"/>
        <v>0</v>
      </c>
      <c r="I21" s="173">
        <f>IF('Consolidated Sales'!$C$2=1,'Sales Input'!C162,IF('Consolidated Sales'!$C$2=2,'Sales Input'!D162,IF('Consolidated Sales'!$C$2=3,'Sales Input'!E162,IF('Consolidated Sales'!$C$2=4,'Sales Input'!F162,IF('Consolidated Sales'!$C$2=5,'Sales Input'!G162,IF('Consolidated Sales'!$C$2=6,'Sales Input'!H162,IF('Consolidated Sales'!$C$2=7,'Sales Input'!I162,IF('Consolidated Sales'!$C$2=8,'Sales Input'!J162,IF('Consolidated Sales'!$C$2=9,'Sales Input'!K162,IF('Consolidated Sales'!$C$2=10,'Sales Input'!L162,IF('Consolidated Sales'!$C$2=11,'Sales Input'!M162,IF('Consolidated Sales'!$C$2=12,'Sales Input'!N162,IF('Consolidated Sales'!$C$2=13,'Sales Input'!O162,0)))))))))))))</f>
        <v>0</v>
      </c>
      <c r="J21" s="174">
        <f t="shared" si="3"/>
        <v>0</v>
      </c>
      <c r="K21" s="173">
        <f>IF('Consolidated Sales'!$C$2=1,'Sales Input'!C184,IF('Consolidated Sales'!$C$2=2,'Sales Input'!D184,IF('Consolidated Sales'!$C$2=3,'Sales Input'!E184,IF('Consolidated Sales'!$C$2=4,'Sales Input'!F184,IF('Consolidated Sales'!$C$2=5,'Sales Input'!G184,IF('Consolidated Sales'!$C$2=6,'Sales Input'!H184,IF('Consolidated Sales'!$C$2=7,'Sales Input'!I184,IF('Consolidated Sales'!$C$2=8,'Sales Input'!J184,IF('Consolidated Sales'!$C$2=9,'Sales Input'!K184,IF('Consolidated Sales'!$C$2=10,'Sales Input'!L184,IF('Consolidated Sales'!$C$2=11,'Sales Input'!M184,IF('Consolidated Sales'!$C$2=12,'Sales Input'!N184,IF('Consolidated Sales'!$C$2=13,'Sales Input'!O184,0)))))))))))))</f>
        <v>0</v>
      </c>
      <c r="L21" s="174">
        <f t="shared" si="4"/>
        <v>0</v>
      </c>
    </row>
    <row r="22" spans="1:12" ht="21.95" customHeight="1" x14ac:dyDescent="0.3">
      <c r="A22" s="141" t="s">
        <v>7</v>
      </c>
      <c r="B22" s="171" t="s">
        <v>52</v>
      </c>
      <c r="C22" s="173">
        <f>IF('Consolidated Sales'!$C$2=1,'Sales Input'!C91,IF('Consolidated Sales'!$C$2=2,'Sales Input'!D91,IF('Consolidated Sales'!$C$2=3,'Sales Input'!E91,IF('Consolidated Sales'!$C$2=4,'Sales Input'!F91,IF('Consolidated Sales'!$C$2=5,'Sales Input'!G91,IF('Consolidated Sales'!$C$2=6,'Sales Input'!H91,IF('Consolidated Sales'!$C$2=7,'Sales Input'!I91,IF('Consolidated Sales'!$C$2=8,'Sales Input'!J91,IF('Consolidated Sales'!$C$2=9,'Sales Input'!K91,IF('Consolidated Sales'!$C$2=10,'Sales Input'!L91,IF('Consolidated Sales'!$C$2=11,'Sales Input'!M91,IF('Consolidated Sales'!$C$2=12,'Sales Input'!N91,IF('Consolidated Sales'!$C$2=13,'Sales Input'!O91,0)))))))))))))</f>
        <v>0</v>
      </c>
      <c r="D22" s="174">
        <f t="shared" si="0"/>
        <v>0</v>
      </c>
      <c r="E22" s="173">
        <f>IF('Consolidated Sales'!$C$2=1,'Sales Input'!C119,IF('Consolidated Sales'!$C$2=2,'Sales Input'!D119,IF('Consolidated Sales'!$C$2=3,'Sales Input'!E119,IF('Consolidated Sales'!$C$2=4,'Sales Input'!F119,IF('Consolidated Sales'!$C$2=5,'Sales Input'!G119,IF('Consolidated Sales'!$C$2=6,'Sales Input'!H119,IF('Consolidated Sales'!$C$2=7,'Sales Input'!I119,IF('Consolidated Sales'!$C$2=8,'Sales Input'!J119,IF('Consolidated Sales'!$C$2=9,'Sales Input'!K119,IF('Consolidated Sales'!$C$2=10,'Sales Input'!L119,IF('Consolidated Sales'!$C$2=11,'Sales Input'!M119,IF('Consolidated Sales'!$C$2=12,'Sales Input'!N119,IF('Consolidated Sales'!$C$2=13,'Sales Input'!O119,0)))))))))))))</f>
        <v>0</v>
      </c>
      <c r="F22" s="174">
        <f t="shared" si="1"/>
        <v>0</v>
      </c>
      <c r="G22" s="173">
        <f>IF('Consolidated Sales'!$C$2=1,'Sales Input'!C141,IF('Consolidated Sales'!$C$2=2,'Sales Input'!D141,IF('Consolidated Sales'!$C$2=3,'Sales Input'!E141,IF('Consolidated Sales'!$C$2=4,'Sales Input'!F141,IF('Consolidated Sales'!$C$2=5,'Sales Input'!G141,IF('Consolidated Sales'!$C$2=6,'Sales Input'!H141,IF('Consolidated Sales'!$C$2=7,'Sales Input'!I141,IF('Consolidated Sales'!$C$2=8,'Sales Input'!J141,IF('Consolidated Sales'!$C$2=9,'Sales Input'!K141,IF('Consolidated Sales'!$C$2=10,'Sales Input'!L141,IF('Consolidated Sales'!$C$2=11,'Sales Input'!M141,IF('Consolidated Sales'!$C$2=12,'Sales Input'!N141,IF('Consolidated Sales'!$C$2=13,'Sales Input'!O141,0)))))))))))))</f>
        <v>0</v>
      </c>
      <c r="H22" s="174">
        <f t="shared" si="2"/>
        <v>0</v>
      </c>
      <c r="I22" s="173">
        <f>IF('Consolidated Sales'!$C$2=1,'Sales Input'!C163,IF('Consolidated Sales'!$C$2=2,'Sales Input'!D163,IF('Consolidated Sales'!$C$2=3,'Sales Input'!E163,IF('Consolidated Sales'!$C$2=4,'Sales Input'!F163,IF('Consolidated Sales'!$C$2=5,'Sales Input'!G163,IF('Consolidated Sales'!$C$2=6,'Sales Input'!H163,IF('Consolidated Sales'!$C$2=7,'Sales Input'!I163,IF('Consolidated Sales'!$C$2=8,'Sales Input'!J163,IF('Consolidated Sales'!$C$2=9,'Sales Input'!K163,IF('Consolidated Sales'!$C$2=10,'Sales Input'!L163,IF('Consolidated Sales'!$C$2=11,'Sales Input'!M163,IF('Consolidated Sales'!$C$2=12,'Sales Input'!N163,IF('Consolidated Sales'!$C$2=13,'Sales Input'!O163,0)))))))))))))</f>
        <v>0</v>
      </c>
      <c r="J22" s="174">
        <f t="shared" si="3"/>
        <v>0</v>
      </c>
      <c r="K22" s="173">
        <f>IF('Consolidated Sales'!$C$2=1,'Sales Input'!C185,IF('Consolidated Sales'!$C$2=2,'Sales Input'!D185,IF('Consolidated Sales'!$C$2=3,'Sales Input'!E185,IF('Consolidated Sales'!$C$2=4,'Sales Input'!F185,IF('Consolidated Sales'!$C$2=5,'Sales Input'!G185,IF('Consolidated Sales'!$C$2=6,'Sales Input'!H185,IF('Consolidated Sales'!$C$2=7,'Sales Input'!I185,IF('Consolidated Sales'!$C$2=8,'Sales Input'!J185,IF('Consolidated Sales'!$C$2=9,'Sales Input'!K185,IF('Consolidated Sales'!$C$2=10,'Sales Input'!L185,IF('Consolidated Sales'!$C$2=11,'Sales Input'!M185,IF('Consolidated Sales'!$C$2=12,'Sales Input'!N185,IF('Consolidated Sales'!$C$2=13,'Sales Input'!O185,0)))))))))))))</f>
        <v>0</v>
      </c>
      <c r="L22" s="174">
        <f t="shared" si="4"/>
        <v>0</v>
      </c>
    </row>
    <row r="23" spans="1:12" ht="21.95" customHeight="1" x14ac:dyDescent="0.3">
      <c r="A23" s="141" t="s">
        <v>7</v>
      </c>
      <c r="B23" s="171" t="s">
        <v>49</v>
      </c>
      <c r="C23" s="173">
        <f>IF('Consolidated Sales'!$C$2=1,'Sales Input'!C92,IF('Consolidated Sales'!$C$2=2,'Sales Input'!D92,IF('Consolidated Sales'!$C$2=3,'Sales Input'!E92,IF('Consolidated Sales'!$C$2=4,'Sales Input'!F92,IF('Consolidated Sales'!$C$2=5,'Sales Input'!G92,IF('Consolidated Sales'!$C$2=6,'Sales Input'!H92,IF('Consolidated Sales'!$C$2=7,'Sales Input'!I92,IF('Consolidated Sales'!$C$2=8,'Sales Input'!J92,IF('Consolidated Sales'!$C$2=9,'Sales Input'!K92,IF('Consolidated Sales'!$C$2=10,'Sales Input'!L92,IF('Consolidated Sales'!$C$2=11,'Sales Input'!M92,IF('Consolidated Sales'!$C$2=12,'Sales Input'!N92,IF('Consolidated Sales'!$C$2=13,'Sales Input'!O92,0)))))))))))))</f>
        <v>1141415</v>
      </c>
      <c r="D23" s="174">
        <f t="shared" si="0"/>
        <v>0</v>
      </c>
      <c r="E23" s="173">
        <f>IF('Consolidated Sales'!$C$2=1,'Sales Input'!C120,IF('Consolidated Sales'!$C$2=2,'Sales Input'!D120,IF('Consolidated Sales'!$C$2=3,'Sales Input'!E120,IF('Consolidated Sales'!$C$2=4,'Sales Input'!F120,IF('Consolidated Sales'!$C$2=5,'Sales Input'!G120,IF('Consolidated Sales'!$C$2=6,'Sales Input'!H120,IF('Consolidated Sales'!$C$2=7,'Sales Input'!I120,IF('Consolidated Sales'!$C$2=8,'Sales Input'!J120,IF('Consolidated Sales'!$C$2=9,'Sales Input'!K120,IF('Consolidated Sales'!$C$2=10,'Sales Input'!L120,IF('Consolidated Sales'!$C$2=11,'Sales Input'!M120,IF('Consolidated Sales'!$C$2=12,'Sales Input'!N120,IF('Consolidated Sales'!$C$2=13,'Sales Input'!O120,0)))))))))))))</f>
        <v>0</v>
      </c>
      <c r="F23" s="174">
        <f t="shared" si="1"/>
        <v>0</v>
      </c>
      <c r="G23" s="173">
        <f>IF('Consolidated Sales'!$C$2=1,'Sales Input'!C142,IF('Consolidated Sales'!$C$2=2,'Sales Input'!D142,IF('Consolidated Sales'!$C$2=3,'Sales Input'!E142,IF('Consolidated Sales'!$C$2=4,'Sales Input'!F142,IF('Consolidated Sales'!$C$2=5,'Sales Input'!G142,IF('Consolidated Sales'!$C$2=6,'Sales Input'!H142,IF('Consolidated Sales'!$C$2=7,'Sales Input'!I142,IF('Consolidated Sales'!$C$2=8,'Sales Input'!J142,IF('Consolidated Sales'!$C$2=9,'Sales Input'!K142,IF('Consolidated Sales'!$C$2=10,'Sales Input'!L142,IF('Consolidated Sales'!$C$2=11,'Sales Input'!M142,IF('Consolidated Sales'!$C$2=12,'Sales Input'!N142,IF('Consolidated Sales'!$C$2=13,'Sales Input'!O142,0)))))))))))))</f>
        <v>1141415</v>
      </c>
      <c r="H23" s="174">
        <f t="shared" si="2"/>
        <v>0</v>
      </c>
      <c r="I23" s="173">
        <f>IF('Consolidated Sales'!$C$2=1,'Sales Input'!C164,IF('Consolidated Sales'!$C$2=2,'Sales Input'!D164,IF('Consolidated Sales'!$C$2=3,'Sales Input'!E164,IF('Consolidated Sales'!$C$2=4,'Sales Input'!F164,IF('Consolidated Sales'!$C$2=5,'Sales Input'!G164,IF('Consolidated Sales'!$C$2=6,'Sales Input'!H164,IF('Consolidated Sales'!$C$2=7,'Sales Input'!I164,IF('Consolidated Sales'!$C$2=8,'Sales Input'!J164,IF('Consolidated Sales'!$C$2=9,'Sales Input'!K164,IF('Consolidated Sales'!$C$2=10,'Sales Input'!L164,IF('Consolidated Sales'!$C$2=11,'Sales Input'!M164,IF('Consolidated Sales'!$C$2=12,'Sales Input'!N164,IF('Consolidated Sales'!$C$2=13,'Sales Input'!O164,0)))))))))))))</f>
        <v>0</v>
      </c>
      <c r="J23" s="174">
        <f t="shared" si="3"/>
        <v>0</v>
      </c>
      <c r="K23" s="173">
        <f>IF('Consolidated Sales'!$C$2=1,'Sales Input'!C186,IF('Consolidated Sales'!$C$2=2,'Sales Input'!D186,IF('Consolidated Sales'!$C$2=3,'Sales Input'!E186,IF('Consolidated Sales'!$C$2=4,'Sales Input'!F186,IF('Consolidated Sales'!$C$2=5,'Sales Input'!G186,IF('Consolidated Sales'!$C$2=6,'Sales Input'!H186,IF('Consolidated Sales'!$C$2=7,'Sales Input'!I186,IF('Consolidated Sales'!$C$2=8,'Sales Input'!J186,IF('Consolidated Sales'!$C$2=9,'Sales Input'!K186,IF('Consolidated Sales'!$C$2=10,'Sales Input'!L186,IF('Consolidated Sales'!$C$2=11,'Sales Input'!M186,IF('Consolidated Sales'!$C$2=12,'Sales Input'!N186,IF('Consolidated Sales'!$C$2=13,'Sales Input'!O186,0)))))))))))))</f>
        <v>0</v>
      </c>
      <c r="L23" s="174">
        <f t="shared" si="4"/>
        <v>0</v>
      </c>
    </row>
    <row r="24" spans="1:12" ht="21.95" customHeight="1" x14ac:dyDescent="0.3">
      <c r="A24" s="141" t="s">
        <v>7</v>
      </c>
      <c r="B24" s="171" t="s">
        <v>54</v>
      </c>
      <c r="C24" s="173">
        <f>IF('Consolidated Sales'!$C$2=1,'Sales Input'!C93,IF('Consolidated Sales'!$C$2=2,'Sales Input'!D93,IF('Consolidated Sales'!$C$2=3,'Sales Input'!E93,IF('Consolidated Sales'!$C$2=4,'Sales Input'!F93,IF('Consolidated Sales'!$C$2=5,'Sales Input'!G93,IF('Consolidated Sales'!$C$2=6,'Sales Input'!H93,IF('Consolidated Sales'!$C$2=7,'Sales Input'!I93,IF('Consolidated Sales'!$C$2=8,'Sales Input'!J93,IF('Consolidated Sales'!$C$2=9,'Sales Input'!K93,IF('Consolidated Sales'!$C$2=10,'Sales Input'!L93,IF('Consolidated Sales'!$C$2=11,'Sales Input'!M93,IF('Consolidated Sales'!$C$2=12,'Sales Input'!N93,IF('Consolidated Sales'!$C$2=13,'Sales Input'!O93,0)))))))))))))</f>
        <v>0</v>
      </c>
      <c r="D24" s="174">
        <f t="shared" si="0"/>
        <v>0</v>
      </c>
      <c r="E24" s="173">
        <f>IF('Consolidated Sales'!$C$2=1,'Sales Input'!C121,IF('Consolidated Sales'!$C$2=2,'Sales Input'!D121,IF('Consolidated Sales'!$C$2=3,'Sales Input'!E121,IF('Consolidated Sales'!$C$2=4,'Sales Input'!F121,IF('Consolidated Sales'!$C$2=5,'Sales Input'!G121,IF('Consolidated Sales'!$C$2=6,'Sales Input'!H121,IF('Consolidated Sales'!$C$2=7,'Sales Input'!I121,IF('Consolidated Sales'!$C$2=8,'Sales Input'!J121,IF('Consolidated Sales'!$C$2=9,'Sales Input'!K121,IF('Consolidated Sales'!$C$2=10,'Sales Input'!L121,IF('Consolidated Sales'!$C$2=11,'Sales Input'!M121,IF('Consolidated Sales'!$C$2=12,'Sales Input'!N121,IF('Consolidated Sales'!$C$2=13,'Sales Input'!O121,0)))))))))))))</f>
        <v>0</v>
      </c>
      <c r="F24" s="174">
        <f t="shared" si="1"/>
        <v>0</v>
      </c>
      <c r="G24" s="173">
        <f>IF('Consolidated Sales'!$C$2=1,'Sales Input'!C143,IF('Consolidated Sales'!$C$2=2,'Sales Input'!D143,IF('Consolidated Sales'!$C$2=3,'Sales Input'!E143,IF('Consolidated Sales'!$C$2=4,'Sales Input'!F143,IF('Consolidated Sales'!$C$2=5,'Sales Input'!G143,IF('Consolidated Sales'!$C$2=6,'Sales Input'!H143,IF('Consolidated Sales'!$C$2=7,'Sales Input'!I143,IF('Consolidated Sales'!$C$2=8,'Sales Input'!J143,IF('Consolidated Sales'!$C$2=9,'Sales Input'!K143,IF('Consolidated Sales'!$C$2=10,'Sales Input'!L143,IF('Consolidated Sales'!$C$2=11,'Sales Input'!M143,IF('Consolidated Sales'!$C$2=12,'Sales Input'!N143,IF('Consolidated Sales'!$C$2=13,'Sales Input'!O143,0)))))))))))))</f>
        <v>0</v>
      </c>
      <c r="H24" s="174">
        <f t="shared" si="2"/>
        <v>0</v>
      </c>
      <c r="I24" s="173">
        <f>IF('Consolidated Sales'!$C$2=1,'Sales Input'!C165,IF('Consolidated Sales'!$C$2=2,'Sales Input'!D165,IF('Consolidated Sales'!$C$2=3,'Sales Input'!E165,IF('Consolidated Sales'!$C$2=4,'Sales Input'!F165,IF('Consolidated Sales'!$C$2=5,'Sales Input'!G165,IF('Consolidated Sales'!$C$2=6,'Sales Input'!H165,IF('Consolidated Sales'!$C$2=7,'Sales Input'!I165,IF('Consolidated Sales'!$C$2=8,'Sales Input'!J165,IF('Consolidated Sales'!$C$2=9,'Sales Input'!K165,IF('Consolidated Sales'!$C$2=10,'Sales Input'!L165,IF('Consolidated Sales'!$C$2=11,'Sales Input'!M165,IF('Consolidated Sales'!$C$2=12,'Sales Input'!N165,IF('Consolidated Sales'!$C$2=13,'Sales Input'!O165,0)))))))))))))</f>
        <v>0</v>
      </c>
      <c r="J24" s="174">
        <f t="shared" si="3"/>
        <v>0</v>
      </c>
      <c r="K24" s="173">
        <f>IF('Consolidated Sales'!$C$2=1,'Sales Input'!C187,IF('Consolidated Sales'!$C$2=2,'Sales Input'!D187,IF('Consolidated Sales'!$C$2=3,'Sales Input'!E187,IF('Consolidated Sales'!$C$2=4,'Sales Input'!F187,IF('Consolidated Sales'!$C$2=5,'Sales Input'!G187,IF('Consolidated Sales'!$C$2=6,'Sales Input'!H187,IF('Consolidated Sales'!$C$2=7,'Sales Input'!I187,IF('Consolidated Sales'!$C$2=8,'Sales Input'!J187,IF('Consolidated Sales'!$C$2=9,'Sales Input'!K187,IF('Consolidated Sales'!$C$2=10,'Sales Input'!L187,IF('Consolidated Sales'!$C$2=11,'Sales Input'!M187,IF('Consolidated Sales'!$C$2=12,'Sales Input'!N187,IF('Consolidated Sales'!$C$2=13,'Sales Input'!O187,0)))))))))))))</f>
        <v>0</v>
      </c>
      <c r="L24" s="174">
        <f t="shared" si="4"/>
        <v>0</v>
      </c>
    </row>
    <row r="25" spans="1:12" ht="21.95" customHeight="1" thickBot="1" x14ac:dyDescent="0.35">
      <c r="A25" s="141" t="s">
        <v>7</v>
      </c>
      <c r="B25" s="172" t="s">
        <v>53</v>
      </c>
      <c r="C25" s="175">
        <f>IF('Consolidated Sales'!$C$2=1,'Sales Input'!C94,IF('Consolidated Sales'!$C$2=2,'Sales Input'!D94,IF('Consolidated Sales'!$C$2=3,'Sales Input'!E94,IF('Consolidated Sales'!$C$2=4,'Sales Input'!F94,IF('Consolidated Sales'!$C$2=5,'Sales Input'!G94,IF('Consolidated Sales'!$C$2=6,'Sales Input'!H94,IF('Consolidated Sales'!$C$2=7,'Sales Input'!I94,IF('Consolidated Sales'!$C$2=8,'Sales Input'!J94,IF('Consolidated Sales'!$C$2=9,'Sales Input'!K94,IF('Consolidated Sales'!$C$2=10,'Sales Input'!L94,IF('Consolidated Sales'!$C$2=11,'Sales Input'!M94,IF('Consolidated Sales'!$C$2=12,'Sales Input'!N94,IF('Consolidated Sales'!$C$2=13,'Sales Input'!O94,0)))))))))))))</f>
        <v>64000</v>
      </c>
      <c r="D25" s="176">
        <f t="shared" si="0"/>
        <v>0</v>
      </c>
      <c r="E25" s="175">
        <f>IF('Consolidated Sales'!$C$2=1,'Sales Input'!C122,IF('Consolidated Sales'!$C$2=2,'Sales Input'!D122,IF('Consolidated Sales'!$C$2=3,'Sales Input'!E122,IF('Consolidated Sales'!$C$2=4,'Sales Input'!F122,IF('Consolidated Sales'!$C$2=5,'Sales Input'!G122,IF('Consolidated Sales'!$C$2=6,'Sales Input'!H122,IF('Consolidated Sales'!$C$2=7,'Sales Input'!I122,IF('Consolidated Sales'!$C$2=8,'Sales Input'!J122,IF('Consolidated Sales'!$C$2=9,'Sales Input'!K122,IF('Consolidated Sales'!$C$2=10,'Sales Input'!L122,IF('Consolidated Sales'!$C$2=11,'Sales Input'!M122,IF('Consolidated Sales'!$C$2=12,'Sales Input'!N122,IF('Consolidated Sales'!$C$2=13,'Sales Input'!O122,0)))))))))))))</f>
        <v>0</v>
      </c>
      <c r="F25" s="176">
        <f t="shared" si="1"/>
        <v>0</v>
      </c>
      <c r="G25" s="175">
        <f>IF('Consolidated Sales'!$C$2=1,'Sales Input'!C144,IF('Consolidated Sales'!$C$2=2,'Sales Input'!D144,IF('Consolidated Sales'!$C$2=3,'Sales Input'!E144,IF('Consolidated Sales'!$C$2=4,'Sales Input'!F144,IF('Consolidated Sales'!$C$2=5,'Sales Input'!G144,IF('Consolidated Sales'!$C$2=6,'Sales Input'!H144,IF('Consolidated Sales'!$C$2=7,'Sales Input'!I144,IF('Consolidated Sales'!$C$2=8,'Sales Input'!J144,IF('Consolidated Sales'!$C$2=9,'Sales Input'!K144,IF('Consolidated Sales'!$C$2=10,'Sales Input'!L144,IF('Consolidated Sales'!$C$2=11,'Sales Input'!M144,IF('Consolidated Sales'!$C$2=12,'Sales Input'!N144,IF('Consolidated Sales'!$C$2=13,'Sales Input'!O144,0)))))))))))))</f>
        <v>64000</v>
      </c>
      <c r="H25" s="176">
        <f t="shared" si="2"/>
        <v>0</v>
      </c>
      <c r="I25" s="175">
        <f>IF('Consolidated Sales'!$C$2=1,'Sales Input'!C166,IF('Consolidated Sales'!$C$2=2,'Sales Input'!D166,IF('Consolidated Sales'!$C$2=3,'Sales Input'!E166,IF('Consolidated Sales'!$C$2=4,'Sales Input'!F166,IF('Consolidated Sales'!$C$2=5,'Sales Input'!G166,IF('Consolidated Sales'!$C$2=6,'Sales Input'!H166,IF('Consolidated Sales'!$C$2=7,'Sales Input'!I166,IF('Consolidated Sales'!$C$2=8,'Sales Input'!J166,IF('Consolidated Sales'!$C$2=9,'Sales Input'!K166,IF('Consolidated Sales'!$C$2=10,'Sales Input'!L166,IF('Consolidated Sales'!$C$2=11,'Sales Input'!M166,IF('Consolidated Sales'!$C$2=12,'Sales Input'!N166,IF('Consolidated Sales'!$C$2=13,'Sales Input'!O166,0)))))))))))))</f>
        <v>0</v>
      </c>
      <c r="J25" s="176">
        <f t="shared" si="3"/>
        <v>0</v>
      </c>
      <c r="K25" s="175">
        <f>IF('Consolidated Sales'!$C$2=1,'Sales Input'!C188,IF('Consolidated Sales'!$C$2=2,'Sales Input'!D188,IF('Consolidated Sales'!$C$2=3,'Sales Input'!E188,IF('Consolidated Sales'!$C$2=4,'Sales Input'!F188,IF('Consolidated Sales'!$C$2=5,'Sales Input'!G188,IF('Consolidated Sales'!$C$2=6,'Sales Input'!H188,IF('Consolidated Sales'!$C$2=7,'Sales Input'!I188,IF('Consolidated Sales'!$C$2=8,'Sales Input'!J188,IF('Consolidated Sales'!$C$2=9,'Sales Input'!K188,IF('Consolidated Sales'!$C$2=10,'Sales Input'!L188,IF('Consolidated Sales'!$C$2=11,'Sales Input'!M188,IF('Consolidated Sales'!$C$2=12,'Sales Input'!N188,IF('Consolidated Sales'!$C$2=13,'Sales Input'!O188,0)))))))))))))</f>
        <v>0</v>
      </c>
      <c r="L25" s="176">
        <f t="shared" si="4"/>
        <v>0</v>
      </c>
    </row>
    <row r="26" spans="1:12" ht="21.95" customHeight="1" thickBot="1" x14ac:dyDescent="0.35">
      <c r="A26" s="146"/>
      <c r="B26" s="142"/>
      <c r="C26" s="168"/>
      <c r="D26" s="164"/>
      <c r="E26" s="165"/>
      <c r="F26" s="164"/>
      <c r="G26" s="165"/>
      <c r="H26" s="164"/>
      <c r="I26" s="165"/>
      <c r="J26" s="164"/>
      <c r="K26" s="165"/>
      <c r="L26" s="167"/>
    </row>
    <row r="27" spans="1:12" ht="21.95" customHeight="1" thickBot="1" x14ac:dyDescent="0.35">
      <c r="A27" s="146"/>
      <c r="B27" s="182" t="s">
        <v>158</v>
      </c>
      <c r="C27" s="178">
        <f t="shared" ref="C27:J27" si="5">SUM(C6:C25)</f>
        <v>7905085.5</v>
      </c>
      <c r="D27" s="183">
        <f t="shared" si="5"/>
        <v>0</v>
      </c>
      <c r="E27" s="178">
        <f t="shared" si="5"/>
        <v>0</v>
      </c>
      <c r="F27" s="183">
        <f t="shared" si="5"/>
        <v>0</v>
      </c>
      <c r="G27" s="178">
        <f t="shared" si="5"/>
        <v>7800385.5</v>
      </c>
      <c r="H27" s="183">
        <f t="shared" si="5"/>
        <v>0</v>
      </c>
      <c r="I27" s="178">
        <f t="shared" si="5"/>
        <v>104700</v>
      </c>
      <c r="J27" s="183">
        <f t="shared" si="5"/>
        <v>0</v>
      </c>
      <c r="K27" s="178">
        <f>SUM(K7:K25)</f>
        <v>0</v>
      </c>
      <c r="L27" s="184">
        <f>SUM(L7:L25)</f>
        <v>0</v>
      </c>
    </row>
    <row r="28" spans="1:12" ht="21.95" customHeight="1" thickBot="1" x14ac:dyDescent="0.35">
      <c r="A28" s="146"/>
      <c r="B28" s="143"/>
      <c r="C28" s="153"/>
      <c r="D28" s="167"/>
      <c r="E28" s="149"/>
      <c r="F28" s="167"/>
      <c r="G28" s="149"/>
      <c r="H28" s="167"/>
      <c r="I28" s="149"/>
      <c r="J28" s="167"/>
      <c r="K28" s="149"/>
      <c r="L28" s="167"/>
    </row>
    <row r="29" spans="1:12" ht="21.95" customHeight="1" thickTop="1" thickBot="1" x14ac:dyDescent="0.35">
      <c r="A29" s="146"/>
      <c r="B29" s="143" t="s">
        <v>157</v>
      </c>
      <c r="C29" s="142"/>
      <c r="D29" s="142"/>
      <c r="E29" s="149">
        <f>'Consolidated Sales'!C87-E27</f>
        <v>580000</v>
      </c>
      <c r="G29" s="149">
        <f>SUM('Consolidated Sales'!C81+'Consolidated Sales'!C82-G27)</f>
        <v>1227874.5</v>
      </c>
      <c r="I29" s="149">
        <f>SUM('Consolidated Sales'!C83+'Consolidated Sales'!C84-I27)</f>
        <v>2505000</v>
      </c>
      <c r="K29" s="149">
        <f>SUM('Consolidated Sales'!C85-K27)</f>
        <v>0</v>
      </c>
    </row>
    <row r="30" spans="1:12" ht="21.95" customHeight="1" thickTop="1" x14ac:dyDescent="0.25">
      <c r="A30" s="146"/>
      <c r="B30" s="146"/>
      <c r="C30" s="146"/>
      <c r="D30" s="146"/>
      <c r="E30" s="146"/>
    </row>
    <row r="31" spans="1:12" ht="21.95" customHeight="1" x14ac:dyDescent="0.25">
      <c r="A31" s="146"/>
      <c r="B31" s="146"/>
      <c r="C31" s="146"/>
      <c r="D31" s="146"/>
      <c r="E31" s="146"/>
    </row>
    <row r="32" spans="1:12" ht="21.95" customHeight="1" x14ac:dyDescent="0.25">
      <c r="A32" s="146"/>
      <c r="B32" s="146"/>
      <c r="C32" s="146"/>
      <c r="D32" s="146"/>
      <c r="E32" s="146"/>
    </row>
    <row r="33" spans="1:5" ht="21.95" customHeight="1" x14ac:dyDescent="0.25">
      <c r="A33" s="146"/>
      <c r="B33" s="146"/>
      <c r="C33" s="146"/>
      <c r="D33" s="146"/>
      <c r="E33" s="146"/>
    </row>
    <row r="34" spans="1:5" ht="21.95" customHeight="1" x14ac:dyDescent="0.25">
      <c r="A34" s="146"/>
      <c r="B34" s="146"/>
      <c r="C34" s="146"/>
      <c r="D34" s="146"/>
      <c r="E34" s="146"/>
    </row>
    <row r="35" spans="1:5" ht="21.95" customHeight="1" x14ac:dyDescent="0.25">
      <c r="A35" s="146"/>
      <c r="B35" s="146"/>
      <c r="C35" s="146"/>
      <c r="D35" s="146"/>
      <c r="E35" s="146"/>
    </row>
    <row r="36" spans="1:5" ht="21.95" customHeight="1" x14ac:dyDescent="0.25">
      <c r="A36" s="146"/>
      <c r="B36" s="146"/>
      <c r="C36" s="146"/>
      <c r="D36" s="146"/>
      <c r="E36" s="146"/>
    </row>
    <row r="37" spans="1:5" ht="21.95" customHeight="1" x14ac:dyDescent="0.25">
      <c r="A37" s="146"/>
      <c r="B37" s="146"/>
      <c r="C37" s="146"/>
      <c r="D37" s="146"/>
      <c r="E37" s="146"/>
    </row>
    <row r="38" spans="1:5" ht="21.95" customHeight="1" x14ac:dyDescent="0.25">
      <c r="A38" s="146"/>
      <c r="B38" s="146"/>
      <c r="C38" s="146"/>
      <c r="D38" s="146"/>
      <c r="E38" s="146"/>
    </row>
    <row r="39" spans="1:5" ht="21.95" customHeight="1" x14ac:dyDescent="0.25">
      <c r="A39" s="146"/>
      <c r="B39" s="146"/>
      <c r="C39" s="146"/>
      <c r="D39" s="146"/>
      <c r="E39" s="146"/>
    </row>
    <row r="40" spans="1:5" ht="21.95" customHeight="1" x14ac:dyDescent="0.25">
      <c r="A40" s="146"/>
      <c r="B40" s="146"/>
      <c r="C40" s="146"/>
      <c r="D40" s="146"/>
      <c r="E40" s="146"/>
    </row>
    <row r="41" spans="1:5" ht="21.95" customHeight="1" x14ac:dyDescent="0.25">
      <c r="A41" s="146"/>
      <c r="B41" s="146"/>
      <c r="C41" s="146"/>
      <c r="D41" s="146"/>
      <c r="E41" s="146"/>
    </row>
    <row r="42" spans="1:5" ht="21.95" customHeight="1" x14ac:dyDescent="0.25">
      <c r="A42" s="146"/>
      <c r="B42" s="146"/>
      <c r="C42" s="146"/>
      <c r="D42" s="146"/>
      <c r="E42" s="146"/>
    </row>
    <row r="43" spans="1:5" ht="21.95" customHeight="1" x14ac:dyDescent="0.25">
      <c r="A43" s="146"/>
      <c r="B43" s="146"/>
      <c r="C43" s="146"/>
      <c r="D43" s="146"/>
      <c r="E43" s="146"/>
    </row>
    <row r="44" spans="1:5" ht="21.95" customHeight="1" x14ac:dyDescent="0.25">
      <c r="A44" s="146"/>
      <c r="B44" s="146"/>
      <c r="C44" s="146"/>
      <c r="D44" s="146"/>
      <c r="E44" s="146"/>
    </row>
    <row r="45" spans="1:5" ht="21.95" customHeight="1" x14ac:dyDescent="0.25">
      <c r="A45" s="146"/>
      <c r="B45" s="146"/>
      <c r="C45" s="146"/>
      <c r="D45" s="146"/>
      <c r="E45" s="146"/>
    </row>
    <row r="46" spans="1:5" ht="21.95" customHeight="1" x14ac:dyDescent="0.25">
      <c r="A46" s="146"/>
      <c r="B46" s="146"/>
      <c r="C46" s="146"/>
      <c r="D46" s="146"/>
      <c r="E46" s="146"/>
    </row>
    <row r="47" spans="1:5" ht="21.95" customHeight="1" x14ac:dyDescent="0.25">
      <c r="A47" s="146"/>
      <c r="B47" s="146"/>
      <c r="C47" s="146"/>
      <c r="D47" s="146"/>
      <c r="E47" s="146"/>
    </row>
    <row r="48" spans="1:5" ht="21.95" customHeight="1" x14ac:dyDescent="0.25">
      <c r="A48" s="146"/>
      <c r="B48" s="146"/>
      <c r="C48" s="146"/>
      <c r="D48" s="146"/>
      <c r="E48" s="146"/>
    </row>
    <row r="49" spans="1:5" ht="21.95" customHeight="1" x14ac:dyDescent="0.25">
      <c r="A49" s="146"/>
      <c r="B49" s="146"/>
      <c r="C49" s="146"/>
      <c r="D49" s="146"/>
      <c r="E49" s="146"/>
    </row>
    <row r="50" spans="1:5" ht="21.95" customHeight="1" x14ac:dyDescent="0.25">
      <c r="A50" s="146"/>
      <c r="B50" s="146"/>
      <c r="C50" s="146"/>
      <c r="D50" s="146"/>
      <c r="E50" s="146"/>
    </row>
    <row r="51" spans="1:5" ht="21.95" customHeight="1" x14ac:dyDescent="0.25">
      <c r="A51" s="146"/>
      <c r="B51" s="146"/>
      <c r="C51" s="146"/>
      <c r="D51" s="146"/>
      <c r="E51" s="146"/>
    </row>
    <row r="52" spans="1:5" ht="21.95" customHeight="1" x14ac:dyDescent="0.25">
      <c r="A52" s="146"/>
      <c r="B52" s="146"/>
      <c r="C52" s="146"/>
      <c r="D52" s="146"/>
      <c r="E52" s="146"/>
    </row>
    <row r="53" spans="1:5" ht="21.95" customHeight="1" x14ac:dyDescent="0.25">
      <c r="A53" s="146"/>
      <c r="B53" s="146"/>
      <c r="C53" s="146"/>
      <c r="D53" s="146"/>
      <c r="E53" s="146"/>
    </row>
    <row r="54" spans="1:5" ht="21.95" customHeight="1" x14ac:dyDescent="0.25">
      <c r="A54" s="146"/>
      <c r="B54" s="146"/>
      <c r="C54" s="146"/>
      <c r="D54" s="146"/>
      <c r="E54" s="146"/>
    </row>
    <row r="55" spans="1:5" ht="21.95" customHeight="1" x14ac:dyDescent="0.25">
      <c r="A55" s="146"/>
      <c r="B55" s="146"/>
      <c r="C55" s="146"/>
      <c r="D55" s="146"/>
      <c r="E55" s="146"/>
    </row>
    <row r="56" spans="1:5" ht="21.95" customHeight="1" x14ac:dyDescent="0.25">
      <c r="A56" s="146"/>
      <c r="B56" s="146"/>
      <c r="C56" s="146"/>
      <c r="D56" s="146"/>
      <c r="E56" s="146"/>
    </row>
    <row r="57" spans="1:5" ht="21.95" customHeight="1" x14ac:dyDescent="0.25">
      <c r="A57" s="146"/>
      <c r="B57" s="146"/>
      <c r="C57" s="146"/>
      <c r="D57" s="146"/>
      <c r="E57" s="146"/>
    </row>
    <row r="58" spans="1:5" ht="21.95" customHeight="1" x14ac:dyDescent="0.25">
      <c r="A58" s="146"/>
      <c r="B58" s="146"/>
      <c r="C58" s="146"/>
      <c r="D58" s="146"/>
      <c r="E58" s="146"/>
    </row>
    <row r="59" spans="1:5" ht="21.95" customHeight="1" x14ac:dyDescent="0.25">
      <c r="A59" s="146"/>
      <c r="B59" s="146"/>
      <c r="C59" s="146"/>
      <c r="D59" s="146"/>
      <c r="E59" s="146"/>
    </row>
    <row r="60" spans="1:5" ht="21.95" customHeight="1" x14ac:dyDescent="0.25">
      <c r="A60" s="146"/>
      <c r="B60" s="146"/>
      <c r="C60" s="146"/>
      <c r="D60" s="146"/>
      <c r="E60" s="146"/>
    </row>
    <row r="61" spans="1:5" ht="21.95" customHeight="1" x14ac:dyDescent="0.25">
      <c r="A61" s="146"/>
      <c r="B61" s="146"/>
      <c r="C61" s="146"/>
      <c r="D61" s="146"/>
      <c r="E61" s="146"/>
    </row>
    <row r="62" spans="1:5" ht="21.95" customHeight="1" x14ac:dyDescent="0.25">
      <c r="A62" s="146"/>
      <c r="B62" s="146"/>
      <c r="C62" s="146"/>
      <c r="D62" s="146"/>
      <c r="E62" s="146"/>
    </row>
    <row r="63" spans="1:5" ht="21.95" customHeight="1" x14ac:dyDescent="0.25">
      <c r="A63" s="146"/>
      <c r="B63" s="146"/>
      <c r="C63" s="146"/>
      <c r="D63" s="146"/>
      <c r="E63" s="146"/>
    </row>
    <row r="64" spans="1:5" ht="21.95" customHeight="1" x14ac:dyDescent="0.25">
      <c r="A64" s="146"/>
      <c r="B64" s="146"/>
      <c r="C64" s="146"/>
      <c r="D64" s="146"/>
      <c r="E64" s="146"/>
    </row>
    <row r="65" spans="1:5" ht="21.95" customHeight="1" x14ac:dyDescent="0.25">
      <c r="A65" s="146"/>
      <c r="B65" s="146"/>
      <c r="C65" s="146"/>
      <c r="D65" s="146"/>
      <c r="E65" s="146"/>
    </row>
    <row r="66" spans="1:5" ht="21.95" customHeight="1" x14ac:dyDescent="0.25">
      <c r="A66" s="146"/>
      <c r="B66" s="146"/>
      <c r="C66" s="146"/>
      <c r="D66" s="146"/>
      <c r="E66" s="146"/>
    </row>
    <row r="67" spans="1:5" ht="21.95" customHeight="1" x14ac:dyDescent="0.25">
      <c r="A67" s="146"/>
      <c r="B67" s="146"/>
      <c r="C67" s="146"/>
      <c r="D67" s="146"/>
      <c r="E67" s="146"/>
    </row>
    <row r="68" spans="1:5" ht="21.95" customHeight="1" x14ac:dyDescent="0.25">
      <c r="A68" s="146"/>
      <c r="B68" s="146"/>
      <c r="C68" s="146"/>
      <c r="D68" s="146"/>
      <c r="E68" s="146"/>
    </row>
    <row r="69" spans="1:5" ht="21.95" customHeight="1" x14ac:dyDescent="0.25">
      <c r="A69" s="146"/>
      <c r="B69" s="146"/>
      <c r="C69" s="146"/>
      <c r="D69" s="146"/>
      <c r="E69" s="146"/>
    </row>
    <row r="70" spans="1:5" ht="21.95" customHeight="1" x14ac:dyDescent="0.25">
      <c r="A70" s="146"/>
      <c r="B70" s="146"/>
      <c r="C70" s="146"/>
      <c r="D70" s="146"/>
      <c r="E70" s="146"/>
    </row>
    <row r="71" spans="1:5" ht="21.95" customHeight="1" x14ac:dyDescent="0.25">
      <c r="A71" s="146"/>
      <c r="B71" s="146"/>
      <c r="C71" s="146"/>
      <c r="D71" s="146"/>
      <c r="E71" s="146"/>
    </row>
    <row r="72" spans="1:5" ht="21.95" customHeight="1" x14ac:dyDescent="0.25">
      <c r="A72" s="146"/>
      <c r="B72" s="146"/>
      <c r="C72" s="146"/>
      <c r="D72" s="146"/>
      <c r="E72" s="146"/>
    </row>
    <row r="73" spans="1:5" ht="21.95" customHeight="1" x14ac:dyDescent="0.25">
      <c r="A73" s="146"/>
      <c r="B73" s="146"/>
      <c r="C73" s="146"/>
      <c r="D73" s="146"/>
      <c r="E73" s="146"/>
    </row>
    <row r="74" spans="1:5" ht="21.95" customHeight="1" x14ac:dyDescent="0.25">
      <c r="A74" s="146"/>
      <c r="B74" s="146"/>
      <c r="C74" s="146"/>
      <c r="D74" s="146"/>
      <c r="E74" s="146"/>
    </row>
    <row r="75" spans="1:5" ht="21.95" customHeight="1" x14ac:dyDescent="0.25">
      <c r="A75" s="146"/>
      <c r="B75" s="146"/>
      <c r="C75" s="146"/>
      <c r="D75" s="146"/>
      <c r="E75" s="146"/>
    </row>
    <row r="76" spans="1:5" ht="21.95" customHeight="1" x14ac:dyDescent="0.25">
      <c r="A76" s="146"/>
      <c r="B76" s="146"/>
      <c r="C76" s="146"/>
      <c r="D76" s="146"/>
      <c r="E76" s="146"/>
    </row>
    <row r="77" spans="1:5" ht="21.95" customHeight="1" x14ac:dyDescent="0.25">
      <c r="A77" s="146"/>
      <c r="B77" s="146"/>
      <c r="C77" s="146"/>
      <c r="D77" s="146"/>
      <c r="E77" s="146"/>
    </row>
    <row r="78" spans="1:5" ht="21.95" customHeight="1" x14ac:dyDescent="0.25">
      <c r="A78" s="146"/>
      <c r="B78" s="146"/>
      <c r="C78" s="146"/>
      <c r="D78" s="146"/>
      <c r="E78" s="146"/>
    </row>
    <row r="79" spans="1:5" ht="21.95" customHeight="1" x14ac:dyDescent="0.25">
      <c r="A79" s="146"/>
      <c r="B79" s="146"/>
      <c r="C79" s="146"/>
      <c r="D79" s="146"/>
      <c r="E79" s="146"/>
    </row>
    <row r="80" spans="1:5" ht="21.95" customHeight="1" x14ac:dyDescent="0.25">
      <c r="A80" s="146"/>
      <c r="B80" s="146"/>
      <c r="C80" s="146"/>
      <c r="D80" s="146"/>
      <c r="E80" s="146"/>
    </row>
    <row r="81" spans="1:5" ht="21.95" customHeight="1" x14ac:dyDescent="0.25">
      <c r="A81" s="146"/>
      <c r="B81" s="146"/>
      <c r="C81" s="146"/>
      <c r="D81" s="146"/>
      <c r="E81" s="146"/>
    </row>
    <row r="82" spans="1:5" ht="21.95" customHeight="1" x14ac:dyDescent="0.25">
      <c r="A82" s="146"/>
      <c r="B82" s="146"/>
      <c r="C82" s="146"/>
      <c r="D82" s="146"/>
      <c r="E82" s="146"/>
    </row>
    <row r="83" spans="1:5" ht="21.95" customHeight="1" x14ac:dyDescent="0.25">
      <c r="A83" s="146"/>
      <c r="B83" s="146"/>
      <c r="C83" s="146"/>
      <c r="D83" s="146"/>
      <c r="E83" s="146"/>
    </row>
    <row r="84" spans="1:5" ht="21.95" customHeight="1" x14ac:dyDescent="0.25">
      <c r="A84" s="146"/>
      <c r="B84" s="146"/>
      <c r="C84" s="146"/>
      <c r="D84" s="146"/>
      <c r="E84" s="146"/>
    </row>
    <row r="85" spans="1:5" ht="21.95" customHeight="1" x14ac:dyDescent="0.25">
      <c r="A85" s="146"/>
      <c r="B85" s="146"/>
      <c r="C85" s="146"/>
      <c r="D85" s="146"/>
      <c r="E85" s="146"/>
    </row>
    <row r="86" spans="1:5" ht="21.95" customHeight="1" x14ac:dyDescent="0.25">
      <c r="A86" s="146"/>
      <c r="B86" s="146"/>
      <c r="C86" s="146"/>
      <c r="D86" s="146"/>
      <c r="E86" s="146"/>
    </row>
    <row r="87" spans="1:5" ht="21.95" customHeight="1" x14ac:dyDescent="0.25">
      <c r="A87" s="146"/>
      <c r="B87" s="146"/>
      <c r="C87" s="146"/>
      <c r="D87" s="146"/>
      <c r="E87" s="146"/>
    </row>
    <row r="88" spans="1:5" ht="21.95" customHeight="1" x14ac:dyDescent="0.25">
      <c r="A88" s="146"/>
      <c r="B88" s="146"/>
      <c r="C88" s="146"/>
      <c r="D88" s="146"/>
      <c r="E88" s="146"/>
    </row>
    <row r="89" spans="1:5" ht="21.95" customHeight="1" x14ac:dyDescent="0.25">
      <c r="A89" s="146"/>
      <c r="B89" s="146"/>
      <c r="C89" s="146"/>
      <c r="D89" s="146"/>
      <c r="E89" s="146"/>
    </row>
    <row r="90" spans="1:5" ht="21.95" customHeight="1" x14ac:dyDescent="0.25">
      <c r="A90" s="146"/>
      <c r="B90" s="146"/>
      <c r="C90" s="146"/>
      <c r="D90" s="146"/>
      <c r="E90" s="146"/>
    </row>
    <row r="91" spans="1:5" ht="21.95" customHeight="1" x14ac:dyDescent="0.25">
      <c r="A91" s="146"/>
      <c r="B91" s="146"/>
      <c r="C91" s="146"/>
      <c r="D91" s="146"/>
      <c r="E91" s="146"/>
    </row>
    <row r="92" spans="1:5" ht="21.95" customHeight="1" x14ac:dyDescent="0.25">
      <c r="A92" s="146"/>
      <c r="B92" s="146"/>
      <c r="C92" s="146"/>
      <c r="D92" s="146"/>
      <c r="E92" s="146"/>
    </row>
    <row r="93" spans="1:5" ht="21.95" customHeight="1" x14ac:dyDescent="0.25">
      <c r="A93" s="146"/>
      <c r="B93" s="146"/>
      <c r="C93" s="146"/>
      <c r="D93" s="146"/>
      <c r="E93" s="146"/>
    </row>
    <row r="94" spans="1:5" ht="21.95" customHeight="1" x14ac:dyDescent="0.25">
      <c r="A94" s="146"/>
      <c r="B94" s="146"/>
      <c r="C94" s="146"/>
      <c r="D94" s="146"/>
      <c r="E94" s="146"/>
    </row>
    <row r="95" spans="1:5" ht="21.95" customHeight="1" x14ac:dyDescent="0.25">
      <c r="A95" s="146"/>
      <c r="B95" s="146"/>
      <c r="C95" s="146"/>
      <c r="D95" s="146"/>
      <c r="E95" s="146"/>
    </row>
    <row r="96" spans="1:5" ht="21.95" customHeight="1" x14ac:dyDescent="0.25">
      <c r="A96" s="146"/>
      <c r="B96" s="146"/>
      <c r="C96" s="146"/>
      <c r="D96" s="146"/>
      <c r="E96" s="146"/>
    </row>
    <row r="97" spans="1:5" ht="21.95" customHeight="1" x14ac:dyDescent="0.25">
      <c r="A97" s="146"/>
      <c r="B97" s="146"/>
      <c r="C97" s="146"/>
      <c r="D97" s="146"/>
      <c r="E97" s="146"/>
    </row>
    <row r="98" spans="1:5" ht="21.95" customHeight="1" x14ac:dyDescent="0.25">
      <c r="A98" s="146"/>
      <c r="B98" s="146"/>
      <c r="C98" s="146"/>
      <c r="D98" s="146"/>
      <c r="E98" s="146"/>
    </row>
    <row r="99" spans="1:5" ht="21.95" customHeight="1" x14ac:dyDescent="0.25">
      <c r="A99" s="146"/>
      <c r="B99" s="146"/>
      <c r="C99" s="146"/>
      <c r="D99" s="146"/>
      <c r="E99" s="146"/>
    </row>
    <row r="100" spans="1:5" ht="21.95" customHeight="1" x14ac:dyDescent="0.25">
      <c r="A100" s="146"/>
      <c r="B100" s="146"/>
      <c r="C100" s="146"/>
      <c r="D100" s="146"/>
      <c r="E100" s="146"/>
    </row>
    <row r="101" spans="1:5" ht="21.95" customHeight="1" x14ac:dyDescent="0.25">
      <c r="A101" s="146"/>
      <c r="B101" s="146"/>
      <c r="C101" s="146"/>
      <c r="D101" s="146"/>
      <c r="E101" s="146"/>
    </row>
    <row r="102" spans="1:5" ht="21.95" customHeight="1" x14ac:dyDescent="0.25">
      <c r="A102" s="146"/>
      <c r="B102" s="146"/>
      <c r="C102" s="146"/>
      <c r="D102" s="146"/>
      <c r="E102" s="146"/>
    </row>
    <row r="103" spans="1:5" ht="21.95" customHeight="1" x14ac:dyDescent="0.25">
      <c r="A103" s="146"/>
      <c r="B103" s="146"/>
      <c r="C103" s="146"/>
      <c r="D103" s="146"/>
      <c r="E103" s="146"/>
    </row>
    <row r="104" spans="1:5" ht="21.95" customHeight="1" x14ac:dyDescent="0.25">
      <c r="A104" s="146"/>
      <c r="B104" s="146"/>
      <c r="C104" s="146"/>
      <c r="D104" s="146"/>
      <c r="E104" s="146"/>
    </row>
    <row r="105" spans="1:5" ht="21.95" customHeight="1" x14ac:dyDescent="0.25">
      <c r="A105" s="146"/>
      <c r="B105" s="146"/>
      <c r="C105" s="146"/>
      <c r="D105" s="146"/>
      <c r="E105" s="146"/>
    </row>
    <row r="106" spans="1:5" ht="21.95" customHeight="1" x14ac:dyDescent="0.25">
      <c r="A106" s="146"/>
      <c r="B106" s="146"/>
      <c r="C106" s="146"/>
      <c r="D106" s="146"/>
      <c r="E106" s="146"/>
    </row>
    <row r="107" spans="1:5" ht="21.95" customHeight="1" x14ac:dyDescent="0.25">
      <c r="A107" s="146"/>
      <c r="B107" s="146"/>
      <c r="C107" s="146"/>
      <c r="D107" s="146"/>
      <c r="E107" s="146"/>
    </row>
    <row r="108" spans="1:5" ht="21.95" customHeight="1" x14ac:dyDescent="0.25">
      <c r="A108" s="146"/>
      <c r="B108" s="146"/>
      <c r="C108" s="146"/>
      <c r="D108" s="146"/>
      <c r="E108" s="146"/>
    </row>
    <row r="109" spans="1:5" ht="21.95" customHeight="1" x14ac:dyDescent="0.25">
      <c r="A109" s="146"/>
      <c r="B109" s="146"/>
      <c r="C109" s="146"/>
      <c r="D109" s="146"/>
      <c r="E109" s="146"/>
    </row>
    <row r="110" spans="1:5" ht="21.95" customHeight="1" x14ac:dyDescent="0.25">
      <c r="A110" s="146"/>
      <c r="B110" s="146"/>
      <c r="C110" s="146"/>
      <c r="D110" s="146"/>
      <c r="E110" s="146"/>
    </row>
    <row r="111" spans="1:5" ht="21.95" customHeight="1" x14ac:dyDescent="0.25">
      <c r="A111" s="146"/>
      <c r="B111" s="146"/>
      <c r="C111" s="146"/>
      <c r="D111" s="146"/>
      <c r="E111" s="146"/>
    </row>
    <row r="112" spans="1:5" ht="21.95" customHeight="1" x14ac:dyDescent="0.25">
      <c r="A112" s="146"/>
      <c r="B112" s="146"/>
      <c r="C112" s="146"/>
      <c r="D112" s="146"/>
      <c r="E112" s="146"/>
    </row>
    <row r="113" spans="1:5" ht="21.95" customHeight="1" x14ac:dyDescent="0.25">
      <c r="A113" s="146"/>
      <c r="B113" s="146"/>
      <c r="C113" s="146"/>
      <c r="D113" s="146"/>
      <c r="E113" s="146"/>
    </row>
    <row r="114" spans="1:5" ht="21.95" customHeight="1" x14ac:dyDescent="0.25">
      <c r="A114" s="146"/>
      <c r="B114" s="146"/>
      <c r="C114" s="146"/>
      <c r="D114" s="146"/>
      <c r="E114" s="146"/>
    </row>
    <row r="115" spans="1:5" ht="21.95" customHeight="1" x14ac:dyDescent="0.25">
      <c r="A115" s="146"/>
      <c r="B115" s="146"/>
      <c r="C115" s="146"/>
      <c r="D115" s="146"/>
      <c r="E115" s="146"/>
    </row>
    <row r="116" spans="1:5" ht="21.95" customHeight="1" x14ac:dyDescent="0.25">
      <c r="A116" s="146"/>
      <c r="B116" s="146"/>
      <c r="C116" s="146"/>
      <c r="D116" s="146"/>
      <c r="E116" s="146"/>
    </row>
    <row r="117" spans="1:5" ht="21.95" customHeight="1" x14ac:dyDescent="0.25">
      <c r="A117" s="146"/>
      <c r="B117" s="146"/>
      <c r="C117" s="146"/>
      <c r="D117" s="146"/>
      <c r="E117" s="146"/>
    </row>
    <row r="118" spans="1:5" ht="21.95" customHeight="1" x14ac:dyDescent="0.25">
      <c r="A118" s="146"/>
      <c r="B118" s="146"/>
      <c r="C118" s="146"/>
      <c r="D118" s="146"/>
      <c r="E118" s="146"/>
    </row>
    <row r="119" spans="1:5" ht="21.95" customHeight="1" x14ac:dyDescent="0.25">
      <c r="A119" s="146"/>
      <c r="B119" s="146"/>
      <c r="C119" s="146"/>
      <c r="D119" s="146"/>
      <c r="E119" s="146"/>
    </row>
    <row r="120" spans="1:5" ht="21.95" customHeight="1" x14ac:dyDescent="0.25">
      <c r="A120" s="146"/>
      <c r="B120" s="146"/>
      <c r="C120" s="146"/>
      <c r="D120" s="146"/>
      <c r="E120" s="146"/>
    </row>
    <row r="121" spans="1:5" ht="21.95" customHeight="1" x14ac:dyDescent="0.25">
      <c r="A121" s="146"/>
      <c r="B121" s="146"/>
      <c r="C121" s="146"/>
      <c r="D121" s="146"/>
      <c r="E121" s="146"/>
    </row>
    <row r="122" spans="1:5" ht="21.95" customHeight="1" x14ac:dyDescent="0.25">
      <c r="A122" s="146"/>
      <c r="B122" s="146"/>
      <c r="C122" s="146"/>
      <c r="D122" s="146"/>
      <c r="E122" s="146"/>
    </row>
    <row r="123" spans="1:5" ht="21.95" customHeight="1" x14ac:dyDescent="0.25">
      <c r="A123" s="146"/>
      <c r="B123" s="146"/>
      <c r="C123" s="146"/>
      <c r="D123" s="146"/>
      <c r="E123" s="146"/>
    </row>
    <row r="124" spans="1:5" ht="21.95" customHeight="1" x14ac:dyDescent="0.25">
      <c r="A124" s="146"/>
      <c r="B124" s="146"/>
      <c r="C124" s="146"/>
      <c r="D124" s="146"/>
      <c r="E124" s="146"/>
    </row>
    <row r="125" spans="1:5" ht="21.95" customHeight="1" x14ac:dyDescent="0.25">
      <c r="A125" s="146"/>
      <c r="B125" s="146"/>
      <c r="C125" s="146"/>
      <c r="D125" s="146"/>
      <c r="E125" s="146"/>
    </row>
    <row r="126" spans="1:5" ht="18.75" x14ac:dyDescent="0.25">
      <c r="A126" s="146"/>
      <c r="B126" s="146"/>
      <c r="C126" s="146"/>
      <c r="D126" s="146"/>
      <c r="E126" s="146"/>
    </row>
    <row r="127" spans="1:5" ht="18.75" x14ac:dyDescent="0.25">
      <c r="A127" s="146"/>
      <c r="B127" s="146"/>
      <c r="C127" s="146"/>
      <c r="D127" s="146"/>
      <c r="E127" s="146"/>
    </row>
    <row r="128" spans="1:5" ht="18.75" x14ac:dyDescent="0.25">
      <c r="A128" s="146"/>
      <c r="B128" s="146"/>
      <c r="C128" s="146"/>
      <c r="D128" s="146"/>
      <c r="E128" s="146"/>
    </row>
    <row r="129" spans="1:5" ht="18.75" x14ac:dyDescent="0.25">
      <c r="A129" s="146"/>
      <c r="B129" s="146"/>
      <c r="C129" s="146"/>
      <c r="D129" s="146"/>
      <c r="E129" s="146"/>
    </row>
    <row r="130" spans="1:5" ht="18.75" x14ac:dyDescent="0.25">
      <c r="A130" s="146"/>
      <c r="B130" s="146"/>
      <c r="C130" s="146"/>
      <c r="D130" s="146"/>
      <c r="E130" s="146"/>
    </row>
    <row r="131" spans="1:5" ht="18.75" x14ac:dyDescent="0.25">
      <c r="A131" s="146"/>
      <c r="B131" s="146"/>
      <c r="C131" s="146"/>
      <c r="D131" s="146"/>
      <c r="E131" s="146"/>
    </row>
    <row r="132" spans="1:5" ht="18.75" x14ac:dyDescent="0.25">
      <c r="A132" s="146"/>
      <c r="B132" s="146"/>
      <c r="C132" s="146"/>
      <c r="D132" s="146"/>
      <c r="E132" s="146"/>
    </row>
  </sheetData>
  <sheetProtection algorithmName="SHA-512" hashValue="UpEOmU/yd1WQyrTyYlU/U+Th/nIhI8eBw6ky7JR9dYimPzhPOloxWWU1YWrzQJpnQWI4NbYZCluxc0SvJtjEbA==" saltValue="AfFsz0ysvTqSao2FuwXOCA==" spinCount="100000" sheet="1" objects="1" scenarios="1"/>
  <mergeCells count="5">
    <mergeCell ref="C4:D4"/>
    <mergeCell ref="E4:F4"/>
    <mergeCell ref="G4:H4"/>
    <mergeCell ref="I4:J4"/>
    <mergeCell ref="K4:L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5"/>
  <sheetViews>
    <sheetView tabSelected="1" workbookViewId="0"/>
  </sheetViews>
  <sheetFormatPr defaultRowHeight="15" x14ac:dyDescent="0.25"/>
  <cols>
    <col min="1" max="1" width="2.5703125" customWidth="1"/>
    <col min="2" max="2" width="50.5703125" customWidth="1"/>
    <col min="3" max="10" width="20.5703125" customWidth="1"/>
  </cols>
  <sheetData>
    <row r="1" spans="1:10" ht="18.75" x14ac:dyDescent="0.3">
      <c r="B1" s="143" t="s">
        <v>34</v>
      </c>
    </row>
    <row r="5" spans="1:10" ht="15.75" thickBot="1" x14ac:dyDescent="0.3"/>
    <row r="6" spans="1:10" s="142" customFormat="1" ht="21.95" customHeight="1" thickBot="1" x14ac:dyDescent="0.35">
      <c r="C6" s="197" t="s">
        <v>164</v>
      </c>
      <c r="D6" s="198"/>
      <c r="E6" s="197" t="s">
        <v>159</v>
      </c>
      <c r="F6" s="198"/>
      <c r="G6" s="197" t="s">
        <v>160</v>
      </c>
      <c r="H6" s="198"/>
      <c r="I6" s="197" t="s">
        <v>161</v>
      </c>
      <c r="J6" s="198"/>
    </row>
    <row r="7" spans="1:10" s="142" customFormat="1" ht="38.1" customHeight="1" thickBot="1" x14ac:dyDescent="0.35">
      <c r="A7" s="141" t="s">
        <v>7</v>
      </c>
      <c r="B7" s="186" t="s">
        <v>165</v>
      </c>
      <c r="C7" s="180" t="s">
        <v>32</v>
      </c>
      <c r="D7" s="181" t="s">
        <v>10</v>
      </c>
      <c r="E7" s="180" t="s">
        <v>9</v>
      </c>
      <c r="F7" s="181" t="s">
        <v>10</v>
      </c>
      <c r="G7" s="180" t="s">
        <v>9</v>
      </c>
      <c r="H7" s="181" t="s">
        <v>10</v>
      </c>
      <c r="I7" s="180" t="s">
        <v>9</v>
      </c>
      <c r="J7" s="181" t="s">
        <v>10</v>
      </c>
    </row>
    <row r="8" spans="1:10" s="142" customFormat="1" ht="21.95" customHeight="1" x14ac:dyDescent="0.3">
      <c r="B8" s="169" t="s">
        <v>36</v>
      </c>
      <c r="C8" s="168">
        <f>IF('Consolidated Sales'!$C$2=1,'Sales Input'!C194,IF('Consolidated Sales'!$C$2=2,'Sales Input'!D194,IF('Consolidated Sales'!$C$2=3,'Sales Input'!E194,IF('Consolidated Sales'!$C$2=4,'Sales Input'!F194,IF('Consolidated Sales'!$C$2=5,'Sales Input'!G194,IF('Consolidated Sales'!$C$2=6,'Sales Input'!H194,IF('Consolidated Sales'!$C$2=7,'Sales Input'!I194,IF('Consolidated Sales'!$C$2=8,'Sales Input'!J194,IF('Consolidated Sales'!$C$2=9,'Sales Input'!K194,IF('Consolidated Sales'!$C$2=10,'Sales Input'!L194,IF('Consolidated Sales'!$C$2=11,'Sales Input'!M194,IF('Consolidated Sales'!$C$2=12,'Sales Input'!N194,IF('Consolidated Sales'!$C$2=13,'Sales Input'!O194,0)))))))))))))</f>
        <v>1260000</v>
      </c>
      <c r="D8" s="174">
        <f t="shared" ref="D8:D20" si="0">SUM(C8-E8-G8-I8)</f>
        <v>0</v>
      </c>
      <c r="E8" s="168">
        <f>IF('Consolidated Sales'!$C$2=1,'Sales Input'!C208,IF('Consolidated Sales'!$C$2=2,'Sales Input'!D208,IF('Consolidated Sales'!$C$2=3,'Sales Input'!E208,IF('Consolidated Sales'!$C$2=4,'Sales Input'!F208,IF('Consolidated Sales'!$C$2=5,'Sales Input'!G208,IF('Consolidated Sales'!$C$2=6,'Sales Input'!H208,IF('Consolidated Sales'!$C$2=7,'Sales Input'!I208,IF('Consolidated Sales'!$C$2=8,'Sales Input'!J208,IF('Consolidated Sales'!$C$2=9,'Sales Input'!K208,IF('Consolidated Sales'!$C$2=10,'Sales Input'!L208,IF('Consolidated Sales'!$C$2=11,'Sales Input'!M208,IF('Consolidated Sales'!$C$2=12,'Sales Input'!N208,IF('Consolidated Sales'!$C$2=13,'Sales Input'!O208,0)))))))))))))</f>
        <v>0</v>
      </c>
      <c r="F8" s="174">
        <f t="shared" ref="F8:F20" si="1">SUM(C8-G8-I8)</f>
        <v>0</v>
      </c>
      <c r="G8" s="168">
        <f>IF('Consolidated Sales'!$C$2=1,'Sales Input'!C222,IF('Consolidated Sales'!$C$2=2,'Sales Input'!D222,IF('Consolidated Sales'!$C$2=3,'Sales Input'!E222,IF('Consolidated Sales'!$C$2=4,'Sales Input'!F222,IF('Consolidated Sales'!$C$2=5,'Sales Input'!G222,IF('Consolidated Sales'!$C$2=6,'Sales Input'!H222,IF('Consolidated Sales'!$C$2=7,'Sales Input'!I222,IF('Consolidated Sales'!$C$2=8,'Sales Input'!J222,IF('Consolidated Sales'!$C$2=9,'Sales Input'!K222,IF('Consolidated Sales'!$C$2=10,'Sales Input'!L222,IF('Consolidated Sales'!$C$2=11,'Sales Input'!M222,IF('Consolidated Sales'!$C$2=12,'Sales Input'!N222,IF('Consolidated Sales'!$C$2=13,'Sales Input'!O222,0)))))))))))))</f>
        <v>0</v>
      </c>
      <c r="H8" s="174">
        <f t="shared" ref="H8:H20" si="2">SUM(C8-E8-G8-I8)</f>
        <v>0</v>
      </c>
      <c r="I8" s="168">
        <f>IF('Consolidated Sales'!$C$2=1,'Sales Input'!C236,IF('Consolidated Sales'!$C$2=2,'Sales Input'!D236,IF('Consolidated Sales'!$C$2=3,'Sales Input'!E236,IF('Consolidated Sales'!$C$2=4,'Sales Input'!F236,IF('Consolidated Sales'!$C$2=5,'Sales Input'!G236,IF('Consolidated Sales'!$C$2=6,'Sales Input'!H236,IF('Consolidated Sales'!$C$2=7,'Sales Input'!I236,IF('Consolidated Sales'!$C$2=8,'Sales Input'!J236,IF('Consolidated Sales'!$C$2=9,'Sales Input'!K236,IF('Consolidated Sales'!$C$2=10,'Sales Input'!L236,IF('Consolidated Sales'!$C$2=11,'Sales Input'!M236,IF('Consolidated Sales'!$C$2=12,'Sales Input'!N236,IF('Consolidated Sales'!$C$2=13,'Sales Input'!O236,0)))))))))))))</f>
        <v>1260000</v>
      </c>
      <c r="J8" s="174">
        <f t="shared" ref="J8:J20" si="3">SUM(C8-E8-G8-I8)</f>
        <v>0</v>
      </c>
    </row>
    <row r="9" spans="1:10" s="142" customFormat="1" ht="21.95" customHeight="1" x14ac:dyDescent="0.3">
      <c r="A9" s="148"/>
      <c r="B9" s="187" t="s">
        <v>37</v>
      </c>
      <c r="C9" s="150">
        <f>SUM(C10:C12)</f>
        <v>329500</v>
      </c>
      <c r="D9" s="185">
        <f t="shared" si="0"/>
        <v>0</v>
      </c>
      <c r="E9" s="150">
        <f>SUM(E10:E12)</f>
        <v>0</v>
      </c>
      <c r="F9" s="185">
        <f t="shared" si="1"/>
        <v>0</v>
      </c>
      <c r="G9" s="150">
        <f>SUM(G10:G12)</f>
        <v>59500</v>
      </c>
      <c r="H9" s="185">
        <f t="shared" si="2"/>
        <v>0</v>
      </c>
      <c r="I9" s="150">
        <f>SUM(I10:I12)</f>
        <v>270000</v>
      </c>
      <c r="J9" s="185">
        <f t="shared" si="3"/>
        <v>0</v>
      </c>
    </row>
    <row r="10" spans="1:10" s="142" customFormat="1" ht="21.95" customHeight="1" x14ac:dyDescent="0.3">
      <c r="B10" s="169" t="s">
        <v>38</v>
      </c>
      <c r="C10" s="168">
        <f>IF('Consolidated Sales'!$C$2=1,'Sales Input'!C195,IF('Consolidated Sales'!$C$2=2,'Sales Input'!D195,IF('Consolidated Sales'!$C$2=3,'Sales Input'!E195,IF('Consolidated Sales'!$C$2=4,'Sales Input'!F195,IF('Consolidated Sales'!$C$2=5,'Sales Input'!G195,IF('Consolidated Sales'!$C$2=6,'Sales Input'!H195,IF('Consolidated Sales'!$C$2=7,'Sales Input'!I195,IF('Consolidated Sales'!$C$2=8,'Sales Input'!J195,IF('Consolidated Sales'!$C$2=9,'Sales Input'!K195,IF('Consolidated Sales'!$C$2=10,'Sales Input'!L195,IF('Consolidated Sales'!$C$2=11,'Sales Input'!M195,IF('Consolidated Sales'!$C$2=12,'Sales Input'!N195,IF('Consolidated Sales'!$C$2=13,'Sales Input'!O195,0)))))))))))))</f>
        <v>70000</v>
      </c>
      <c r="D10" s="174">
        <f t="shared" si="0"/>
        <v>0</v>
      </c>
      <c r="E10" s="168">
        <f>IF('Consolidated Sales'!$C$2=1,'Sales Input'!C209,IF('Consolidated Sales'!$C$2=2,'Sales Input'!D209,IF('Consolidated Sales'!$C$2=3,'Sales Input'!E209,IF('Consolidated Sales'!$C$2=4,'Sales Input'!F209,IF('Consolidated Sales'!$C$2=5,'Sales Input'!G209,IF('Consolidated Sales'!$C$2=6,'Sales Input'!H209,IF('Consolidated Sales'!$C$2=7,'Sales Input'!I209,IF('Consolidated Sales'!$C$2=8,'Sales Input'!J209,IF('Consolidated Sales'!$C$2=9,'Sales Input'!K209,IF('Consolidated Sales'!$C$2=10,'Sales Input'!L209,IF('Consolidated Sales'!$C$2=11,'Sales Input'!M209,IF('Consolidated Sales'!$C$2=12,'Sales Input'!N209,IF('Consolidated Sales'!$C$2=13,'Sales Input'!O209,0)))))))))))))</f>
        <v>0</v>
      </c>
      <c r="F10" s="174">
        <f t="shared" si="1"/>
        <v>0</v>
      </c>
      <c r="G10" s="168">
        <f>IF('Consolidated Sales'!$C$2=1,'Sales Input'!C223,IF('Consolidated Sales'!$C$2=2,'Sales Input'!D223,IF('Consolidated Sales'!$C$2=3,'Sales Input'!E223,IF('Consolidated Sales'!$C$2=4,'Sales Input'!F223,IF('Consolidated Sales'!$C$2=5,'Sales Input'!G223,IF('Consolidated Sales'!$C$2=6,'Sales Input'!H223,IF('Consolidated Sales'!$C$2=7,'Sales Input'!I223,IF('Consolidated Sales'!$C$2=8,'Sales Input'!J223,IF('Consolidated Sales'!$C$2=9,'Sales Input'!K223,IF('Consolidated Sales'!$C$2=10,'Sales Input'!L223,IF('Consolidated Sales'!$C$2=11,'Sales Input'!M223,IF('Consolidated Sales'!$C$2=12,'Sales Input'!N223,IF('Consolidated Sales'!$C$2=13,'Sales Input'!O223,0)))))))))))))</f>
        <v>0</v>
      </c>
      <c r="H10" s="174">
        <f t="shared" si="2"/>
        <v>0</v>
      </c>
      <c r="I10" s="168">
        <f>IF('Consolidated Sales'!$C$2=1,'Sales Input'!C237,IF('Consolidated Sales'!$C$2=2,'Sales Input'!D237,IF('Consolidated Sales'!$C$2=3,'Sales Input'!E237,IF('Consolidated Sales'!$C$2=4,'Sales Input'!F237,IF('Consolidated Sales'!$C$2=5,'Sales Input'!G237,IF('Consolidated Sales'!$C$2=6,'Sales Input'!H237,IF('Consolidated Sales'!$C$2=7,'Sales Input'!I237,IF('Consolidated Sales'!$C$2=8,'Sales Input'!J237,IF('Consolidated Sales'!$C$2=9,'Sales Input'!K237,IF('Consolidated Sales'!$C$2=10,'Sales Input'!L237,IF('Consolidated Sales'!$C$2=11,'Sales Input'!M237,IF('Consolidated Sales'!$C$2=12,'Sales Input'!N237,IF('Consolidated Sales'!$C$2=13,'Sales Input'!O237,0)))))))))))))</f>
        <v>70000</v>
      </c>
      <c r="J10" s="174">
        <f t="shared" si="3"/>
        <v>0</v>
      </c>
    </row>
    <row r="11" spans="1:10" s="142" customFormat="1" ht="21.95" customHeight="1" x14ac:dyDescent="0.3">
      <c r="B11" s="169" t="s">
        <v>39</v>
      </c>
      <c r="C11" s="168">
        <f>IF('Consolidated Sales'!$C$2=1,'Sales Input'!C196,IF('Consolidated Sales'!$C$2=2,'Sales Input'!D196,IF('Consolidated Sales'!$C$2=3,'Sales Input'!E196,IF('Consolidated Sales'!$C$2=4,'Sales Input'!F196,IF('Consolidated Sales'!$C$2=5,'Sales Input'!G196,IF('Consolidated Sales'!$C$2=6,'Sales Input'!H196,IF('Consolidated Sales'!$C$2=7,'Sales Input'!I196,IF('Consolidated Sales'!$C$2=8,'Sales Input'!J196,IF('Consolidated Sales'!$C$2=9,'Sales Input'!K196,IF('Consolidated Sales'!$C$2=10,'Sales Input'!L196,IF('Consolidated Sales'!$C$2=11,'Sales Input'!M196,IF('Consolidated Sales'!$C$2=12,'Sales Input'!N196,IF('Consolidated Sales'!$C$2=13,'Sales Input'!O196,0)))))))))))))</f>
        <v>200000</v>
      </c>
      <c r="D11" s="174">
        <f t="shared" si="0"/>
        <v>0</v>
      </c>
      <c r="E11" s="168">
        <f>IF('Consolidated Sales'!$C$2=1,'Sales Input'!C210,IF('Consolidated Sales'!$C$2=2,'Sales Input'!D210,IF('Consolidated Sales'!$C$2=3,'Sales Input'!E210,IF('Consolidated Sales'!$C$2=4,'Sales Input'!F210,IF('Consolidated Sales'!$C$2=5,'Sales Input'!G210,IF('Consolidated Sales'!$C$2=6,'Sales Input'!H210,IF('Consolidated Sales'!$C$2=7,'Sales Input'!I210,IF('Consolidated Sales'!$C$2=8,'Sales Input'!J210,IF('Consolidated Sales'!$C$2=9,'Sales Input'!K210,IF('Consolidated Sales'!$C$2=10,'Sales Input'!L210,IF('Consolidated Sales'!$C$2=11,'Sales Input'!M210,IF('Consolidated Sales'!$C$2=12,'Sales Input'!N210,IF('Consolidated Sales'!$C$2=13,'Sales Input'!O210,0)))))))))))))</f>
        <v>0</v>
      </c>
      <c r="F11" s="174">
        <f t="shared" si="1"/>
        <v>0</v>
      </c>
      <c r="G11" s="168">
        <f>IF('Consolidated Sales'!$C$2=1,'Sales Input'!C224,IF('Consolidated Sales'!$C$2=2,'Sales Input'!D224,IF('Consolidated Sales'!$C$2=3,'Sales Input'!E224,IF('Consolidated Sales'!$C$2=4,'Sales Input'!F224,IF('Consolidated Sales'!$C$2=5,'Sales Input'!G224,IF('Consolidated Sales'!$C$2=6,'Sales Input'!H224,IF('Consolidated Sales'!$C$2=7,'Sales Input'!I224,IF('Consolidated Sales'!$C$2=8,'Sales Input'!J224,IF('Consolidated Sales'!$C$2=9,'Sales Input'!K224,IF('Consolidated Sales'!$C$2=10,'Sales Input'!L224,IF('Consolidated Sales'!$C$2=11,'Sales Input'!M224,IF('Consolidated Sales'!$C$2=12,'Sales Input'!N224,IF('Consolidated Sales'!$C$2=13,'Sales Input'!O224,0)))))))))))))</f>
        <v>0</v>
      </c>
      <c r="H11" s="174">
        <f t="shared" si="2"/>
        <v>0</v>
      </c>
      <c r="I11" s="168">
        <f>IF('Consolidated Sales'!$C$2=1,'Sales Input'!C238,IF('Consolidated Sales'!$C$2=2,'Sales Input'!D238,IF('Consolidated Sales'!$C$2=3,'Sales Input'!E238,IF('Consolidated Sales'!$C$2=4,'Sales Input'!F238,IF('Consolidated Sales'!$C$2=5,'Sales Input'!G238,IF('Consolidated Sales'!$C$2=6,'Sales Input'!H238,IF('Consolidated Sales'!$C$2=7,'Sales Input'!I238,IF('Consolidated Sales'!$C$2=8,'Sales Input'!J238,IF('Consolidated Sales'!$C$2=9,'Sales Input'!K238,IF('Consolidated Sales'!$C$2=10,'Sales Input'!L238,IF('Consolidated Sales'!$C$2=11,'Sales Input'!M238,IF('Consolidated Sales'!$C$2=12,'Sales Input'!N238,IF('Consolidated Sales'!$C$2=13,'Sales Input'!O238,0)))))))))))))</f>
        <v>200000</v>
      </c>
      <c r="J11" s="174">
        <f t="shared" si="3"/>
        <v>0</v>
      </c>
    </row>
    <row r="12" spans="1:10" s="142" customFormat="1" ht="21.95" customHeight="1" x14ac:dyDescent="0.3">
      <c r="B12" s="169" t="s">
        <v>40</v>
      </c>
      <c r="C12" s="168">
        <f>IF('Consolidated Sales'!$C$2=1,'Sales Input'!C197,IF('Consolidated Sales'!$C$2=2,'Sales Input'!D197,IF('Consolidated Sales'!$C$2=3,'Sales Input'!E197,IF('Consolidated Sales'!$C$2=4,'Sales Input'!F197,IF('Consolidated Sales'!$C$2=5,'Sales Input'!G197,IF('Consolidated Sales'!$C$2=6,'Sales Input'!H197,IF('Consolidated Sales'!$C$2=7,'Sales Input'!I197,IF('Consolidated Sales'!$C$2=8,'Sales Input'!J197,IF('Consolidated Sales'!$C$2=9,'Sales Input'!K197,IF('Consolidated Sales'!$C$2=10,'Sales Input'!L197,IF('Consolidated Sales'!$C$2=11,'Sales Input'!M197,IF('Consolidated Sales'!$C$2=12,'Sales Input'!N197,IF('Consolidated Sales'!$C$2=13,'Sales Input'!O197,0)))))))))))))</f>
        <v>59500</v>
      </c>
      <c r="D12" s="174">
        <f t="shared" si="0"/>
        <v>0</v>
      </c>
      <c r="E12" s="168">
        <f>IF('Consolidated Sales'!$C$2=1,'Sales Input'!C211,IF('Consolidated Sales'!$C$2=2,'Sales Input'!D211,IF('Consolidated Sales'!$C$2=3,'Sales Input'!E211,IF('Consolidated Sales'!$C$2=4,'Sales Input'!F211,IF('Consolidated Sales'!$C$2=5,'Sales Input'!G211,IF('Consolidated Sales'!$C$2=6,'Sales Input'!H211,IF('Consolidated Sales'!$C$2=7,'Sales Input'!I211,IF('Consolidated Sales'!$C$2=8,'Sales Input'!J211,IF('Consolidated Sales'!$C$2=9,'Sales Input'!K211,IF('Consolidated Sales'!$C$2=10,'Sales Input'!L211,IF('Consolidated Sales'!$C$2=11,'Sales Input'!M211,IF('Consolidated Sales'!$C$2=12,'Sales Input'!N211,IF('Consolidated Sales'!$C$2=13,'Sales Input'!O211,0)))))))))))))</f>
        <v>0</v>
      </c>
      <c r="F12" s="174">
        <f t="shared" si="1"/>
        <v>0</v>
      </c>
      <c r="G12" s="168">
        <f>IF('Consolidated Sales'!$C$2=1,'Sales Input'!C225,IF('Consolidated Sales'!$C$2=2,'Sales Input'!D225,IF('Consolidated Sales'!$C$2=3,'Sales Input'!E225,IF('Consolidated Sales'!$C$2=4,'Sales Input'!F225,IF('Consolidated Sales'!$C$2=5,'Sales Input'!G225,IF('Consolidated Sales'!$C$2=6,'Sales Input'!H225,IF('Consolidated Sales'!$C$2=7,'Sales Input'!I225,IF('Consolidated Sales'!$C$2=8,'Sales Input'!J225,IF('Consolidated Sales'!$C$2=9,'Sales Input'!K225,IF('Consolidated Sales'!$C$2=10,'Sales Input'!L225,IF('Consolidated Sales'!$C$2=11,'Sales Input'!M225,IF('Consolidated Sales'!$C$2=12,'Sales Input'!N225,IF('Consolidated Sales'!$C$2=13,'Sales Input'!O225,0)))))))))))))</f>
        <v>59500</v>
      </c>
      <c r="H12" s="174">
        <f t="shared" si="2"/>
        <v>0</v>
      </c>
      <c r="I12" s="168">
        <f>IF('Consolidated Sales'!$C$2=1,'Sales Input'!C239,IF('Consolidated Sales'!$C$2=2,'Sales Input'!D239,IF('Consolidated Sales'!$C$2=3,'Sales Input'!E239,IF('Consolidated Sales'!$C$2=4,'Sales Input'!F239,IF('Consolidated Sales'!$C$2=5,'Sales Input'!G239,IF('Consolidated Sales'!$C$2=6,'Sales Input'!H239,IF('Consolidated Sales'!$C$2=7,'Sales Input'!I239,IF('Consolidated Sales'!$C$2=8,'Sales Input'!J239,IF('Consolidated Sales'!$C$2=9,'Sales Input'!K239,IF('Consolidated Sales'!$C$2=10,'Sales Input'!L239,IF('Consolidated Sales'!$C$2=11,'Sales Input'!M239,IF('Consolidated Sales'!$C$2=12,'Sales Input'!N239,IF('Consolidated Sales'!$C$2=13,'Sales Input'!O239,0)))))))))))))</f>
        <v>0</v>
      </c>
      <c r="J12" s="174">
        <f t="shared" si="3"/>
        <v>0</v>
      </c>
    </row>
    <row r="13" spans="1:10" s="142" customFormat="1" ht="21.95" customHeight="1" x14ac:dyDescent="0.3">
      <c r="B13" s="169" t="s">
        <v>64</v>
      </c>
      <c r="C13" s="168">
        <f>IF('Consolidated Sales'!$C$2=1,'Sales Input'!C198,IF('Consolidated Sales'!$C$2=2,'Sales Input'!D198,IF('Consolidated Sales'!$C$2=3,'Sales Input'!E198,IF('Consolidated Sales'!$C$2=4,'Sales Input'!F198,IF('Consolidated Sales'!$C$2=5,'Sales Input'!G198,IF('Consolidated Sales'!$C$2=6,'Sales Input'!H198,IF('Consolidated Sales'!$C$2=7,'Sales Input'!I198,IF('Consolidated Sales'!$C$2=8,'Sales Input'!J198,IF('Consolidated Sales'!$C$2=9,'Sales Input'!K198,IF('Consolidated Sales'!$C$2=10,'Sales Input'!L198,IF('Consolidated Sales'!$C$2=11,'Sales Input'!M198,IF('Consolidated Sales'!$C$2=12,'Sales Input'!N198,IF('Consolidated Sales'!$C$2=13,'Sales Input'!O198,0)))))))))))))</f>
        <v>0</v>
      </c>
      <c r="D13" s="174">
        <f t="shared" si="0"/>
        <v>0</v>
      </c>
      <c r="E13" s="168">
        <f>IF('Consolidated Sales'!$C$2=1,'Sales Input'!C212,IF('Consolidated Sales'!$C$2=2,'Sales Input'!D212,IF('Consolidated Sales'!$C$2=3,'Sales Input'!E212,IF('Consolidated Sales'!$C$2=4,'Sales Input'!F212,IF('Consolidated Sales'!$C$2=5,'Sales Input'!G212,IF('Consolidated Sales'!$C$2=6,'Sales Input'!H212,IF('Consolidated Sales'!$C$2=7,'Sales Input'!I212,IF('Consolidated Sales'!$C$2=8,'Sales Input'!J212,IF('Consolidated Sales'!$C$2=9,'Sales Input'!K212,IF('Consolidated Sales'!$C$2=10,'Sales Input'!L212,IF('Consolidated Sales'!$C$2=11,'Sales Input'!M212,IF('Consolidated Sales'!$C$2=12,'Sales Input'!N212,IF('Consolidated Sales'!$C$2=13,'Sales Input'!O212,0)))))))))))))</f>
        <v>0</v>
      </c>
      <c r="F13" s="174">
        <f t="shared" si="1"/>
        <v>0</v>
      </c>
      <c r="G13" s="168">
        <f>IF('Consolidated Sales'!$C$2=1,'Sales Input'!C226,IF('Consolidated Sales'!$C$2=2,'Sales Input'!D226,IF('Consolidated Sales'!$C$2=3,'Sales Input'!E226,IF('Consolidated Sales'!$C$2=4,'Sales Input'!F226,IF('Consolidated Sales'!$C$2=5,'Sales Input'!G226,IF('Consolidated Sales'!$C$2=6,'Sales Input'!H226,IF('Consolidated Sales'!$C$2=7,'Sales Input'!I226,IF('Consolidated Sales'!$C$2=8,'Sales Input'!J226,IF('Consolidated Sales'!$C$2=9,'Sales Input'!K226,IF('Consolidated Sales'!$C$2=10,'Sales Input'!L226,IF('Consolidated Sales'!$C$2=11,'Sales Input'!M226,IF('Consolidated Sales'!$C$2=12,'Sales Input'!N226,IF('Consolidated Sales'!$C$2=13,'Sales Input'!O226,0)))))))))))))</f>
        <v>0</v>
      </c>
      <c r="H13" s="174">
        <f t="shared" si="2"/>
        <v>0</v>
      </c>
      <c r="I13" s="168">
        <f>IF('Consolidated Sales'!$C$2=1,'Sales Input'!C240,IF('Consolidated Sales'!$C$2=2,'Sales Input'!D240,IF('Consolidated Sales'!$C$2=3,'Sales Input'!E240,IF('Consolidated Sales'!$C$2=4,'Sales Input'!F240,IF('Consolidated Sales'!$C$2=5,'Sales Input'!G240,IF('Consolidated Sales'!$C$2=6,'Sales Input'!H240,IF('Consolidated Sales'!$C$2=7,'Sales Input'!I240,IF('Consolidated Sales'!$C$2=8,'Sales Input'!J240,IF('Consolidated Sales'!$C$2=9,'Sales Input'!K240,IF('Consolidated Sales'!$C$2=10,'Sales Input'!L240,IF('Consolidated Sales'!$C$2=11,'Sales Input'!M240,IF('Consolidated Sales'!$C$2=12,'Sales Input'!N240,IF('Consolidated Sales'!$C$2=13,'Sales Input'!O240,0)))))))))))))</f>
        <v>0</v>
      </c>
      <c r="J13" s="174">
        <f t="shared" si="3"/>
        <v>0</v>
      </c>
    </row>
    <row r="14" spans="1:10" s="142" customFormat="1" ht="21.95" customHeight="1" x14ac:dyDescent="0.3">
      <c r="B14" s="169" t="s">
        <v>65</v>
      </c>
      <c r="C14" s="168">
        <f>IF('Consolidated Sales'!$C$2=1,'Sales Input'!C199,IF('Consolidated Sales'!$C$2=2,'Sales Input'!D199,IF('Consolidated Sales'!$C$2=3,'Sales Input'!E199,IF('Consolidated Sales'!$C$2=4,'Sales Input'!F199,IF('Consolidated Sales'!$C$2=5,'Sales Input'!G199,IF('Consolidated Sales'!$C$2=6,'Sales Input'!H199,IF('Consolidated Sales'!$C$2=7,'Sales Input'!I199,IF('Consolidated Sales'!$C$2=8,'Sales Input'!J199,IF('Consolidated Sales'!$C$2=9,'Sales Input'!K199,IF('Consolidated Sales'!$C$2=10,'Sales Input'!L199,IF('Consolidated Sales'!$C$2=11,'Sales Input'!M199,IF('Consolidated Sales'!$C$2=12,'Sales Input'!N199,IF('Consolidated Sales'!$C$2=13,'Sales Input'!O199,0)))))))))))))</f>
        <v>0</v>
      </c>
      <c r="D14" s="174">
        <f t="shared" si="0"/>
        <v>0</v>
      </c>
      <c r="E14" s="168">
        <f>IF('Consolidated Sales'!$C$2=1,'Sales Input'!C213,IF('Consolidated Sales'!$C$2=2,'Sales Input'!D213,IF('Consolidated Sales'!$C$2=3,'Sales Input'!E213,IF('Consolidated Sales'!$C$2=4,'Sales Input'!F213,IF('Consolidated Sales'!$C$2=5,'Sales Input'!G213,IF('Consolidated Sales'!$C$2=6,'Sales Input'!H213,IF('Consolidated Sales'!$C$2=7,'Sales Input'!I213,IF('Consolidated Sales'!$C$2=8,'Sales Input'!J213,IF('Consolidated Sales'!$C$2=9,'Sales Input'!K213,IF('Consolidated Sales'!$C$2=10,'Sales Input'!L213,IF('Consolidated Sales'!$C$2=11,'Sales Input'!M213,IF('Consolidated Sales'!$C$2=12,'Sales Input'!N213,IF('Consolidated Sales'!$C$2=13,'Sales Input'!O213,0)))))))))))))</f>
        <v>0</v>
      </c>
      <c r="F14" s="174">
        <f t="shared" si="1"/>
        <v>0</v>
      </c>
      <c r="G14" s="168">
        <f>IF('Consolidated Sales'!$C$2=1,'Sales Input'!C227,IF('Consolidated Sales'!$C$2=2,'Sales Input'!D227,IF('Consolidated Sales'!$C$2=3,'Sales Input'!E227,IF('Consolidated Sales'!$C$2=4,'Sales Input'!F227,IF('Consolidated Sales'!$C$2=5,'Sales Input'!G227,IF('Consolidated Sales'!$C$2=6,'Sales Input'!H227,IF('Consolidated Sales'!$C$2=7,'Sales Input'!I227,IF('Consolidated Sales'!$C$2=8,'Sales Input'!J227,IF('Consolidated Sales'!$C$2=9,'Sales Input'!K227,IF('Consolidated Sales'!$C$2=10,'Sales Input'!L227,IF('Consolidated Sales'!$C$2=11,'Sales Input'!M227,IF('Consolidated Sales'!$C$2=12,'Sales Input'!N227,IF('Consolidated Sales'!$C$2=13,'Sales Input'!O227,0)))))))))))))</f>
        <v>0</v>
      </c>
      <c r="H14" s="174">
        <f t="shared" si="2"/>
        <v>0</v>
      </c>
      <c r="I14" s="168">
        <f>IF('Consolidated Sales'!$C$2=1,'Sales Input'!C241,IF('Consolidated Sales'!$C$2=2,'Sales Input'!D241,IF('Consolidated Sales'!$C$2=3,'Sales Input'!E241,IF('Consolidated Sales'!$C$2=4,'Sales Input'!F241,IF('Consolidated Sales'!$C$2=5,'Sales Input'!G241,IF('Consolidated Sales'!$C$2=6,'Sales Input'!H241,IF('Consolidated Sales'!$C$2=7,'Sales Input'!I241,IF('Consolidated Sales'!$C$2=8,'Sales Input'!J241,IF('Consolidated Sales'!$C$2=9,'Sales Input'!K241,IF('Consolidated Sales'!$C$2=10,'Sales Input'!L241,IF('Consolidated Sales'!$C$2=11,'Sales Input'!M241,IF('Consolidated Sales'!$C$2=12,'Sales Input'!N241,IF('Consolidated Sales'!$C$2=13,'Sales Input'!O241,0)))))))))))))</f>
        <v>0</v>
      </c>
      <c r="J14" s="174">
        <f t="shared" si="3"/>
        <v>0</v>
      </c>
    </row>
    <row r="15" spans="1:10" s="142" customFormat="1" ht="21.95" customHeight="1" x14ac:dyDescent="0.3">
      <c r="B15" s="169" t="s">
        <v>66</v>
      </c>
      <c r="C15" s="168">
        <f>IF('Consolidated Sales'!$C$2=1,'Sales Input'!C200,IF('Consolidated Sales'!$C$2=2,'Sales Input'!D200,IF('Consolidated Sales'!$C$2=3,'Sales Input'!E200,IF('Consolidated Sales'!$C$2=4,'Sales Input'!F200,IF('Consolidated Sales'!$C$2=5,'Sales Input'!G200,IF('Consolidated Sales'!$C$2=6,'Sales Input'!H200,IF('Consolidated Sales'!$C$2=7,'Sales Input'!I200,IF('Consolidated Sales'!$C$2=8,'Sales Input'!J200,IF('Consolidated Sales'!$C$2=9,'Sales Input'!K200,IF('Consolidated Sales'!$C$2=10,'Sales Input'!L200,IF('Consolidated Sales'!$C$2=11,'Sales Input'!M200,IF('Consolidated Sales'!$C$2=12,'Sales Input'!N200,IF('Consolidated Sales'!$C$2=13,'Sales Input'!O200,0)))))))))))))</f>
        <v>0</v>
      </c>
      <c r="D15" s="174">
        <f t="shared" si="0"/>
        <v>0</v>
      </c>
      <c r="E15" s="168">
        <f>IF('Consolidated Sales'!$C$2=1,'Sales Input'!C214,IF('Consolidated Sales'!$C$2=2,'Sales Input'!D214,IF('Consolidated Sales'!$C$2=3,'Sales Input'!E214,IF('Consolidated Sales'!$C$2=4,'Sales Input'!F214,IF('Consolidated Sales'!$C$2=5,'Sales Input'!G214,IF('Consolidated Sales'!$C$2=6,'Sales Input'!H214,IF('Consolidated Sales'!$C$2=7,'Sales Input'!I214,IF('Consolidated Sales'!$C$2=8,'Sales Input'!J214,IF('Consolidated Sales'!$C$2=9,'Sales Input'!K214,IF('Consolidated Sales'!$C$2=10,'Sales Input'!L214,IF('Consolidated Sales'!$C$2=11,'Sales Input'!M214,IF('Consolidated Sales'!$C$2=12,'Sales Input'!N214,IF('Consolidated Sales'!$C$2=13,'Sales Input'!O214,0)))))))))))))</f>
        <v>0</v>
      </c>
      <c r="F15" s="174">
        <f t="shared" si="1"/>
        <v>0</v>
      </c>
      <c r="G15" s="168">
        <f>IF('Consolidated Sales'!$C$2=1,'Sales Input'!C228,IF('Consolidated Sales'!$C$2=2,'Sales Input'!D228,IF('Consolidated Sales'!$C$2=3,'Sales Input'!E228,IF('Consolidated Sales'!$C$2=4,'Sales Input'!F228,IF('Consolidated Sales'!$C$2=5,'Sales Input'!G228,IF('Consolidated Sales'!$C$2=6,'Sales Input'!H228,IF('Consolidated Sales'!$C$2=7,'Sales Input'!I228,IF('Consolidated Sales'!$C$2=8,'Sales Input'!J228,IF('Consolidated Sales'!$C$2=9,'Sales Input'!K228,IF('Consolidated Sales'!$C$2=10,'Sales Input'!L228,IF('Consolidated Sales'!$C$2=11,'Sales Input'!M228,IF('Consolidated Sales'!$C$2=12,'Sales Input'!N228,IF('Consolidated Sales'!$C$2=13,'Sales Input'!O228,0)))))))))))))</f>
        <v>0</v>
      </c>
      <c r="H15" s="174">
        <f t="shared" si="2"/>
        <v>0</v>
      </c>
      <c r="I15" s="168">
        <f>IF('Consolidated Sales'!$C$2=1,'Sales Input'!C242,IF('Consolidated Sales'!$C$2=2,'Sales Input'!D242,IF('Consolidated Sales'!$C$2=3,'Sales Input'!E242,IF('Consolidated Sales'!$C$2=4,'Sales Input'!F242,IF('Consolidated Sales'!$C$2=5,'Sales Input'!G242,IF('Consolidated Sales'!$C$2=6,'Sales Input'!H242,IF('Consolidated Sales'!$C$2=7,'Sales Input'!I242,IF('Consolidated Sales'!$C$2=8,'Sales Input'!J242,IF('Consolidated Sales'!$C$2=9,'Sales Input'!K242,IF('Consolidated Sales'!$C$2=10,'Sales Input'!L242,IF('Consolidated Sales'!$C$2=11,'Sales Input'!M242,IF('Consolidated Sales'!$C$2=12,'Sales Input'!N242,IF('Consolidated Sales'!$C$2=13,'Sales Input'!O242,0)))))))))))))</f>
        <v>0</v>
      </c>
      <c r="J15" s="174">
        <f t="shared" si="3"/>
        <v>0</v>
      </c>
    </row>
    <row r="16" spans="1:10" s="142" customFormat="1" ht="21.95" customHeight="1" x14ac:dyDescent="0.3">
      <c r="B16" s="169" t="s">
        <v>67</v>
      </c>
      <c r="C16" s="168">
        <f>IF('Consolidated Sales'!$C$2=1,'Sales Input'!C201,IF('Consolidated Sales'!$C$2=2,'Sales Input'!D201,IF('Consolidated Sales'!$C$2=3,'Sales Input'!E201,IF('Consolidated Sales'!$C$2=4,'Sales Input'!F201,IF('Consolidated Sales'!$C$2=5,'Sales Input'!G201,IF('Consolidated Sales'!$C$2=6,'Sales Input'!H201,IF('Consolidated Sales'!$C$2=7,'Sales Input'!I201,IF('Consolidated Sales'!$C$2=8,'Sales Input'!J201,IF('Consolidated Sales'!$C$2=9,'Sales Input'!K201,IF('Consolidated Sales'!$C$2=10,'Sales Input'!L201,IF('Consolidated Sales'!$C$2=11,'Sales Input'!M201,IF('Consolidated Sales'!$C$2=12,'Sales Input'!N201,IF('Consolidated Sales'!$C$2=13,'Sales Input'!O201,0)))))))))))))</f>
        <v>0</v>
      </c>
      <c r="D16" s="174">
        <f t="shared" si="0"/>
        <v>0</v>
      </c>
      <c r="E16" s="168">
        <f>IF('Consolidated Sales'!$C$2=1,'Sales Input'!C215,IF('Consolidated Sales'!$C$2=2,'Sales Input'!D215,IF('Consolidated Sales'!$C$2=3,'Sales Input'!E215,IF('Consolidated Sales'!$C$2=4,'Sales Input'!F215,IF('Consolidated Sales'!$C$2=5,'Sales Input'!G215,IF('Consolidated Sales'!$C$2=6,'Sales Input'!H215,IF('Consolidated Sales'!$C$2=7,'Sales Input'!I215,IF('Consolidated Sales'!$C$2=8,'Sales Input'!J215,IF('Consolidated Sales'!$C$2=9,'Sales Input'!K215,IF('Consolidated Sales'!$C$2=10,'Sales Input'!L215,IF('Consolidated Sales'!$C$2=11,'Sales Input'!M215,IF('Consolidated Sales'!$C$2=12,'Sales Input'!N215,IF('Consolidated Sales'!$C$2=13,'Sales Input'!O215,0)))))))))))))</f>
        <v>0</v>
      </c>
      <c r="F16" s="174">
        <f t="shared" si="1"/>
        <v>0</v>
      </c>
      <c r="G16" s="168">
        <f>IF('Consolidated Sales'!$C$2=1,'Sales Input'!C229,IF('Consolidated Sales'!$C$2=2,'Sales Input'!D229,IF('Consolidated Sales'!$C$2=3,'Sales Input'!E229,IF('Consolidated Sales'!$C$2=4,'Sales Input'!F229,IF('Consolidated Sales'!$C$2=5,'Sales Input'!G229,IF('Consolidated Sales'!$C$2=6,'Sales Input'!H229,IF('Consolidated Sales'!$C$2=7,'Sales Input'!I229,IF('Consolidated Sales'!$C$2=8,'Sales Input'!J229,IF('Consolidated Sales'!$C$2=9,'Sales Input'!K229,IF('Consolidated Sales'!$C$2=10,'Sales Input'!L229,IF('Consolidated Sales'!$C$2=11,'Sales Input'!M229,IF('Consolidated Sales'!$C$2=12,'Sales Input'!N229,IF('Consolidated Sales'!$C$2=13,'Sales Input'!O229,0)))))))))))))</f>
        <v>0</v>
      </c>
      <c r="H16" s="174">
        <f t="shared" si="2"/>
        <v>0</v>
      </c>
      <c r="I16" s="168">
        <f>IF('Consolidated Sales'!$C$2=1,'Sales Input'!C243,IF('Consolidated Sales'!$C$2=2,'Sales Input'!D243,IF('Consolidated Sales'!$C$2=3,'Sales Input'!E243,IF('Consolidated Sales'!$C$2=4,'Sales Input'!F243,IF('Consolidated Sales'!$C$2=5,'Sales Input'!G243,IF('Consolidated Sales'!$C$2=6,'Sales Input'!H243,IF('Consolidated Sales'!$C$2=7,'Sales Input'!I243,IF('Consolidated Sales'!$C$2=8,'Sales Input'!J243,IF('Consolidated Sales'!$C$2=9,'Sales Input'!K243,IF('Consolidated Sales'!$C$2=10,'Sales Input'!L243,IF('Consolidated Sales'!$C$2=11,'Sales Input'!M243,IF('Consolidated Sales'!$C$2=12,'Sales Input'!N243,IF('Consolidated Sales'!$C$2=13,'Sales Input'!O243,0)))))))))))))</f>
        <v>0</v>
      </c>
      <c r="J16" s="174">
        <f t="shared" si="3"/>
        <v>0</v>
      </c>
    </row>
    <row r="17" spans="1:10" s="142" customFormat="1" ht="21.95" customHeight="1" x14ac:dyDescent="0.3">
      <c r="B17" s="169" t="s">
        <v>57</v>
      </c>
      <c r="C17" s="168">
        <f>IF('Consolidated Sales'!$C$2=1,'Sales Input'!C202,IF('Consolidated Sales'!$C$2=2,'Sales Input'!D202,IF('Consolidated Sales'!$C$2=3,'Sales Input'!E202,IF('Consolidated Sales'!$C$2=4,'Sales Input'!F202,IF('Consolidated Sales'!$C$2=5,'Sales Input'!G202,IF('Consolidated Sales'!$C$2=6,'Sales Input'!H202,IF('Consolidated Sales'!$C$2=7,'Sales Input'!I202,IF('Consolidated Sales'!$C$2=8,'Sales Input'!J202,IF('Consolidated Sales'!$C$2=9,'Sales Input'!K202,IF('Consolidated Sales'!$C$2=10,'Sales Input'!L202,IF('Consolidated Sales'!$C$2=11,'Sales Input'!M202,IF('Consolidated Sales'!$C$2=12,'Sales Input'!N202,IF('Consolidated Sales'!$C$2=13,'Sales Input'!O202,0)))))))))))))</f>
        <v>0</v>
      </c>
      <c r="D17" s="174">
        <f t="shared" si="0"/>
        <v>0</v>
      </c>
      <c r="E17" s="168">
        <f>IF('Consolidated Sales'!$C$2=1,'Sales Input'!C216,IF('Consolidated Sales'!$C$2=2,'Sales Input'!D216,IF('Consolidated Sales'!$C$2=3,'Sales Input'!E216,IF('Consolidated Sales'!$C$2=4,'Sales Input'!F216,IF('Consolidated Sales'!$C$2=5,'Sales Input'!G216,IF('Consolidated Sales'!$C$2=6,'Sales Input'!H216,IF('Consolidated Sales'!$C$2=7,'Sales Input'!I216,IF('Consolidated Sales'!$C$2=8,'Sales Input'!J216,IF('Consolidated Sales'!$C$2=9,'Sales Input'!K216,IF('Consolidated Sales'!$C$2=10,'Sales Input'!L216,IF('Consolidated Sales'!$C$2=11,'Sales Input'!M216,IF('Consolidated Sales'!$C$2=12,'Sales Input'!N216,IF('Consolidated Sales'!$C$2=13,'Sales Input'!O216,0)))))))))))))</f>
        <v>0</v>
      </c>
      <c r="F17" s="174">
        <f t="shared" si="1"/>
        <v>0</v>
      </c>
      <c r="G17" s="168">
        <f>IF('Consolidated Sales'!$C$2=1,'Sales Input'!C230,IF('Consolidated Sales'!$C$2=2,'Sales Input'!D230,IF('Consolidated Sales'!$C$2=3,'Sales Input'!E230,IF('Consolidated Sales'!$C$2=4,'Sales Input'!F230,IF('Consolidated Sales'!$C$2=5,'Sales Input'!G230,IF('Consolidated Sales'!$C$2=6,'Sales Input'!H230,IF('Consolidated Sales'!$C$2=7,'Sales Input'!I230,IF('Consolidated Sales'!$C$2=8,'Sales Input'!J230,IF('Consolidated Sales'!$C$2=9,'Sales Input'!K230,IF('Consolidated Sales'!$C$2=10,'Sales Input'!L230,IF('Consolidated Sales'!$C$2=11,'Sales Input'!M230,IF('Consolidated Sales'!$C$2=12,'Sales Input'!N230,IF('Consolidated Sales'!$C$2=13,'Sales Input'!O230,0)))))))))))))</f>
        <v>0</v>
      </c>
      <c r="H17" s="174">
        <f t="shared" si="2"/>
        <v>0</v>
      </c>
      <c r="I17" s="168">
        <f>IF('Consolidated Sales'!$C$2=1,'Sales Input'!C244,IF('Consolidated Sales'!$C$2=2,'Sales Input'!D244,IF('Consolidated Sales'!$C$2=3,'Sales Input'!E244,IF('Consolidated Sales'!$C$2=4,'Sales Input'!F244,IF('Consolidated Sales'!$C$2=5,'Sales Input'!G244,IF('Consolidated Sales'!$C$2=6,'Sales Input'!H244,IF('Consolidated Sales'!$C$2=7,'Sales Input'!I244,IF('Consolidated Sales'!$C$2=8,'Sales Input'!J244,IF('Consolidated Sales'!$C$2=9,'Sales Input'!K244,IF('Consolidated Sales'!$C$2=10,'Sales Input'!L244,IF('Consolidated Sales'!$C$2=11,'Sales Input'!M244,IF('Consolidated Sales'!$C$2=12,'Sales Input'!N244,IF('Consolidated Sales'!$C$2=13,'Sales Input'!O244,0)))))))))))))</f>
        <v>0</v>
      </c>
      <c r="J17" s="174">
        <f t="shared" si="3"/>
        <v>0</v>
      </c>
    </row>
    <row r="18" spans="1:10" s="142" customFormat="1" ht="21.95" customHeight="1" x14ac:dyDescent="0.3">
      <c r="B18" s="169" t="s">
        <v>58</v>
      </c>
      <c r="C18" s="168">
        <f>IF('Consolidated Sales'!$C$2=1,'Sales Input'!C203,IF('Consolidated Sales'!$C$2=2,'Sales Input'!D203,IF('Consolidated Sales'!$C$2=3,'Sales Input'!E203,IF('Consolidated Sales'!$C$2=4,'Sales Input'!F203,IF('Consolidated Sales'!$C$2=5,'Sales Input'!G203,IF('Consolidated Sales'!$C$2=6,'Sales Input'!H203,IF('Consolidated Sales'!$C$2=7,'Sales Input'!I203,IF('Consolidated Sales'!$C$2=8,'Sales Input'!J203,IF('Consolidated Sales'!$C$2=9,'Sales Input'!K203,IF('Consolidated Sales'!$C$2=10,'Sales Input'!L203,IF('Consolidated Sales'!$C$2=11,'Sales Input'!M203,IF('Consolidated Sales'!$C$2=12,'Sales Input'!N203,IF('Consolidated Sales'!$C$2=13,'Sales Input'!O203,0)))))))))))))</f>
        <v>0</v>
      </c>
      <c r="D18" s="174">
        <f t="shared" si="0"/>
        <v>0</v>
      </c>
      <c r="E18" s="168">
        <f>IF('Consolidated Sales'!$C$2=1,'Sales Input'!C217,IF('Consolidated Sales'!$C$2=2,'Sales Input'!D217,IF('Consolidated Sales'!$C$2=3,'Sales Input'!E217,IF('Consolidated Sales'!$C$2=4,'Sales Input'!F217,IF('Consolidated Sales'!$C$2=5,'Sales Input'!G217,IF('Consolidated Sales'!$C$2=6,'Sales Input'!H217,IF('Consolidated Sales'!$C$2=7,'Sales Input'!I217,IF('Consolidated Sales'!$C$2=8,'Sales Input'!J217,IF('Consolidated Sales'!$C$2=9,'Sales Input'!K217,IF('Consolidated Sales'!$C$2=10,'Sales Input'!L217,IF('Consolidated Sales'!$C$2=11,'Sales Input'!M217,IF('Consolidated Sales'!$C$2=12,'Sales Input'!N217,IF('Consolidated Sales'!$C$2=13,'Sales Input'!O217,0)))))))))))))</f>
        <v>0</v>
      </c>
      <c r="F18" s="174">
        <f t="shared" si="1"/>
        <v>0</v>
      </c>
      <c r="G18" s="168">
        <f>IF('Consolidated Sales'!$C$2=1,'Sales Input'!C231,IF('Consolidated Sales'!$C$2=2,'Sales Input'!D231,IF('Consolidated Sales'!$C$2=3,'Sales Input'!E231,IF('Consolidated Sales'!$C$2=4,'Sales Input'!F231,IF('Consolidated Sales'!$C$2=5,'Sales Input'!G231,IF('Consolidated Sales'!$C$2=6,'Sales Input'!H231,IF('Consolidated Sales'!$C$2=7,'Sales Input'!I231,IF('Consolidated Sales'!$C$2=8,'Sales Input'!J231,IF('Consolidated Sales'!$C$2=9,'Sales Input'!K231,IF('Consolidated Sales'!$C$2=10,'Sales Input'!L231,IF('Consolidated Sales'!$C$2=11,'Sales Input'!M231,IF('Consolidated Sales'!$C$2=12,'Sales Input'!N231,IF('Consolidated Sales'!$C$2=13,'Sales Input'!O231,0)))))))))))))</f>
        <v>0</v>
      </c>
      <c r="H18" s="174">
        <f t="shared" si="2"/>
        <v>0</v>
      </c>
      <c r="I18" s="168">
        <f>IF('Consolidated Sales'!$C$2=1,'Sales Input'!C245,IF('Consolidated Sales'!$C$2=2,'Sales Input'!D245,IF('Consolidated Sales'!$C$2=3,'Sales Input'!E245,IF('Consolidated Sales'!$C$2=4,'Sales Input'!F245,IF('Consolidated Sales'!$C$2=5,'Sales Input'!G245,IF('Consolidated Sales'!$C$2=6,'Sales Input'!H245,IF('Consolidated Sales'!$C$2=7,'Sales Input'!I245,IF('Consolidated Sales'!$C$2=8,'Sales Input'!J245,IF('Consolidated Sales'!$C$2=9,'Sales Input'!K245,IF('Consolidated Sales'!$C$2=10,'Sales Input'!L245,IF('Consolidated Sales'!$C$2=11,'Sales Input'!M245,IF('Consolidated Sales'!$C$2=12,'Sales Input'!N245,IF('Consolidated Sales'!$C$2=13,'Sales Input'!O245,0)))))))))))))</f>
        <v>0</v>
      </c>
      <c r="J18" s="174">
        <f t="shared" si="3"/>
        <v>0</v>
      </c>
    </row>
    <row r="19" spans="1:10" s="142" customFormat="1" ht="21.95" customHeight="1" x14ac:dyDescent="0.3">
      <c r="B19" s="169" t="s">
        <v>55</v>
      </c>
      <c r="C19" s="168">
        <f>IF('Consolidated Sales'!$C$2=1,'Sales Input'!C204,IF('Consolidated Sales'!$C$2=2,'Sales Input'!D204,IF('Consolidated Sales'!$C$2=3,'Sales Input'!E204,IF('Consolidated Sales'!$C$2=4,'Sales Input'!F204,IF('Consolidated Sales'!$C$2=5,'Sales Input'!G204,IF('Consolidated Sales'!$C$2=6,'Sales Input'!H204,IF('Consolidated Sales'!$C$2=7,'Sales Input'!I204,IF('Consolidated Sales'!$C$2=8,'Sales Input'!J204,IF('Consolidated Sales'!$C$2=9,'Sales Input'!K204,IF('Consolidated Sales'!$C$2=10,'Sales Input'!L204,IF('Consolidated Sales'!$C$2=11,'Sales Input'!M204,IF('Consolidated Sales'!$C$2=12,'Sales Input'!N204,IF('Consolidated Sales'!$C$2=13,'Sales Input'!O204,0)))))))))))))</f>
        <v>0</v>
      </c>
      <c r="D19" s="174">
        <f t="shared" si="0"/>
        <v>0</v>
      </c>
      <c r="E19" s="168">
        <f>IF('Consolidated Sales'!$C$2=1,'Sales Input'!C218,IF('Consolidated Sales'!$C$2=2,'Sales Input'!D218,IF('Consolidated Sales'!$C$2=3,'Sales Input'!E218,IF('Consolidated Sales'!$C$2=4,'Sales Input'!F218,IF('Consolidated Sales'!$C$2=5,'Sales Input'!G218,IF('Consolidated Sales'!$C$2=6,'Sales Input'!H218,IF('Consolidated Sales'!$C$2=7,'Sales Input'!I218,IF('Consolidated Sales'!$C$2=8,'Sales Input'!J218,IF('Consolidated Sales'!$C$2=9,'Sales Input'!K218,IF('Consolidated Sales'!$C$2=10,'Sales Input'!L218,IF('Consolidated Sales'!$C$2=11,'Sales Input'!M218,IF('Consolidated Sales'!$C$2=12,'Sales Input'!N218,IF('Consolidated Sales'!$C$2=13,'Sales Input'!O218,0)))))))))))))</f>
        <v>0</v>
      </c>
      <c r="F19" s="174">
        <f t="shared" si="1"/>
        <v>0</v>
      </c>
      <c r="G19" s="168">
        <f>IF('Consolidated Sales'!$C$2=1,'Sales Input'!C232,IF('Consolidated Sales'!$C$2=2,'Sales Input'!D232,IF('Consolidated Sales'!$C$2=3,'Sales Input'!E232,IF('Consolidated Sales'!$C$2=4,'Sales Input'!F232,IF('Consolidated Sales'!$C$2=5,'Sales Input'!G232,IF('Consolidated Sales'!$C$2=6,'Sales Input'!H232,IF('Consolidated Sales'!$C$2=7,'Sales Input'!I232,IF('Consolidated Sales'!$C$2=8,'Sales Input'!J232,IF('Consolidated Sales'!$C$2=9,'Sales Input'!K232,IF('Consolidated Sales'!$C$2=10,'Sales Input'!L232,IF('Consolidated Sales'!$C$2=11,'Sales Input'!M232,IF('Consolidated Sales'!$C$2=12,'Sales Input'!N232,IF('Consolidated Sales'!$C$2=13,'Sales Input'!O232,0)))))))))))))</f>
        <v>0</v>
      </c>
      <c r="H19" s="174">
        <f t="shared" si="2"/>
        <v>0</v>
      </c>
      <c r="I19" s="168">
        <f>IF('Consolidated Sales'!$C$2=1,'Sales Input'!C246,IF('Consolidated Sales'!$C$2=2,'Sales Input'!D246,IF('Consolidated Sales'!$C$2=3,'Sales Input'!E246,IF('Consolidated Sales'!$C$2=4,'Sales Input'!F246,IF('Consolidated Sales'!$C$2=5,'Sales Input'!G246,IF('Consolidated Sales'!$C$2=6,'Sales Input'!H246,IF('Consolidated Sales'!$C$2=7,'Sales Input'!I246,IF('Consolidated Sales'!$C$2=8,'Sales Input'!J246,IF('Consolidated Sales'!$C$2=9,'Sales Input'!K246,IF('Consolidated Sales'!$C$2=10,'Sales Input'!L246,IF('Consolidated Sales'!$C$2=11,'Sales Input'!M246,IF('Consolidated Sales'!$C$2=12,'Sales Input'!N246,IF('Consolidated Sales'!$C$2=13,'Sales Input'!O246,0)))))))))))))</f>
        <v>0</v>
      </c>
      <c r="J19" s="174">
        <f t="shared" si="3"/>
        <v>0</v>
      </c>
    </row>
    <row r="20" spans="1:10" s="142" customFormat="1" ht="21.95" customHeight="1" thickBot="1" x14ac:dyDescent="0.35">
      <c r="B20" s="170" t="s">
        <v>56</v>
      </c>
      <c r="C20" s="179">
        <f>IF('Consolidated Sales'!$C$2=1,'Sales Input'!C205,IF('Consolidated Sales'!$C$2=2,'Sales Input'!D205,IF('Consolidated Sales'!$C$2=3,'Sales Input'!E205,IF('Consolidated Sales'!$C$2=4,'Sales Input'!F205,IF('Consolidated Sales'!$C$2=5,'Sales Input'!G205,IF('Consolidated Sales'!$C$2=6,'Sales Input'!H205,IF('Consolidated Sales'!$C$2=7,'Sales Input'!I205,IF('Consolidated Sales'!$C$2=8,'Sales Input'!J205,IF('Consolidated Sales'!$C$2=9,'Sales Input'!K205,IF('Consolidated Sales'!$C$2=10,'Sales Input'!L205,IF('Consolidated Sales'!$C$2=11,'Sales Input'!M205,IF('Consolidated Sales'!$C$2=12,'Sales Input'!N205,IF('Consolidated Sales'!$C$2=13,'Sales Input'!O205,0)))))))))))))</f>
        <v>0</v>
      </c>
      <c r="D20" s="176">
        <f t="shared" si="0"/>
        <v>0</v>
      </c>
      <c r="E20" s="179">
        <f>IF('Consolidated Sales'!$C$2=1,'Sales Input'!C219,IF('Consolidated Sales'!$C$2=2,'Sales Input'!D219,IF('Consolidated Sales'!$C$2=3,'Sales Input'!E219,IF('Consolidated Sales'!$C$2=4,'Sales Input'!F219,IF('Consolidated Sales'!$C$2=5,'Sales Input'!G219,IF('Consolidated Sales'!$C$2=6,'Sales Input'!H219,IF('Consolidated Sales'!$C$2=7,'Sales Input'!I219,IF('Consolidated Sales'!$C$2=8,'Sales Input'!J219,IF('Consolidated Sales'!$C$2=9,'Sales Input'!K219,IF('Consolidated Sales'!$C$2=10,'Sales Input'!L219,IF('Consolidated Sales'!$C$2=11,'Sales Input'!M219,IF('Consolidated Sales'!$C$2=12,'Sales Input'!N219,IF('Consolidated Sales'!$C$2=13,'Sales Input'!O219,0)))))))))))))</f>
        <v>0</v>
      </c>
      <c r="F20" s="176">
        <f t="shared" si="1"/>
        <v>0</v>
      </c>
      <c r="G20" s="179">
        <f>IF('Consolidated Sales'!$C$2=1,'Sales Input'!C233,IF('Consolidated Sales'!$C$2=2,'Sales Input'!D233,IF('Consolidated Sales'!$C$2=3,'Sales Input'!E233,IF('Consolidated Sales'!$C$2=4,'Sales Input'!F233,IF('Consolidated Sales'!$C$2=5,'Sales Input'!G233,IF('Consolidated Sales'!$C$2=6,'Sales Input'!H233,IF('Consolidated Sales'!$C$2=7,'Sales Input'!I233,IF('Consolidated Sales'!$C$2=8,'Sales Input'!J233,IF('Consolidated Sales'!$C$2=9,'Sales Input'!K233,IF('Consolidated Sales'!$C$2=10,'Sales Input'!L233,IF('Consolidated Sales'!$C$2=11,'Sales Input'!M233,IF('Consolidated Sales'!$C$2=12,'Sales Input'!N233,IF('Consolidated Sales'!$C$2=13,'Sales Input'!O233,0)))))))))))))</f>
        <v>0</v>
      </c>
      <c r="H20" s="176">
        <f t="shared" si="2"/>
        <v>0</v>
      </c>
      <c r="I20" s="179">
        <f>IF('Consolidated Sales'!$C$2=1,'Sales Input'!C247,IF('Consolidated Sales'!$C$2=2,'Sales Input'!D247,IF('Consolidated Sales'!$C$2=3,'Sales Input'!E247,IF('Consolidated Sales'!$C$2=4,'Sales Input'!F247,IF('Consolidated Sales'!$C$2=5,'Sales Input'!G247,IF('Consolidated Sales'!$C$2=6,'Sales Input'!H247,IF('Consolidated Sales'!$C$2=7,'Sales Input'!I247,IF('Consolidated Sales'!$C$2=8,'Sales Input'!J247,IF('Consolidated Sales'!$C$2=9,'Sales Input'!K247,IF('Consolidated Sales'!$C$2=10,'Sales Input'!L247,IF('Consolidated Sales'!$C$2=11,'Sales Input'!M247,IF('Consolidated Sales'!$C$2=12,'Sales Input'!N247,IF('Consolidated Sales'!$C$2=13,'Sales Input'!O247,0)))))))))))))</f>
        <v>0</v>
      </c>
      <c r="J20" s="176">
        <f t="shared" si="3"/>
        <v>0</v>
      </c>
    </row>
    <row r="21" spans="1:10" s="142" customFormat="1" ht="21.95" customHeight="1" x14ac:dyDescent="0.3">
      <c r="C21" s="151"/>
      <c r="D21" s="151"/>
    </row>
    <row r="22" spans="1:10" s="142" customFormat="1" ht="21.95" customHeight="1" thickBot="1" x14ac:dyDescent="0.35">
      <c r="A22" s="141">
        <v>1</v>
      </c>
      <c r="B22" s="143" t="s">
        <v>35</v>
      </c>
      <c r="C22" s="147">
        <f>SUM(C13:C20)+C9+C8</f>
        <v>1589500</v>
      </c>
      <c r="D22" s="152">
        <f>SUM(D8+D9+D15+D17+D18+D19+D20)</f>
        <v>0</v>
      </c>
      <c r="E22" s="147">
        <f>E8+E9+SUM(E13:E20)</f>
        <v>0</v>
      </c>
      <c r="F22" s="152">
        <f>SUM(F8+F9+F15+F17+F18+F20+D37)</f>
        <v>0</v>
      </c>
      <c r="G22" s="147">
        <f>G8+G9+SUM(G13:G20)</f>
        <v>59500</v>
      </c>
      <c r="H22" s="152">
        <f>SUM(H8+H9+H15+H17+H18+H20+D56)</f>
        <v>0</v>
      </c>
      <c r="I22" s="145">
        <f>SUM(I8+I9+I13+I14+I15+I16+I17+I18+I19+I20)</f>
        <v>1530000</v>
      </c>
      <c r="J22" s="152">
        <f>SUM(J8+J9+J13+J14+J15+J16+J17+J18+J19)</f>
        <v>0</v>
      </c>
    </row>
    <row r="23" spans="1:10" s="142" customFormat="1" ht="21.95" customHeight="1" thickTop="1" x14ac:dyDescent="0.3"/>
    <row r="24" spans="1:10" s="142" customFormat="1" ht="21.95" customHeight="1" thickBot="1" x14ac:dyDescent="0.35">
      <c r="B24" s="143" t="s">
        <v>157</v>
      </c>
      <c r="E24" s="145">
        <f>'Suppliers Report'!E29-E22</f>
        <v>580000</v>
      </c>
      <c r="G24" s="147">
        <f>+'Suppliers Report'!G29-G22</f>
        <v>1168374.5</v>
      </c>
      <c r="I24" s="145">
        <f>+'Suppliers Report'!I29-I22</f>
        <v>975000</v>
      </c>
    </row>
    <row r="25" spans="1:10" s="142" customFormat="1" ht="21.95" customHeight="1" thickTop="1" x14ac:dyDescent="0.3">
      <c r="B25" s="143"/>
    </row>
    <row r="26" spans="1:10" s="142" customFormat="1" ht="21.95" customHeight="1" x14ac:dyDescent="0.3"/>
    <row r="27" spans="1:10" s="142" customFormat="1" ht="21.95" customHeight="1" x14ac:dyDescent="0.3"/>
    <row r="28" spans="1:10" s="142" customFormat="1" ht="21.95" customHeight="1" x14ac:dyDescent="0.3"/>
    <row r="29" spans="1:10" s="142" customFormat="1" ht="21.95" customHeight="1" x14ac:dyDescent="0.3"/>
    <row r="30" spans="1:10" s="142" customFormat="1" ht="21.95" customHeight="1" x14ac:dyDescent="0.3"/>
    <row r="31" spans="1:10" s="142" customFormat="1" ht="21.95" customHeight="1" x14ac:dyDescent="0.3"/>
    <row r="32" spans="1:10" s="142" customFormat="1" ht="21.95" customHeight="1" x14ac:dyDescent="0.3"/>
    <row r="33" spans="4:4" s="142" customFormat="1" ht="21.95" customHeight="1" x14ac:dyDescent="0.3"/>
    <row r="34" spans="4:4" s="142" customFormat="1" ht="21.95" customHeight="1" x14ac:dyDescent="0.3"/>
    <row r="35" spans="4:4" s="142" customFormat="1" ht="21.95" customHeight="1" x14ac:dyDescent="0.3"/>
    <row r="36" spans="4:4" s="142" customFormat="1" ht="21.95" customHeight="1" x14ac:dyDescent="0.3"/>
    <row r="37" spans="4:4" s="142" customFormat="1" ht="21.95" customHeight="1" x14ac:dyDescent="0.3">
      <c r="D37" s="144"/>
    </row>
    <row r="38" spans="4:4" s="142" customFormat="1" ht="21.95" customHeight="1" x14ac:dyDescent="0.3"/>
    <row r="39" spans="4:4" s="142" customFormat="1" ht="21.95" customHeight="1" x14ac:dyDescent="0.3"/>
    <row r="40" spans="4:4" s="142" customFormat="1" ht="21.95" customHeight="1" x14ac:dyDescent="0.3"/>
    <row r="41" spans="4:4" s="142" customFormat="1" ht="21.95" customHeight="1" x14ac:dyDescent="0.3"/>
    <row r="42" spans="4:4" s="142" customFormat="1" ht="21.95" customHeight="1" x14ac:dyDescent="0.3"/>
    <row r="43" spans="4:4" s="142" customFormat="1" ht="21.95" customHeight="1" x14ac:dyDescent="0.3"/>
    <row r="44" spans="4:4" s="142" customFormat="1" ht="21.95" customHeight="1" x14ac:dyDescent="0.3"/>
    <row r="45" spans="4:4" s="142" customFormat="1" ht="21.95" customHeight="1" x14ac:dyDescent="0.3"/>
    <row r="46" spans="4:4" s="142" customFormat="1" ht="21.95" customHeight="1" x14ac:dyDescent="0.3"/>
    <row r="47" spans="4:4" s="142" customFormat="1" ht="21.95" customHeight="1" x14ac:dyDescent="0.3"/>
    <row r="48" spans="4:4" s="142" customFormat="1" ht="21.95" customHeight="1" x14ac:dyDescent="0.3"/>
    <row r="49" s="142" customFormat="1" ht="21.95" customHeight="1" x14ac:dyDescent="0.3"/>
    <row r="50" s="142" customFormat="1" ht="21.95" customHeight="1" x14ac:dyDescent="0.3"/>
    <row r="51" s="142" customFormat="1" ht="21.95" customHeight="1" x14ac:dyDescent="0.3"/>
    <row r="52" s="142" customFormat="1" ht="21.95" customHeight="1" x14ac:dyDescent="0.3"/>
    <row r="53" s="142" customFormat="1" ht="21.95" customHeight="1" x14ac:dyDescent="0.3"/>
    <row r="54" s="142" customFormat="1" ht="21.95" customHeight="1" x14ac:dyDescent="0.3"/>
    <row r="55" s="142" customFormat="1" ht="21.95" customHeight="1" x14ac:dyDescent="0.3"/>
    <row r="56" s="142" customFormat="1" ht="21.95" customHeight="1" x14ac:dyDescent="0.3"/>
    <row r="57" s="142" customFormat="1" ht="21.95" customHeight="1" x14ac:dyDescent="0.3"/>
    <row r="58" s="142" customFormat="1" ht="21.95" customHeight="1" x14ac:dyDescent="0.3"/>
    <row r="59" s="142" customFormat="1" ht="21.95" customHeight="1" x14ac:dyDescent="0.3"/>
    <row r="60" s="142" customFormat="1" ht="21.95" customHeight="1" x14ac:dyDescent="0.3"/>
    <row r="61" s="142" customFormat="1" ht="21.95" customHeight="1" x14ac:dyDescent="0.3"/>
    <row r="62" s="142" customFormat="1" ht="21.95" customHeight="1" x14ac:dyDescent="0.3"/>
    <row r="63" s="142" customFormat="1" ht="21.95" customHeight="1" x14ac:dyDescent="0.3"/>
    <row r="64" s="142" customFormat="1" ht="21.95" customHeight="1" x14ac:dyDescent="0.3"/>
    <row r="65" spans="1:4" s="142" customFormat="1" ht="21.95" customHeight="1" x14ac:dyDescent="0.3"/>
    <row r="66" spans="1:4" s="142" customFormat="1" ht="21.95" customHeight="1" x14ac:dyDescent="0.3"/>
    <row r="67" spans="1:4" s="142" customFormat="1" ht="21.95" customHeight="1" x14ac:dyDescent="0.3"/>
    <row r="68" spans="1:4" s="142" customFormat="1" ht="21.95" customHeight="1" x14ac:dyDescent="0.3"/>
    <row r="69" spans="1:4" s="142" customFormat="1" ht="21.95" customHeight="1" x14ac:dyDescent="0.3"/>
    <row r="70" spans="1:4" s="142" customFormat="1" ht="21.95" customHeight="1" x14ac:dyDescent="0.3"/>
    <row r="71" spans="1:4" s="142" customFormat="1" ht="21.95" customHeight="1" x14ac:dyDescent="0.3"/>
    <row r="72" spans="1:4" s="142" customFormat="1" ht="21.95" customHeight="1" x14ac:dyDescent="0.3"/>
    <row r="73" spans="1:4" s="142" customFormat="1" ht="21.95" customHeight="1" x14ac:dyDescent="0.3"/>
    <row r="74" spans="1:4" ht="18.75" x14ac:dyDescent="0.3">
      <c r="A74" s="142"/>
      <c r="B74" s="142"/>
      <c r="C74" s="142"/>
      <c r="D74" s="142"/>
    </row>
    <row r="75" spans="1:4" ht="18.75" x14ac:dyDescent="0.3">
      <c r="A75" s="142"/>
      <c r="B75" s="142"/>
      <c r="C75" s="142"/>
      <c r="D75" s="142"/>
    </row>
    <row r="76" spans="1:4" ht="18.75" x14ac:dyDescent="0.3">
      <c r="A76" s="142"/>
      <c r="B76" s="142"/>
      <c r="C76" s="142"/>
      <c r="D76" s="142"/>
    </row>
    <row r="77" spans="1:4" ht="18.75" x14ac:dyDescent="0.3">
      <c r="A77" s="142"/>
      <c r="B77" s="142"/>
      <c r="C77" s="142"/>
      <c r="D77" s="142"/>
    </row>
    <row r="78" spans="1:4" ht="18.75" x14ac:dyDescent="0.3">
      <c r="A78" s="142"/>
      <c r="B78" s="142"/>
      <c r="C78" s="142"/>
      <c r="D78" s="142"/>
    </row>
    <row r="79" spans="1:4" ht="18.75" x14ac:dyDescent="0.3">
      <c r="A79" s="142"/>
      <c r="B79" s="142"/>
      <c r="C79" s="142"/>
      <c r="D79" s="142"/>
    </row>
    <row r="80" spans="1:4" ht="18.75" x14ac:dyDescent="0.3">
      <c r="A80" s="142"/>
      <c r="B80" s="142"/>
      <c r="C80" s="142"/>
      <c r="D80" s="142"/>
    </row>
    <row r="81" spans="1:4" ht="18.75" x14ac:dyDescent="0.3">
      <c r="A81" s="142"/>
      <c r="B81" s="142"/>
      <c r="C81" s="142"/>
      <c r="D81" s="142"/>
    </row>
    <row r="82" spans="1:4" ht="18.75" x14ac:dyDescent="0.3">
      <c r="A82" s="142"/>
      <c r="B82" s="142"/>
      <c r="C82" s="142"/>
      <c r="D82" s="142"/>
    </row>
    <row r="83" spans="1:4" ht="18.75" x14ac:dyDescent="0.3">
      <c r="A83" s="142"/>
      <c r="B83" s="142"/>
      <c r="C83" s="142"/>
      <c r="D83" s="142"/>
    </row>
    <row r="84" spans="1:4" ht="18.75" x14ac:dyDescent="0.3">
      <c r="A84" s="142"/>
      <c r="B84" s="142"/>
      <c r="C84" s="142"/>
      <c r="D84" s="142"/>
    </row>
    <row r="85" spans="1:4" ht="18.75" x14ac:dyDescent="0.3">
      <c r="A85" s="142"/>
      <c r="B85" s="142"/>
      <c r="C85" s="142"/>
      <c r="D85" s="142"/>
    </row>
    <row r="86" spans="1:4" ht="18.75" x14ac:dyDescent="0.3">
      <c r="A86" s="142"/>
      <c r="B86" s="142"/>
      <c r="C86" s="142"/>
      <c r="D86" s="142"/>
    </row>
    <row r="87" spans="1:4" ht="18.75" x14ac:dyDescent="0.3">
      <c r="A87" s="142"/>
      <c r="B87" s="142"/>
      <c r="C87" s="142"/>
      <c r="D87" s="142"/>
    </row>
    <row r="88" spans="1:4" ht="18.75" x14ac:dyDescent="0.3">
      <c r="A88" s="142"/>
      <c r="B88" s="142"/>
      <c r="C88" s="142"/>
      <c r="D88" s="142"/>
    </row>
    <row r="89" spans="1:4" ht="18.75" x14ac:dyDescent="0.3">
      <c r="A89" s="142"/>
      <c r="B89" s="142"/>
      <c r="C89" s="142"/>
      <c r="D89" s="142"/>
    </row>
    <row r="90" spans="1:4" ht="18.75" x14ac:dyDescent="0.3">
      <c r="A90" s="142"/>
      <c r="B90" s="142"/>
      <c r="C90" s="142"/>
      <c r="D90" s="142"/>
    </row>
    <row r="91" spans="1:4" ht="18.75" x14ac:dyDescent="0.3">
      <c r="A91" s="142"/>
      <c r="B91" s="142"/>
      <c r="C91" s="142"/>
      <c r="D91" s="142"/>
    </row>
    <row r="92" spans="1:4" ht="18.75" x14ac:dyDescent="0.3">
      <c r="A92" s="142"/>
      <c r="B92" s="142"/>
      <c r="C92" s="142"/>
      <c r="D92" s="142"/>
    </row>
    <row r="93" spans="1:4" ht="18.75" x14ac:dyDescent="0.3">
      <c r="A93" s="142"/>
      <c r="B93" s="142"/>
      <c r="C93" s="142"/>
      <c r="D93" s="142"/>
    </row>
    <row r="94" spans="1:4" ht="18.75" x14ac:dyDescent="0.3">
      <c r="A94" s="142"/>
      <c r="B94" s="142"/>
      <c r="C94" s="142"/>
      <c r="D94" s="142"/>
    </row>
    <row r="95" spans="1:4" ht="18.75" x14ac:dyDescent="0.3">
      <c r="A95" s="142"/>
      <c r="B95" s="142"/>
      <c r="C95" s="142"/>
      <c r="D95" s="142"/>
    </row>
    <row r="96" spans="1:4" ht="18.75" x14ac:dyDescent="0.3">
      <c r="A96" s="142"/>
      <c r="B96" s="142"/>
      <c r="C96" s="142"/>
      <c r="D96" s="142"/>
    </row>
    <row r="97" spans="1:4" ht="18.75" x14ac:dyDescent="0.3">
      <c r="A97" s="142"/>
      <c r="B97" s="142"/>
      <c r="C97" s="142"/>
      <c r="D97" s="142"/>
    </row>
    <row r="98" spans="1:4" ht="18.75" x14ac:dyDescent="0.3">
      <c r="A98" s="142"/>
      <c r="B98" s="142"/>
      <c r="C98" s="142"/>
      <c r="D98" s="142"/>
    </row>
    <row r="99" spans="1:4" ht="18.75" x14ac:dyDescent="0.3">
      <c r="A99" s="142"/>
      <c r="B99" s="142"/>
      <c r="C99" s="142"/>
      <c r="D99" s="142"/>
    </row>
    <row r="100" spans="1:4" ht="18.75" x14ac:dyDescent="0.3">
      <c r="A100" s="142"/>
      <c r="B100" s="142"/>
      <c r="C100" s="142"/>
      <c r="D100" s="142"/>
    </row>
    <row r="101" spans="1:4" ht="18.75" x14ac:dyDescent="0.3">
      <c r="A101" s="142"/>
      <c r="B101" s="142"/>
      <c r="C101" s="142"/>
      <c r="D101" s="142"/>
    </row>
    <row r="102" spans="1:4" ht="18.75" x14ac:dyDescent="0.3">
      <c r="A102" s="142"/>
      <c r="B102" s="142"/>
      <c r="C102" s="142"/>
      <c r="D102" s="142"/>
    </row>
    <row r="103" spans="1:4" ht="18.75" x14ac:dyDescent="0.3">
      <c r="A103" s="142"/>
      <c r="B103" s="142"/>
      <c r="C103" s="142"/>
      <c r="D103" s="142"/>
    </row>
    <row r="104" spans="1:4" ht="18.75" x14ac:dyDescent="0.3">
      <c r="A104" s="142"/>
      <c r="B104" s="142"/>
      <c r="C104" s="142"/>
      <c r="D104" s="142"/>
    </row>
    <row r="105" spans="1:4" ht="18.75" x14ac:dyDescent="0.3">
      <c r="A105" s="142"/>
      <c r="B105" s="142"/>
      <c r="C105" s="142"/>
      <c r="D105" s="142"/>
    </row>
    <row r="106" spans="1:4" ht="18.75" x14ac:dyDescent="0.3">
      <c r="A106" s="142"/>
      <c r="B106" s="142"/>
      <c r="C106" s="142"/>
      <c r="D106" s="142"/>
    </row>
    <row r="107" spans="1:4" ht="18.75" x14ac:dyDescent="0.3">
      <c r="A107" s="142"/>
      <c r="B107" s="142"/>
      <c r="C107" s="142"/>
      <c r="D107" s="142"/>
    </row>
    <row r="108" spans="1:4" ht="18.75" x14ac:dyDescent="0.3">
      <c r="A108" s="142"/>
      <c r="B108" s="142"/>
      <c r="C108" s="142"/>
      <c r="D108" s="142"/>
    </row>
    <row r="109" spans="1:4" ht="18.75" x14ac:dyDescent="0.3">
      <c r="A109" s="142"/>
      <c r="B109" s="142"/>
      <c r="C109" s="142"/>
      <c r="D109" s="142"/>
    </row>
    <row r="110" spans="1:4" ht="18.75" x14ac:dyDescent="0.3">
      <c r="A110" s="142"/>
      <c r="B110" s="142"/>
      <c r="C110" s="142"/>
      <c r="D110" s="142"/>
    </row>
    <row r="111" spans="1:4" ht="18.75" x14ac:dyDescent="0.3">
      <c r="C111" s="142"/>
      <c r="D111" s="142"/>
    </row>
    <row r="112" spans="1:4" ht="18.75" x14ac:dyDescent="0.3">
      <c r="C112" s="142"/>
      <c r="D112" s="142"/>
    </row>
    <row r="113" spans="3:4" ht="18.75" x14ac:dyDescent="0.3">
      <c r="C113" s="142"/>
      <c r="D113" s="142"/>
    </row>
    <row r="114" spans="3:4" ht="18.75" x14ac:dyDescent="0.3">
      <c r="C114" s="142"/>
      <c r="D114" s="142"/>
    </row>
    <row r="115" spans="3:4" ht="18.75" x14ac:dyDescent="0.3">
      <c r="C115" s="142"/>
      <c r="D115" s="142"/>
    </row>
  </sheetData>
  <sheetProtection algorithmName="SHA-512" hashValue="F+ebRrrL9S1e2lNBgdH6Rb+HA+BWtFgtI3CGCuXoq5hwTHiagPC9XeS4xGxGUxzkMJ4Aca0o6I7F6GzU/Fmojw==" saltValue="JF4QQegltxP3FXJyyOJOTg==" spinCount="100000" sheet="1" objects="1" scenarios="1"/>
  <mergeCells count="4">
    <mergeCell ref="C6:D6"/>
    <mergeCell ref="E6:F6"/>
    <mergeCell ref="G6:H6"/>
    <mergeCell ref="I6:J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topLeftCell="A49" workbookViewId="0">
      <selection activeCell="C75" sqref="C75"/>
    </sheetView>
  </sheetViews>
  <sheetFormatPr defaultRowHeight="15" x14ac:dyDescent="0.25"/>
  <cols>
    <col min="1" max="1" width="4" customWidth="1"/>
    <col min="2" max="2" width="36.7109375" customWidth="1"/>
    <col min="3" max="8" width="18.7109375" style="8" customWidth="1"/>
  </cols>
  <sheetData>
    <row r="1" spans="1:8" ht="60" customHeight="1" x14ac:dyDescent="0.55000000000000004">
      <c r="A1" s="199" t="str">
        <f>+'Consolidated Sales'!A1</f>
        <v>Sales Report for Supermarket, Stop-Over and Restaurant</v>
      </c>
      <c r="B1" s="200"/>
      <c r="C1" s="200"/>
      <c r="D1" s="200"/>
      <c r="E1" s="200"/>
      <c r="F1" s="200"/>
      <c r="G1" s="200"/>
      <c r="H1" s="200"/>
    </row>
    <row r="2" spans="1:8" ht="21.95" customHeight="1" x14ac:dyDescent="0.25"/>
    <row r="3" spans="1:8" ht="21.95" customHeight="1" x14ac:dyDescent="0.25">
      <c r="A3" t="s">
        <v>134</v>
      </c>
      <c r="C3" s="106">
        <v>8</v>
      </c>
    </row>
    <row r="4" spans="1:8" ht="21.95" customHeight="1" x14ac:dyDescent="0.25"/>
    <row r="5" spans="1:8" ht="21.95" customHeight="1" x14ac:dyDescent="0.25">
      <c r="A5" t="str">
        <f>+'Consolidated Sales'!B4</f>
        <v>Sales as at</v>
      </c>
      <c r="C5" s="8" t="str">
        <f>+'Consolidated Sales'!C4</f>
        <v>August 2025</v>
      </c>
    </row>
    <row r="6" spans="1:8" ht="21.95" customHeight="1" x14ac:dyDescent="0.25"/>
    <row r="7" spans="1:8" ht="21.95" customHeight="1" thickBot="1" x14ac:dyDescent="0.3">
      <c r="A7" t="s">
        <v>135</v>
      </c>
    </row>
    <row r="8" spans="1:8" ht="21.95" customHeight="1" x14ac:dyDescent="0.3">
      <c r="A8" s="126"/>
      <c r="B8" s="114" t="str">
        <f>+'Consolidated Sales'!B94</f>
        <v>Total POS Sales</v>
      </c>
      <c r="C8" s="70"/>
      <c r="D8" s="70"/>
      <c r="E8" s="70"/>
      <c r="F8" s="70"/>
      <c r="G8" s="70"/>
      <c r="H8" s="115">
        <f>+H37</f>
        <v>0</v>
      </c>
    </row>
    <row r="9" spans="1:8" ht="21.95" customHeight="1" x14ac:dyDescent="0.3">
      <c r="A9" s="127"/>
      <c r="B9" s="111" t="str">
        <f>+'Consolidated Sales'!B95</f>
        <v>Total Cash and Sales Thru Gadgets</v>
      </c>
      <c r="C9" s="18"/>
      <c r="D9" s="18"/>
      <c r="E9" s="18"/>
      <c r="F9" s="18"/>
      <c r="G9" s="18"/>
      <c r="H9" s="116">
        <f>+H35</f>
        <v>12217960</v>
      </c>
    </row>
    <row r="10" spans="1:8" ht="21.95" customHeight="1" x14ac:dyDescent="0.3">
      <c r="A10" s="128"/>
      <c r="B10" s="112" t="str">
        <f>+'Consolidated Sales'!B96</f>
        <v>Cash Overage/Shortfall</v>
      </c>
      <c r="C10" s="113"/>
      <c r="D10" s="113"/>
      <c r="E10" s="113"/>
      <c r="F10" s="113"/>
      <c r="G10" s="113"/>
      <c r="H10" s="117">
        <f>+H39</f>
        <v>12217960</v>
      </c>
    </row>
    <row r="11" spans="1:8" ht="21.95" customHeight="1" x14ac:dyDescent="0.3">
      <c r="A11" s="129"/>
      <c r="B11" s="109" t="str">
        <f>+'Suppliers Report'!B27</f>
        <v>Totals Due</v>
      </c>
      <c r="C11" s="110"/>
      <c r="D11" s="110"/>
      <c r="E11" s="110"/>
      <c r="F11" s="110"/>
      <c r="G11" s="110"/>
      <c r="H11" s="118">
        <f>+'Suppliers Report'!C27</f>
        <v>7905085.5</v>
      </c>
    </row>
    <row r="12" spans="1:8" ht="21.95" customHeight="1" x14ac:dyDescent="0.3">
      <c r="A12" s="127"/>
      <c r="B12" s="111" t="s">
        <v>137</v>
      </c>
      <c r="C12" s="18"/>
      <c r="D12" s="18"/>
      <c r="E12" s="18"/>
      <c r="F12" s="18"/>
      <c r="G12" s="18"/>
      <c r="H12" s="119">
        <f>SUM('Suppliers Report'!E27+'Suppliers Report'!G27+'Suppliers Report'!I27)</f>
        <v>7905085.5</v>
      </c>
    </row>
    <row r="13" spans="1:8" ht="21.95" customHeight="1" x14ac:dyDescent="0.3">
      <c r="A13" s="128"/>
      <c r="B13" s="112" t="s">
        <v>138</v>
      </c>
      <c r="C13" s="113"/>
      <c r="D13" s="113"/>
      <c r="E13" s="113"/>
      <c r="F13" s="113"/>
      <c r="G13" s="113"/>
      <c r="H13" s="120">
        <f>+H11-H12</f>
        <v>0</v>
      </c>
    </row>
    <row r="14" spans="1:8" ht="21.95" customHeight="1" x14ac:dyDescent="0.3">
      <c r="A14" s="127"/>
      <c r="B14" s="111" t="str">
        <f>+'Expenses Report'!B22</f>
        <v>Total Expenses Incurred</v>
      </c>
      <c r="C14" s="18"/>
      <c r="D14" s="18"/>
      <c r="E14" s="18"/>
      <c r="F14" s="18"/>
      <c r="G14" s="18"/>
      <c r="H14" s="131">
        <f>+'Expenses Report'!C22</f>
        <v>1589500</v>
      </c>
    </row>
    <row r="15" spans="1:8" ht="21.95" customHeight="1" x14ac:dyDescent="0.3">
      <c r="A15" s="127"/>
      <c r="B15" s="111" t="s">
        <v>139</v>
      </c>
      <c r="C15" s="18"/>
      <c r="D15" s="18"/>
      <c r="E15" s="18"/>
      <c r="F15" s="18"/>
      <c r="G15" s="18"/>
      <c r="H15" s="131">
        <f>+'Expenses Report'!E22+'Expenses Report'!G22+'Expenses Report'!I22</f>
        <v>1589500</v>
      </c>
    </row>
    <row r="16" spans="1:8" ht="21.95" customHeight="1" x14ac:dyDescent="0.3">
      <c r="A16" s="127"/>
      <c r="B16" s="111" t="s">
        <v>140</v>
      </c>
      <c r="C16" s="18"/>
      <c r="D16" s="18"/>
      <c r="E16" s="18"/>
      <c r="F16" s="18"/>
      <c r="G16" s="18"/>
      <c r="H16" s="131">
        <f>+H14-H15</f>
        <v>0</v>
      </c>
    </row>
    <row r="17" spans="1:8" ht="21.95" customHeight="1" x14ac:dyDescent="0.3">
      <c r="A17" s="129"/>
      <c r="B17" s="109" t="str">
        <f>+'Consolidated Sales'!B97</f>
        <v>Net Balances after Payments</v>
      </c>
      <c r="C17" s="110"/>
      <c r="D17" s="110"/>
      <c r="E17" s="110"/>
      <c r="F17" s="110"/>
      <c r="G17" s="110"/>
      <c r="H17" s="121"/>
    </row>
    <row r="18" spans="1:8" ht="21.95" customHeight="1" x14ac:dyDescent="0.3">
      <c r="A18" s="127"/>
      <c r="B18" s="111" t="str">
        <f>+'Consolidated Sales'!B98</f>
        <v>a. Net Cash in- Hand</v>
      </c>
      <c r="C18" s="18"/>
      <c r="D18" s="18"/>
      <c r="E18" s="18"/>
      <c r="F18" s="18"/>
      <c r="G18" s="18"/>
      <c r="H18" s="119">
        <f>+'Consolidated Sales'!C98</f>
        <v>580000</v>
      </c>
    </row>
    <row r="19" spans="1:8" ht="21.95" customHeight="1" x14ac:dyDescent="0.3">
      <c r="A19" s="127"/>
      <c r="B19" s="111" t="str">
        <f>+'Consolidated Sales'!B99</f>
        <v>b. Net Company Bank Balances</v>
      </c>
      <c r="C19" s="18"/>
      <c r="D19" s="18"/>
      <c r="E19" s="18"/>
      <c r="F19" s="18"/>
      <c r="G19" s="18"/>
      <c r="H19" s="116">
        <f>+'Consolidated Sales'!C99</f>
        <v>1168374.5</v>
      </c>
    </row>
    <row r="20" spans="1:8" ht="21.95" customHeight="1" x14ac:dyDescent="0.3">
      <c r="A20" s="127"/>
      <c r="B20" s="111" t="str">
        <f>+'Consolidated Sales'!B100</f>
        <v>c. Net Company Wallet Balances</v>
      </c>
      <c r="C20" s="18"/>
      <c r="D20" s="18"/>
      <c r="E20" s="18"/>
      <c r="F20" s="18"/>
      <c r="G20" s="18"/>
      <c r="H20" s="122">
        <f>+'Consolidated Sales'!C100</f>
        <v>975000</v>
      </c>
    </row>
    <row r="21" spans="1:8" ht="21.95" customHeight="1" x14ac:dyDescent="0.3">
      <c r="A21" s="127"/>
      <c r="B21" s="111" t="str">
        <f>+'Consolidated Sales'!B101</f>
        <v>d. Net Company Contributions</v>
      </c>
      <c r="C21" s="18"/>
      <c r="D21" s="18"/>
      <c r="E21" s="18"/>
      <c r="F21" s="18"/>
      <c r="G21" s="18"/>
      <c r="H21" s="122">
        <f>+'Consolidated Sales'!C101</f>
        <v>0</v>
      </c>
    </row>
    <row r="22" spans="1:8" ht="21.95" customHeight="1" x14ac:dyDescent="0.3">
      <c r="A22" s="127"/>
      <c r="B22" s="137" t="s">
        <v>152</v>
      </c>
      <c r="C22" s="18"/>
      <c r="D22" s="18" t="s">
        <v>153</v>
      </c>
      <c r="E22" s="138">
        <f>'Consolidated Sales'!C90</f>
        <v>0</v>
      </c>
      <c r="F22" s="18" t="s">
        <v>154</v>
      </c>
      <c r="G22" s="139">
        <f>'Consolidated Sales'!D90</f>
        <v>0</v>
      </c>
      <c r="H22" s="122"/>
    </row>
    <row r="23" spans="1:8" ht="21.95" customHeight="1" thickBot="1" x14ac:dyDescent="0.35">
      <c r="A23" s="130"/>
      <c r="B23" s="123" t="str">
        <f>+'Consolidated Sales'!B102</f>
        <v>Total Balances Carried Forward</v>
      </c>
      <c r="C23" s="124"/>
      <c r="D23" s="124"/>
      <c r="E23" s="124"/>
      <c r="F23" s="124"/>
      <c r="G23" s="124"/>
      <c r="H23" s="125">
        <f>+'Consolidated Sales'!C102</f>
        <v>2723374.5</v>
      </c>
    </row>
    <row r="24" spans="1:8" ht="21.95" customHeight="1" x14ac:dyDescent="0.25"/>
    <row r="25" spans="1:8" ht="21.95" customHeight="1" thickBot="1" x14ac:dyDescent="0.3"/>
    <row r="26" spans="1:8" ht="21.95" customHeight="1" thickBot="1" x14ac:dyDescent="0.3">
      <c r="A26" s="201" t="s">
        <v>120</v>
      </c>
      <c r="B26" s="202"/>
      <c r="C26" s="95" t="s">
        <v>124</v>
      </c>
      <c r="D26" s="96" t="s">
        <v>122</v>
      </c>
      <c r="E26" s="96" t="s">
        <v>121</v>
      </c>
      <c r="F26" s="96" t="s">
        <v>14</v>
      </c>
      <c r="G26" s="96" t="s">
        <v>123</v>
      </c>
      <c r="H26" s="97" t="s">
        <v>83</v>
      </c>
    </row>
    <row r="27" spans="1:8" ht="21.95" customHeight="1" x14ac:dyDescent="0.25">
      <c r="A27" s="28">
        <v>1</v>
      </c>
      <c r="B27" t="str">
        <f>+'Consolidated Sales'!B9</f>
        <v>Domasi Supermarket</v>
      </c>
      <c r="C27" s="85">
        <f>+'Consolidated Sales'!C9</f>
        <v>4715460</v>
      </c>
      <c r="D27" s="85">
        <f>+'Consolidated Sales'!C24</f>
        <v>0</v>
      </c>
      <c r="E27" s="85">
        <f>+'Consolidated Sales'!C22</f>
        <v>205650</v>
      </c>
      <c r="F27" s="85">
        <f>+'Consolidated Sales'!C21</f>
        <v>784650</v>
      </c>
      <c r="G27" s="85">
        <f>+'Consolidated Sales'!C23</f>
        <v>74900</v>
      </c>
      <c r="H27" s="86">
        <f>SUM(C27:G27)</f>
        <v>5780660</v>
      </c>
    </row>
    <row r="28" spans="1:8" ht="21.95" customHeight="1" x14ac:dyDescent="0.25">
      <c r="A28" s="28">
        <f t="shared" ref="A28:A33" si="0">+A27+1</f>
        <v>2</v>
      </c>
      <c r="B28" t="str">
        <f>+'Consolidated Sales'!B11</f>
        <v>Stop Over</v>
      </c>
      <c r="C28" s="78">
        <f>+'Consolidated Sales'!C11</f>
        <v>3303950</v>
      </c>
      <c r="D28" s="78">
        <f>+'Consolidated Sales'!C36</f>
        <v>0</v>
      </c>
      <c r="E28" s="78">
        <f>+'Consolidated Sales'!C34</f>
        <v>566700</v>
      </c>
      <c r="F28" s="78">
        <f>+'Consolidated Sales'!C33</f>
        <v>1526450</v>
      </c>
      <c r="G28" s="78">
        <f>+'Consolidated Sales'!C35</f>
        <v>223700</v>
      </c>
      <c r="H28" s="87">
        <f t="shared" ref="H28:H33" si="1">SUM(C28:G28)</f>
        <v>5620800</v>
      </c>
    </row>
    <row r="29" spans="1:8" ht="21.95" customHeight="1" x14ac:dyDescent="0.25">
      <c r="A29" s="28">
        <f t="shared" si="0"/>
        <v>3</v>
      </c>
      <c r="B29" t="str">
        <f>+'Consolidated Sales'!B12</f>
        <v>Nati-Foods</v>
      </c>
      <c r="C29" s="78">
        <f>+'Consolidated Sales'!C12</f>
        <v>0</v>
      </c>
      <c r="D29" s="78">
        <f>+'Consolidated Sales'!C42</f>
        <v>0</v>
      </c>
      <c r="E29" s="78">
        <f>+'Consolidated Sales'!C40</f>
        <v>0</v>
      </c>
      <c r="F29" s="78">
        <f>+'Consolidated Sales'!C39</f>
        <v>0</v>
      </c>
      <c r="G29" s="78">
        <f>+'Consolidated Sales'!C41</f>
        <v>0</v>
      </c>
      <c r="H29" s="87">
        <f t="shared" si="1"/>
        <v>0</v>
      </c>
    </row>
    <row r="30" spans="1:8" ht="21.95" customHeight="1" x14ac:dyDescent="0.25">
      <c r="A30" s="28">
        <f t="shared" si="0"/>
        <v>4</v>
      </c>
      <c r="B30" t="str">
        <f>+'Consolidated Sales'!B13</f>
        <v>Braai</v>
      </c>
      <c r="C30" s="78">
        <f>+'Consolidated Sales'!C13</f>
        <v>120000</v>
      </c>
      <c r="D30" s="78">
        <f>+'Consolidated Sales'!C48</f>
        <v>0</v>
      </c>
      <c r="E30" s="78">
        <f>+'Consolidated Sales'!C46</f>
        <v>0</v>
      </c>
      <c r="F30" s="78">
        <f>+'Consolidated Sales'!C45</f>
        <v>0</v>
      </c>
      <c r="G30" s="78">
        <f>'Consolidated Sales'!C47</f>
        <v>0</v>
      </c>
      <c r="H30" s="87">
        <f t="shared" si="1"/>
        <v>120000</v>
      </c>
    </row>
    <row r="31" spans="1:8" ht="21.95" customHeight="1" x14ac:dyDescent="0.25">
      <c r="A31" s="28">
        <f t="shared" si="0"/>
        <v>5</v>
      </c>
      <c r="B31" t="str">
        <f>+'Consolidated Sales'!B14</f>
        <v>Pool Table</v>
      </c>
      <c r="C31" s="78">
        <f>+'Consolidated Sales'!C14</f>
        <v>236500</v>
      </c>
      <c r="D31" s="78">
        <f>+'Consolidated Sales'!C54</f>
        <v>0</v>
      </c>
      <c r="E31" s="78">
        <f>+'Consolidated Sales'!C52</f>
        <v>0</v>
      </c>
      <c r="F31" s="78">
        <f>+'Consolidated Sales'!C51</f>
        <v>0</v>
      </c>
      <c r="G31" s="78">
        <f>+'Consolidated Sales'!C53</f>
        <v>0</v>
      </c>
      <c r="H31" s="87">
        <f t="shared" si="1"/>
        <v>236500</v>
      </c>
    </row>
    <row r="32" spans="1:8" ht="21.95" customHeight="1" x14ac:dyDescent="0.25">
      <c r="A32" s="28">
        <f t="shared" si="0"/>
        <v>6</v>
      </c>
      <c r="B32" t="str">
        <f>+'Consolidated Sales'!B15</f>
        <v>AirTime</v>
      </c>
      <c r="C32" s="78">
        <f>+'Consolidated Sales'!C15</f>
        <v>0</v>
      </c>
      <c r="D32" s="78">
        <f>+'Consolidated Sales'!C60</f>
        <v>0</v>
      </c>
      <c r="E32" s="78">
        <f>+'Consolidated Sales'!C58</f>
        <v>0</v>
      </c>
      <c r="F32" s="78">
        <f>+'Consolidated Sales'!C57</f>
        <v>0</v>
      </c>
      <c r="G32" s="78">
        <f>+'Consolidated Sales'!C59</f>
        <v>0</v>
      </c>
      <c r="H32" s="87">
        <f t="shared" si="1"/>
        <v>0</v>
      </c>
    </row>
    <row r="33" spans="1:8" ht="21.95" customHeight="1" x14ac:dyDescent="0.25">
      <c r="A33" s="77">
        <f t="shared" si="0"/>
        <v>7</v>
      </c>
      <c r="B33" s="76" t="str">
        <f>+'Consolidated Sales'!B16</f>
        <v>Student Accommodation</v>
      </c>
      <c r="C33" s="78">
        <f>+'Consolidated Sales'!C16</f>
        <v>460000</v>
      </c>
      <c r="D33" s="78">
        <f>+'Consolidated Sales'!C66</f>
        <v>0</v>
      </c>
      <c r="E33" s="78">
        <f>+'Consolidated Sales'!C64</f>
        <v>0</v>
      </c>
      <c r="F33" s="78">
        <f>+'Consolidated Sales'!C63</f>
        <v>0</v>
      </c>
      <c r="G33" s="78">
        <f>+'Consolidated Sales'!C65</f>
        <v>0</v>
      </c>
      <c r="H33" s="87">
        <f t="shared" si="1"/>
        <v>460000</v>
      </c>
    </row>
    <row r="34" spans="1:8" ht="21.95" customHeight="1" x14ac:dyDescent="0.25">
      <c r="A34" s="28"/>
      <c r="C34" s="18"/>
      <c r="D34" s="18"/>
      <c r="E34" s="18"/>
      <c r="F34" s="18"/>
      <c r="G34" s="18"/>
      <c r="H34" s="91"/>
    </row>
    <row r="35" spans="1:8" ht="21.95" customHeight="1" thickBot="1" x14ac:dyDescent="0.3">
      <c r="A35" s="84" t="s">
        <v>7</v>
      </c>
      <c r="B35" s="93" t="s">
        <v>83</v>
      </c>
      <c r="C35" s="94">
        <f t="shared" ref="C35:H35" si="2">SUM(C27:C33)</f>
        <v>8835910</v>
      </c>
      <c r="D35" s="94">
        <f t="shared" si="2"/>
        <v>0</v>
      </c>
      <c r="E35" s="94">
        <f t="shared" si="2"/>
        <v>772350</v>
      </c>
      <c r="F35" s="94">
        <f t="shared" si="2"/>
        <v>2311100</v>
      </c>
      <c r="G35" s="94">
        <f t="shared" si="2"/>
        <v>298600</v>
      </c>
      <c r="H35" s="92">
        <f t="shared" si="2"/>
        <v>12217960</v>
      </c>
    </row>
    <row r="36" spans="1:8" ht="21.95" customHeight="1" thickTop="1" x14ac:dyDescent="0.25">
      <c r="A36" s="73" t="s">
        <v>7</v>
      </c>
      <c r="B36" s="4"/>
      <c r="C36" s="80"/>
      <c r="D36" s="80"/>
      <c r="E36" s="80"/>
      <c r="F36" s="80"/>
      <c r="G36" s="80"/>
      <c r="H36" s="81"/>
    </row>
    <row r="37" spans="1:8" ht="21.95" customHeight="1" thickBot="1" x14ac:dyDescent="0.3">
      <c r="A37" s="73"/>
      <c r="B37" s="4" t="str">
        <f>+'Consolidated Sales'!B74</f>
        <v>Total Domasi POS Sales</v>
      </c>
      <c r="C37" s="80"/>
      <c r="D37" s="80"/>
      <c r="E37" s="80"/>
      <c r="F37" s="80"/>
      <c r="G37" s="80"/>
      <c r="H37" s="79">
        <f>+'Consolidated Sales'!C74</f>
        <v>0</v>
      </c>
    </row>
    <row r="38" spans="1:8" ht="21.95" customHeight="1" thickTop="1" x14ac:dyDescent="0.25">
      <c r="A38" s="73"/>
      <c r="B38" s="4"/>
      <c r="C38" s="80"/>
      <c r="D38" s="80"/>
      <c r="E38" s="80"/>
      <c r="F38" s="80"/>
      <c r="G38" s="80"/>
      <c r="H38" s="81"/>
    </row>
    <row r="39" spans="1:8" ht="21.95" customHeight="1" thickBot="1" x14ac:dyDescent="0.3">
      <c r="A39" s="74"/>
      <c r="B39" s="75" t="str">
        <f>+'Consolidated Sales'!B76</f>
        <v>Domasi Overage/Shortfall</v>
      </c>
      <c r="C39" s="82"/>
      <c r="D39" s="82"/>
      <c r="E39" s="82"/>
      <c r="F39" s="82"/>
      <c r="G39" s="82"/>
      <c r="H39" s="83">
        <f>+H35-H37</f>
        <v>12217960</v>
      </c>
    </row>
    <row r="40" spans="1:8" ht="21.95" customHeight="1" thickBot="1" x14ac:dyDescent="0.3"/>
    <row r="41" spans="1:8" ht="21.95" customHeight="1" thickBot="1" x14ac:dyDescent="0.3">
      <c r="A41" s="98"/>
      <c r="B41" s="99"/>
      <c r="C41" s="205" t="s">
        <v>131</v>
      </c>
      <c r="D41" s="206"/>
      <c r="E41" s="206"/>
      <c r="F41" s="206"/>
      <c r="G41" s="206"/>
      <c r="H41" s="207"/>
    </row>
    <row r="42" spans="1:8" ht="21.95" customHeight="1" thickBot="1" x14ac:dyDescent="0.3">
      <c r="A42" s="203" t="s">
        <v>132</v>
      </c>
      <c r="B42" s="204"/>
      <c r="C42" s="100" t="s">
        <v>125</v>
      </c>
      <c r="D42" s="101" t="s">
        <v>127</v>
      </c>
      <c r="E42" s="101" t="s">
        <v>126</v>
      </c>
      <c r="F42" s="101" t="s">
        <v>128</v>
      </c>
      <c r="G42" s="101" t="s">
        <v>129</v>
      </c>
      <c r="H42" s="102" t="s">
        <v>130</v>
      </c>
    </row>
    <row r="43" spans="1:8" ht="21.95" customHeight="1" x14ac:dyDescent="0.25">
      <c r="A43" s="28">
        <v>1</v>
      </c>
      <c r="B43" t="str">
        <f>'Suppliers Report'!B6</f>
        <v>Universal Industries</v>
      </c>
      <c r="C43" s="85">
        <f>+'Suppliers Report'!C6</f>
        <v>323500.02</v>
      </c>
      <c r="D43" s="85">
        <f>+'Suppliers Report'!E6</f>
        <v>0</v>
      </c>
      <c r="E43" s="85">
        <f>+'Suppliers Report'!G6</f>
        <v>323500.02</v>
      </c>
      <c r="F43" s="85">
        <f>+'Suppliers Report'!I6</f>
        <v>0</v>
      </c>
      <c r="G43" s="85">
        <f>SUM(D43:F43)</f>
        <v>323500.02</v>
      </c>
      <c r="H43" s="86">
        <f>+C43-G43</f>
        <v>0</v>
      </c>
    </row>
    <row r="44" spans="1:8" ht="21.95" customHeight="1" x14ac:dyDescent="0.25">
      <c r="A44" s="28">
        <f>+A43+1</f>
        <v>2</v>
      </c>
      <c r="B44" t="str">
        <f>'Suppliers Report'!B7</f>
        <v>Bottled Water</v>
      </c>
      <c r="C44" s="78">
        <f>+'Suppliers Report'!C7</f>
        <v>0</v>
      </c>
      <c r="D44" s="78">
        <f>+'Suppliers Report'!E7</f>
        <v>0</v>
      </c>
      <c r="E44" s="78">
        <f>+'Suppliers Report'!G7</f>
        <v>0</v>
      </c>
      <c r="F44" s="78">
        <f>+'Suppliers Report'!I7</f>
        <v>0</v>
      </c>
      <c r="G44" s="78">
        <f t="shared" ref="G44:G61" si="3">SUM(D44:F44)</f>
        <v>0</v>
      </c>
      <c r="H44" s="87">
        <f t="shared" ref="H44:H61" si="4">+C44-G44</f>
        <v>0</v>
      </c>
    </row>
    <row r="45" spans="1:8" ht="21.95" customHeight="1" x14ac:dyDescent="0.25">
      <c r="A45" s="28">
        <f t="shared" ref="A45:A62" si="5">+A44+1</f>
        <v>3</v>
      </c>
      <c r="B45" t="str">
        <f>'Suppliers Report'!B8</f>
        <v>Bakeries</v>
      </c>
      <c r="C45" s="78">
        <f>+'Suppliers Report'!C8</f>
        <v>104700</v>
      </c>
      <c r="D45" s="78">
        <f>+'Suppliers Report'!E8</f>
        <v>0</v>
      </c>
      <c r="E45" s="78">
        <f>+'Suppliers Report'!G8</f>
        <v>0</v>
      </c>
      <c r="F45" s="78">
        <f>+'Suppliers Report'!I8</f>
        <v>104700</v>
      </c>
      <c r="G45" s="78">
        <f t="shared" si="3"/>
        <v>104700</v>
      </c>
      <c r="H45" s="87">
        <f t="shared" si="4"/>
        <v>0</v>
      </c>
    </row>
    <row r="46" spans="1:8" ht="21.95" customHeight="1" x14ac:dyDescent="0.25">
      <c r="A46" s="28">
        <f t="shared" si="5"/>
        <v>4</v>
      </c>
      <c r="B46" t="str">
        <f>'Suppliers Report'!B9</f>
        <v>Suncrest Ltd</v>
      </c>
      <c r="C46" s="78">
        <f>+'Suppliers Report'!C9</f>
        <v>0</v>
      </c>
      <c r="D46" s="78">
        <f>+'Suppliers Report'!E9</f>
        <v>0</v>
      </c>
      <c r="E46" s="78">
        <f>+'Suppliers Report'!G9</f>
        <v>0</v>
      </c>
      <c r="F46" s="78">
        <f>+'Suppliers Report'!I9</f>
        <v>0</v>
      </c>
      <c r="G46" s="78">
        <f t="shared" si="3"/>
        <v>0</v>
      </c>
      <c r="H46" s="87">
        <f t="shared" si="4"/>
        <v>0</v>
      </c>
    </row>
    <row r="47" spans="1:8" ht="21.95" customHeight="1" x14ac:dyDescent="0.25">
      <c r="A47" s="28">
        <f t="shared" si="5"/>
        <v>5</v>
      </c>
      <c r="B47" t="str">
        <f>'Suppliers Report'!B10</f>
        <v>Cold Chain</v>
      </c>
      <c r="C47" s="78">
        <f>+'Suppliers Report'!C10</f>
        <v>0</v>
      </c>
      <c r="D47" s="78">
        <f>+'Suppliers Report'!E10</f>
        <v>0</v>
      </c>
      <c r="E47" s="78">
        <f>+'Suppliers Report'!G10</f>
        <v>0</v>
      </c>
      <c r="F47" s="78">
        <f>+'Suppliers Report'!I10</f>
        <v>0</v>
      </c>
      <c r="G47" s="78">
        <f t="shared" si="3"/>
        <v>0</v>
      </c>
      <c r="H47" s="87">
        <f t="shared" si="4"/>
        <v>0</v>
      </c>
    </row>
    <row r="48" spans="1:8" ht="21.95" customHeight="1" x14ac:dyDescent="0.25">
      <c r="A48" s="28">
        <f t="shared" si="5"/>
        <v>6</v>
      </c>
      <c r="B48" t="str">
        <f>'Suppliers Report'!B11</f>
        <v>Unilever</v>
      </c>
      <c r="C48" s="78">
        <f>+'Suppliers Report'!C11</f>
        <v>0</v>
      </c>
      <c r="D48" s="78">
        <f>+'Suppliers Report'!E11</f>
        <v>0</v>
      </c>
      <c r="E48" s="78">
        <f>+'Suppliers Report'!G11</f>
        <v>0</v>
      </c>
      <c r="F48" s="78">
        <f>+'Suppliers Report'!I11</f>
        <v>0</v>
      </c>
      <c r="G48" s="78">
        <f t="shared" si="3"/>
        <v>0</v>
      </c>
      <c r="H48" s="87">
        <f t="shared" si="4"/>
        <v>0</v>
      </c>
    </row>
    <row r="49" spans="1:8" ht="21.95" customHeight="1" x14ac:dyDescent="0.25">
      <c r="A49" s="28">
        <f t="shared" si="5"/>
        <v>7</v>
      </c>
      <c r="B49" t="str">
        <f>'Suppliers Report'!B12</f>
        <v>Rab Processors</v>
      </c>
      <c r="C49" s="78">
        <f>+'Suppliers Report'!C12</f>
        <v>0</v>
      </c>
      <c r="D49" s="78">
        <f>+'Suppliers Report'!E12</f>
        <v>0</v>
      </c>
      <c r="E49" s="78">
        <f>+'Suppliers Report'!G12</f>
        <v>0</v>
      </c>
      <c r="F49" s="78">
        <f>+'Suppliers Report'!I12</f>
        <v>0</v>
      </c>
      <c r="G49" s="78">
        <f t="shared" si="3"/>
        <v>0</v>
      </c>
      <c r="H49" s="87">
        <f t="shared" si="4"/>
        <v>0</v>
      </c>
    </row>
    <row r="50" spans="1:8" ht="21.95" customHeight="1" x14ac:dyDescent="0.25">
      <c r="A50" s="28">
        <f t="shared" si="5"/>
        <v>8</v>
      </c>
      <c r="B50" t="str">
        <f>'Suppliers Report'!B13</f>
        <v>Kwacha Fund</v>
      </c>
      <c r="C50" s="78">
        <f>+'Suppliers Report'!C13</f>
        <v>3323620.49</v>
      </c>
      <c r="D50" s="78">
        <f>+'Suppliers Report'!E13</f>
        <v>0</v>
      </c>
      <c r="E50" s="78">
        <f>+'Suppliers Report'!G13</f>
        <v>3323620.49</v>
      </c>
      <c r="F50" s="78">
        <f>+'Suppliers Report'!I13</f>
        <v>0</v>
      </c>
      <c r="G50" s="78">
        <f t="shared" si="3"/>
        <v>3323620.49</v>
      </c>
      <c r="H50" s="87">
        <f t="shared" si="4"/>
        <v>0</v>
      </c>
    </row>
    <row r="51" spans="1:8" ht="21.95" customHeight="1" x14ac:dyDescent="0.25">
      <c r="A51" s="28">
        <f t="shared" si="5"/>
        <v>9</v>
      </c>
      <c r="B51" t="str">
        <f>'Suppliers Report'!B14</f>
        <v>Ekhaya Farms</v>
      </c>
      <c r="C51" s="78">
        <f>+'Suppliers Report'!C14</f>
        <v>0</v>
      </c>
      <c r="D51" s="78">
        <f>+'Suppliers Report'!E14</f>
        <v>0</v>
      </c>
      <c r="E51" s="78">
        <f>+'Suppliers Report'!G14</f>
        <v>0</v>
      </c>
      <c r="F51" s="78">
        <f>+'Suppliers Report'!I14</f>
        <v>0</v>
      </c>
      <c r="G51" s="78">
        <f t="shared" si="3"/>
        <v>0</v>
      </c>
      <c r="H51" s="87">
        <f t="shared" si="4"/>
        <v>0</v>
      </c>
    </row>
    <row r="52" spans="1:8" ht="21.95" customHeight="1" x14ac:dyDescent="0.25">
      <c r="A52" s="28">
        <f t="shared" si="5"/>
        <v>10</v>
      </c>
      <c r="B52" t="str">
        <f>'Suppliers Report'!B15</f>
        <v>Central Poultry</v>
      </c>
      <c r="C52" s="78">
        <f>+'Suppliers Report'!C15</f>
        <v>0</v>
      </c>
      <c r="D52" s="78">
        <f>+'Suppliers Report'!E15</f>
        <v>0</v>
      </c>
      <c r="E52" s="78">
        <f>+'Suppliers Report'!G15</f>
        <v>0</v>
      </c>
      <c r="F52" s="78">
        <f>+'Suppliers Report'!I15</f>
        <v>0</v>
      </c>
      <c r="G52" s="78">
        <f t="shared" si="3"/>
        <v>0</v>
      </c>
      <c r="H52" s="87">
        <f t="shared" si="4"/>
        <v>0</v>
      </c>
    </row>
    <row r="53" spans="1:8" ht="21.95" customHeight="1" x14ac:dyDescent="0.25">
      <c r="A53" s="28">
        <f t="shared" si="5"/>
        <v>11</v>
      </c>
      <c r="B53" t="str">
        <f>'Suppliers Report'!B16</f>
        <v>Licorice Investment (Burundi Shop)</v>
      </c>
      <c r="C53" s="78">
        <f>+'Suppliers Report'!C16</f>
        <v>0</v>
      </c>
      <c r="D53" s="78">
        <f>+'Suppliers Report'!E16</f>
        <v>0</v>
      </c>
      <c r="E53" s="78">
        <f>+'Suppliers Report'!G16</f>
        <v>0</v>
      </c>
      <c r="F53" s="78">
        <f>+'Suppliers Report'!I16</f>
        <v>0</v>
      </c>
      <c r="G53" s="78">
        <f t="shared" si="3"/>
        <v>0</v>
      </c>
      <c r="H53" s="87">
        <f t="shared" si="4"/>
        <v>0</v>
      </c>
    </row>
    <row r="54" spans="1:8" ht="21.95" customHeight="1" x14ac:dyDescent="0.25">
      <c r="A54" s="28">
        <f t="shared" si="5"/>
        <v>12</v>
      </c>
      <c r="B54" t="str">
        <f>'Suppliers Report'!B17</f>
        <v xml:space="preserve">Insco Trading </v>
      </c>
      <c r="C54" s="78">
        <f>+'Suppliers Report'!C17</f>
        <v>647850</v>
      </c>
      <c r="D54" s="78">
        <f>+'Suppliers Report'!E17</f>
        <v>0</v>
      </c>
      <c r="E54" s="78">
        <f>+'Suppliers Report'!G17</f>
        <v>647850</v>
      </c>
      <c r="F54" s="78">
        <f>+'Suppliers Report'!I17</f>
        <v>0</v>
      </c>
      <c r="G54" s="78">
        <f t="shared" si="3"/>
        <v>647850</v>
      </c>
      <c r="H54" s="87">
        <f t="shared" si="4"/>
        <v>0</v>
      </c>
    </row>
    <row r="55" spans="1:8" ht="21.95" customHeight="1" x14ac:dyDescent="0.25">
      <c r="A55" s="28">
        <f t="shared" si="5"/>
        <v>13</v>
      </c>
      <c r="B55" t="str">
        <f>'Suppliers Report'!B18</f>
        <v>Chimwemwe Mafeni Trading</v>
      </c>
      <c r="C55" s="78">
        <f>+'Suppliers Report'!C18</f>
        <v>736199.99</v>
      </c>
      <c r="D55" s="78">
        <f>+'Suppliers Report'!E18</f>
        <v>0</v>
      </c>
      <c r="E55" s="78">
        <f>+'Suppliers Report'!G18</f>
        <v>736199.99</v>
      </c>
      <c r="F55" s="78">
        <f>+'Suppliers Report'!I18</f>
        <v>0</v>
      </c>
      <c r="G55" s="78">
        <f t="shared" si="3"/>
        <v>736199.99</v>
      </c>
      <c r="H55" s="87">
        <f t="shared" si="4"/>
        <v>0</v>
      </c>
    </row>
    <row r="56" spans="1:8" ht="21.95" customHeight="1" x14ac:dyDescent="0.25">
      <c r="A56" s="28">
        <f t="shared" si="5"/>
        <v>14</v>
      </c>
      <c r="B56" t="str">
        <f>'Suppliers Report'!B19</f>
        <v>Lilongwe Dairy</v>
      </c>
      <c r="C56" s="78">
        <f>+'Suppliers Report'!C19</f>
        <v>0</v>
      </c>
      <c r="D56" s="78">
        <f>+'Suppliers Report'!E19</f>
        <v>0</v>
      </c>
      <c r="E56" s="78">
        <f>+'Suppliers Report'!G19</f>
        <v>0</v>
      </c>
      <c r="F56" s="78">
        <f>+'Suppliers Report'!I19</f>
        <v>0</v>
      </c>
      <c r="G56" s="78">
        <f t="shared" si="3"/>
        <v>0</v>
      </c>
      <c r="H56" s="87">
        <f t="shared" si="4"/>
        <v>0</v>
      </c>
    </row>
    <row r="57" spans="1:8" ht="21.95" customHeight="1" x14ac:dyDescent="0.25">
      <c r="A57" s="28">
        <f t="shared" si="5"/>
        <v>15</v>
      </c>
      <c r="B57" t="str">
        <f>'Suppliers Report'!B20</f>
        <v>Limbe Products</v>
      </c>
      <c r="C57" s="78">
        <f>+'Suppliers Report'!C20</f>
        <v>1563800</v>
      </c>
      <c r="D57" s="78">
        <f>+'Suppliers Report'!E20</f>
        <v>0</v>
      </c>
      <c r="E57" s="78">
        <f>+'Suppliers Report'!G20</f>
        <v>1563800</v>
      </c>
      <c r="F57" s="78">
        <f>+'Suppliers Report'!I20</f>
        <v>0</v>
      </c>
      <c r="G57" s="78">
        <f t="shared" si="3"/>
        <v>1563800</v>
      </c>
      <c r="H57" s="87">
        <f t="shared" si="4"/>
        <v>0</v>
      </c>
    </row>
    <row r="58" spans="1:8" ht="21.95" customHeight="1" x14ac:dyDescent="0.25">
      <c r="A58" s="28">
        <f t="shared" si="5"/>
        <v>16</v>
      </c>
      <c r="B58" t="str">
        <f>'Suppliers Report'!B21</f>
        <v>Chemusa Sausages</v>
      </c>
      <c r="C58" s="78">
        <f>+'Suppliers Report'!C21</f>
        <v>0</v>
      </c>
      <c r="D58" s="78">
        <f>+'Suppliers Report'!E21</f>
        <v>0</v>
      </c>
      <c r="E58" s="78">
        <f>+'Suppliers Report'!G21</f>
        <v>0</v>
      </c>
      <c r="F58" s="78">
        <f>+'Suppliers Report'!I21</f>
        <v>0</v>
      </c>
      <c r="G58" s="78">
        <f t="shared" si="3"/>
        <v>0</v>
      </c>
      <c r="H58" s="87">
        <f t="shared" si="4"/>
        <v>0</v>
      </c>
    </row>
    <row r="59" spans="1:8" ht="21.95" customHeight="1" x14ac:dyDescent="0.25">
      <c r="A59" s="28">
        <f t="shared" si="5"/>
        <v>17</v>
      </c>
      <c r="B59" t="str">
        <f>'Suppliers Report'!B22</f>
        <v>Madula Butchery</v>
      </c>
      <c r="C59" s="78">
        <f>+'Suppliers Report'!C22</f>
        <v>0</v>
      </c>
      <c r="D59" s="78">
        <f>+'Suppliers Report'!E22</f>
        <v>0</v>
      </c>
      <c r="E59" s="78">
        <f>+'Suppliers Report'!G22</f>
        <v>0</v>
      </c>
      <c r="F59" s="78">
        <f>+'Suppliers Report'!I22</f>
        <v>0</v>
      </c>
      <c r="G59" s="78">
        <f t="shared" si="3"/>
        <v>0</v>
      </c>
      <c r="H59" s="87">
        <f t="shared" si="4"/>
        <v>0</v>
      </c>
    </row>
    <row r="60" spans="1:8" ht="21.95" customHeight="1" x14ac:dyDescent="0.25">
      <c r="A60" s="28">
        <f t="shared" si="5"/>
        <v>18</v>
      </c>
      <c r="B60" t="str">
        <f>'Suppliers Report'!B23</f>
        <v>Zomba Products</v>
      </c>
      <c r="C60" s="78">
        <f>+'Suppliers Report'!C23</f>
        <v>1141415</v>
      </c>
      <c r="D60" s="78">
        <f>+'Suppliers Report'!E23</f>
        <v>0</v>
      </c>
      <c r="E60" s="78">
        <f>+'Suppliers Report'!G23</f>
        <v>1141415</v>
      </c>
      <c r="F60" s="78">
        <f>+'Suppliers Report'!I23</f>
        <v>0</v>
      </c>
      <c r="G60" s="78">
        <f t="shared" si="3"/>
        <v>1141415</v>
      </c>
      <c r="H60" s="87">
        <f t="shared" si="4"/>
        <v>0</v>
      </c>
    </row>
    <row r="61" spans="1:8" ht="21.95" customHeight="1" x14ac:dyDescent="0.25">
      <c r="A61" s="28">
        <f t="shared" si="5"/>
        <v>19</v>
      </c>
      <c r="B61" t="str">
        <f>'Suppliers Report'!B24</f>
        <v>Siera Shop (Burundi Shop)</v>
      </c>
      <c r="C61" s="78">
        <f>+'Suppliers Report'!C24</f>
        <v>0</v>
      </c>
      <c r="D61" s="78">
        <f>+'Suppliers Report'!E24</f>
        <v>0</v>
      </c>
      <c r="E61" s="78">
        <f>+'Suppliers Report'!G24</f>
        <v>0</v>
      </c>
      <c r="F61" s="78">
        <f>+'Suppliers Report'!I24</f>
        <v>0</v>
      </c>
      <c r="G61" s="78">
        <f t="shared" si="3"/>
        <v>0</v>
      </c>
      <c r="H61" s="87">
        <f t="shared" si="4"/>
        <v>0</v>
      </c>
    </row>
    <row r="62" spans="1:8" ht="21.95" customHeight="1" x14ac:dyDescent="0.25">
      <c r="A62" s="28">
        <f t="shared" si="5"/>
        <v>20</v>
      </c>
      <c r="B62" t="str">
        <f>+'Suppliers Report'!B25</f>
        <v>Other Products</v>
      </c>
      <c r="C62" s="78">
        <f>+'Suppliers Report'!C25</f>
        <v>64000</v>
      </c>
      <c r="D62" s="78">
        <f>+'Suppliers Report'!E25</f>
        <v>0</v>
      </c>
      <c r="E62" s="78">
        <f>+'Suppliers Report'!G25</f>
        <v>64000</v>
      </c>
      <c r="F62" s="78">
        <f>+'Suppliers Report'!I25</f>
        <v>0</v>
      </c>
      <c r="G62" s="78">
        <f>SUM(D62:F62)</f>
        <v>64000</v>
      </c>
      <c r="H62" s="87">
        <f>+C62-G62</f>
        <v>0</v>
      </c>
    </row>
    <row r="63" spans="1:8" ht="21.95" customHeight="1" thickBot="1" x14ac:dyDescent="0.3">
      <c r="A63" s="36" t="s">
        <v>7</v>
      </c>
      <c r="B63" s="89" t="s">
        <v>83</v>
      </c>
      <c r="C63" s="90">
        <f>SUM(C43:C62)</f>
        <v>7905085.5</v>
      </c>
      <c r="D63" s="90">
        <f>SUM(D43:D62)</f>
        <v>0</v>
      </c>
      <c r="E63" s="90">
        <f>SUM(E43:E62)</f>
        <v>7800385.5</v>
      </c>
      <c r="F63" s="90">
        <f>SUM(F43:F62)</f>
        <v>104700</v>
      </c>
      <c r="G63" s="90">
        <f>SUM(G43:G62)</f>
        <v>7905085.5</v>
      </c>
      <c r="H63" s="88">
        <f>+SUM(C63-G63)</f>
        <v>0</v>
      </c>
    </row>
    <row r="64" spans="1:8" ht="15.75" thickBot="1" x14ac:dyDescent="0.3"/>
    <row r="65" spans="1:8" ht="21.95" customHeight="1" thickBot="1" x14ac:dyDescent="0.3">
      <c r="A65" s="211" t="s">
        <v>136</v>
      </c>
      <c r="B65" s="212"/>
      <c r="C65" s="208" t="s">
        <v>131</v>
      </c>
      <c r="D65" s="209"/>
      <c r="E65" s="209"/>
      <c r="F65" s="209"/>
      <c r="G65" s="209"/>
      <c r="H65" s="210"/>
    </row>
    <row r="66" spans="1:8" ht="21.95" customHeight="1" thickBot="1" x14ac:dyDescent="0.3">
      <c r="A66" s="213"/>
      <c r="B66" s="214"/>
      <c r="C66" s="103" t="s">
        <v>125</v>
      </c>
      <c r="D66" s="104" t="s">
        <v>127</v>
      </c>
      <c r="E66" s="104" t="s">
        <v>126</v>
      </c>
      <c r="F66" s="104" t="s">
        <v>128</v>
      </c>
      <c r="G66" s="104" t="s">
        <v>129</v>
      </c>
      <c r="H66" s="105" t="s">
        <v>130</v>
      </c>
    </row>
    <row r="67" spans="1:8" ht="21.95" customHeight="1" x14ac:dyDescent="0.25">
      <c r="A67" s="28">
        <v>1</v>
      </c>
      <c r="B67" t="str">
        <f>+'Expenses Report'!B8</f>
        <v>Wages for the Month</v>
      </c>
      <c r="C67" s="85">
        <f>+'Expenses Report'!C8</f>
        <v>1260000</v>
      </c>
      <c r="D67" s="85">
        <f>+'Expenses Report'!E8</f>
        <v>0</v>
      </c>
      <c r="E67" s="85">
        <f>+'Expenses Report'!G8</f>
        <v>0</v>
      </c>
      <c r="F67" s="85">
        <f>+'Expenses Report'!I8</f>
        <v>1260000</v>
      </c>
      <c r="G67" s="85">
        <f t="shared" ref="G67:G75" si="6">SUM(D67:F67)</f>
        <v>1260000</v>
      </c>
      <c r="H67" s="86">
        <f t="shared" ref="H67:H75" si="7">+C67-G67</f>
        <v>0</v>
      </c>
    </row>
    <row r="68" spans="1:8" ht="21.95" customHeight="1" x14ac:dyDescent="0.25">
      <c r="A68" s="28">
        <f>+A67+1</f>
        <v>2</v>
      </c>
      <c r="B68" t="str">
        <f>+'Expenses Report'!B9</f>
        <v>Utility Expenses</v>
      </c>
      <c r="C68" s="78">
        <f>+'Expenses Report'!C9</f>
        <v>329500</v>
      </c>
      <c r="D68" s="78">
        <f>+'Expenses Report'!E9</f>
        <v>0</v>
      </c>
      <c r="E68" s="78">
        <f>+'Expenses Report'!G9</f>
        <v>59500</v>
      </c>
      <c r="F68" s="78">
        <f>+'Expenses Report'!I9</f>
        <v>270000</v>
      </c>
      <c r="G68" s="78">
        <f t="shared" si="6"/>
        <v>329500</v>
      </c>
      <c r="H68" s="87">
        <f t="shared" si="7"/>
        <v>0</v>
      </c>
    </row>
    <row r="69" spans="1:8" ht="21.95" customHeight="1" x14ac:dyDescent="0.25">
      <c r="A69" s="28">
        <f t="shared" ref="A69:A75" si="8">+A68+1</f>
        <v>3</v>
      </c>
      <c r="B69" t="str">
        <f>+'Expenses Report'!B13</f>
        <v>Expired and Damage Products</v>
      </c>
      <c r="C69" s="78">
        <f>+'Expenses Report'!C13</f>
        <v>0</v>
      </c>
      <c r="D69" s="78">
        <f>+'Expenses Report'!E13</f>
        <v>0</v>
      </c>
      <c r="E69" s="78">
        <f>+'Expenses Report'!G13</f>
        <v>0</v>
      </c>
      <c r="F69" s="78">
        <f>+'Expenses Report'!I13</f>
        <v>0</v>
      </c>
      <c r="G69" s="78">
        <f t="shared" si="6"/>
        <v>0</v>
      </c>
      <c r="H69" s="87">
        <f t="shared" si="7"/>
        <v>0</v>
      </c>
    </row>
    <row r="70" spans="1:8" ht="21.95" customHeight="1" x14ac:dyDescent="0.25">
      <c r="A70" s="28">
        <f t="shared" si="8"/>
        <v>4</v>
      </c>
      <c r="B70" t="str">
        <f>+'Expenses Report'!B14</f>
        <v>MBS Penalties</v>
      </c>
      <c r="C70" s="78">
        <f>+'Expenses Report'!C14</f>
        <v>0</v>
      </c>
      <c r="D70" s="78">
        <f>+'Expenses Report'!E14</f>
        <v>0</v>
      </c>
      <c r="E70" s="78">
        <f>+'Expenses Report'!G14</f>
        <v>0</v>
      </c>
      <c r="F70" s="78">
        <f>+'Expenses Report'!I14</f>
        <v>0</v>
      </c>
      <c r="G70" s="78">
        <f t="shared" si="6"/>
        <v>0</v>
      </c>
      <c r="H70" s="87">
        <f t="shared" si="7"/>
        <v>0</v>
      </c>
    </row>
    <row r="71" spans="1:8" ht="21.95" customHeight="1" x14ac:dyDescent="0.25">
      <c r="A71" s="28">
        <f t="shared" si="8"/>
        <v>5</v>
      </c>
      <c r="B71" t="str">
        <f>+'Expenses Report'!B15</f>
        <v>POS Licence and Attendant Costs</v>
      </c>
      <c r="C71" s="78">
        <f>+'Expenses Report'!C15</f>
        <v>0</v>
      </c>
      <c r="D71" s="78">
        <f>+'Expenses Report'!E15</f>
        <v>0</v>
      </c>
      <c r="E71" s="78">
        <f>+'Expenses Report'!G15</f>
        <v>0</v>
      </c>
      <c r="F71" s="78">
        <f>+'Expenses Report'!I15</f>
        <v>0</v>
      </c>
      <c r="G71" s="78">
        <f t="shared" si="6"/>
        <v>0</v>
      </c>
      <c r="H71" s="87">
        <f t="shared" si="7"/>
        <v>0</v>
      </c>
    </row>
    <row r="72" spans="1:8" ht="21.95" customHeight="1" x14ac:dyDescent="0.25">
      <c r="A72" s="28">
        <f t="shared" si="8"/>
        <v>6</v>
      </c>
      <c r="B72" t="str">
        <f>+'Expenses Report'!B16</f>
        <v>Maintenance Works</v>
      </c>
      <c r="C72" s="78">
        <f>+'Expenses Report'!C16</f>
        <v>0</v>
      </c>
      <c r="D72" s="78">
        <f>+'Expenses Report'!E16</f>
        <v>0</v>
      </c>
      <c r="E72" s="78">
        <f>+'Expenses Report'!G16</f>
        <v>0</v>
      </c>
      <c r="F72" s="78">
        <f>+'Expenses Report'!I16</f>
        <v>0</v>
      </c>
      <c r="G72" s="78">
        <f t="shared" si="6"/>
        <v>0</v>
      </c>
      <c r="H72" s="87">
        <f t="shared" si="7"/>
        <v>0</v>
      </c>
    </row>
    <row r="73" spans="1:8" ht="21.95" customHeight="1" x14ac:dyDescent="0.25">
      <c r="A73" s="28">
        <f t="shared" si="8"/>
        <v>7</v>
      </c>
      <c r="B73" t="str">
        <f>+'Expenses Report'!B17</f>
        <v>Shop Cleaning Materials</v>
      </c>
      <c r="C73" s="78">
        <f>+'Expenses Report'!C17</f>
        <v>0</v>
      </c>
      <c r="D73" s="78">
        <f>+'Expenses Report'!E17</f>
        <v>0</v>
      </c>
      <c r="E73" s="78">
        <f>+'Expenses Report'!G17</f>
        <v>0</v>
      </c>
      <c r="F73" s="78">
        <f>+'Expenses Report'!I17</f>
        <v>0</v>
      </c>
      <c r="G73" s="78">
        <f t="shared" si="6"/>
        <v>0</v>
      </c>
      <c r="H73" s="87">
        <f t="shared" si="7"/>
        <v>0</v>
      </c>
    </row>
    <row r="74" spans="1:8" ht="21.95" customHeight="1" x14ac:dyDescent="0.25">
      <c r="A74" s="28">
        <f t="shared" si="8"/>
        <v>8</v>
      </c>
      <c r="B74" t="str">
        <f>+'Expenses Report'!B18</f>
        <v>Casual Labourers</v>
      </c>
      <c r="C74" s="78">
        <f>+'Expenses Report'!C18</f>
        <v>0</v>
      </c>
      <c r="D74" s="78">
        <f>+'Expenses Report'!E18</f>
        <v>0</v>
      </c>
      <c r="E74" s="78">
        <f>+'Expenses Report'!G18</f>
        <v>0</v>
      </c>
      <c r="F74" s="78">
        <f>+'Expenses Report'!I18</f>
        <v>0</v>
      </c>
      <c r="G74" s="78">
        <f t="shared" si="6"/>
        <v>0</v>
      </c>
      <c r="H74" s="87">
        <f t="shared" si="7"/>
        <v>0</v>
      </c>
    </row>
    <row r="75" spans="1:8" ht="21.95" customHeight="1" x14ac:dyDescent="0.25">
      <c r="A75" s="28">
        <f t="shared" si="8"/>
        <v>9</v>
      </c>
      <c r="B75" t="str">
        <f>+'Expenses Report'!B19</f>
        <v xml:space="preserve">Braai Condiments </v>
      </c>
      <c r="C75" s="78">
        <f>+'Expenses Report'!C19</f>
        <v>0</v>
      </c>
      <c r="D75" s="78">
        <f>+'Expenses Report'!E19</f>
        <v>0</v>
      </c>
      <c r="E75" s="78">
        <f>+'Expenses Report'!G19</f>
        <v>0</v>
      </c>
      <c r="F75" s="78">
        <f>+'Expenses Report'!I19</f>
        <v>0</v>
      </c>
      <c r="G75" s="78">
        <f t="shared" si="6"/>
        <v>0</v>
      </c>
      <c r="H75" s="87">
        <f t="shared" si="7"/>
        <v>0</v>
      </c>
    </row>
    <row r="76" spans="1:8" ht="21.95" customHeight="1" x14ac:dyDescent="0.25">
      <c r="A76" s="28">
        <f>+A75+1</f>
        <v>10</v>
      </c>
      <c r="B76" t="str">
        <f>+'Expenses Report'!B20</f>
        <v>Other Expenses</v>
      </c>
      <c r="C76" s="78">
        <f>+'Expenses Report'!C20</f>
        <v>0</v>
      </c>
      <c r="D76" s="78">
        <f>+'Expenses Report'!E20</f>
        <v>0</v>
      </c>
      <c r="E76" s="78">
        <f>+'Expenses Report'!G20</f>
        <v>0</v>
      </c>
      <c r="F76" s="78">
        <f>+'Expenses Report'!I20</f>
        <v>0</v>
      </c>
      <c r="G76" s="78">
        <f>SUM(D76:F76)</f>
        <v>0</v>
      </c>
      <c r="H76" s="87">
        <f>+C76-G76</f>
        <v>0</v>
      </c>
    </row>
    <row r="77" spans="1:8" ht="21.95" customHeight="1" thickBot="1" x14ac:dyDescent="0.3">
      <c r="A77" s="36" t="s">
        <v>7</v>
      </c>
      <c r="B77" s="89" t="s">
        <v>83</v>
      </c>
      <c r="C77" s="90">
        <f>SUM(C67:C76)</f>
        <v>1589500</v>
      </c>
      <c r="D77" s="90">
        <f>SUM(D67:D76)</f>
        <v>0</v>
      </c>
      <c r="E77" s="90">
        <f>SUM(E67:E76)</f>
        <v>59500</v>
      </c>
      <c r="F77" s="90">
        <f>SUM(F67:F76)</f>
        <v>1530000</v>
      </c>
      <c r="G77" s="90">
        <f>SUM(G67:G76)</f>
        <v>1589500</v>
      </c>
      <c r="H77" s="88">
        <f>+SUM(C77-G77)</f>
        <v>0</v>
      </c>
    </row>
  </sheetData>
  <sheetProtection algorithmName="SHA-512" hashValue="u1h8IYFMw+o8jLuqqJ1nYjqpREooawUDOMFqMDVC1T2N7bqGn937r6ECfBIdLpCn4tkkuem9kePWWI6siFQUtA==" saltValue="JfdHNSxecGtJQrGu5Iljaw==" spinCount="100000" sheet="1" objects="1" scenarios="1"/>
  <mergeCells count="6">
    <mergeCell ref="A1:H1"/>
    <mergeCell ref="A26:B26"/>
    <mergeCell ref="A42:B42"/>
    <mergeCell ref="C41:H41"/>
    <mergeCell ref="C65:H65"/>
    <mergeCell ref="A65:B66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Input</vt:lpstr>
      <vt:lpstr>Consolidated Sales</vt:lpstr>
      <vt:lpstr>Suppliers Report</vt:lpstr>
      <vt:lpstr>Expenses Report</vt:lpstr>
      <vt:lpstr>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Mkulichi</dc:creator>
  <cp:lastModifiedBy>nmkulichi</cp:lastModifiedBy>
  <dcterms:created xsi:type="dcterms:W3CDTF">2024-03-29T16:49:41Z</dcterms:created>
  <dcterms:modified xsi:type="dcterms:W3CDTF">2025-10-18T07:24:57Z</dcterms:modified>
</cp:coreProperties>
</file>