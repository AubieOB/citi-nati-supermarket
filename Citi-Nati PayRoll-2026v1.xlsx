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iti-Nati Supermarket\Vansons_Shop\"/>
    </mc:Choice>
  </mc:AlternateContent>
  <bookViews>
    <workbookView xWindow="0" yWindow="0" windowWidth="28800" windowHeight="13725" firstSheet="1" activeTab="2"/>
  </bookViews>
  <sheets>
    <sheet name="Biodata" sheetId="5" r:id="rId1"/>
    <sheet name="Pay Sheet" sheetId="10" r:id="rId2"/>
    <sheet name="Final" sheetId="13" r:id="rId3"/>
    <sheet name="Terminations" sheetId="12" r:id="rId4"/>
    <sheet name="Wages" sheetId="4" r:id="rId5"/>
    <sheet name="Re-Engagements" sheetId="16" r:id="rId6"/>
    <sheet name="LoanSchedule" sheetId="3" r:id="rId7"/>
    <sheet name="Combined Pay" sheetId="8" r:id="rId8"/>
    <sheet name="Res-Workers" sheetId="6" r:id="rId9"/>
    <sheet name="Shop-Workers" sheetId="7" r:id="rId10"/>
    <sheet name="Reengagement Wages " sheetId="14" r:id="rId1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3" l="1"/>
  <c r="A19" i="13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B47" i="13" l="1"/>
  <c r="B46" i="13"/>
  <c r="B45" i="13"/>
  <c r="B44" i="13"/>
  <c r="B43" i="13"/>
  <c r="B42" i="13"/>
  <c r="B41" i="13"/>
  <c r="B40" i="13"/>
  <c r="D39" i="13"/>
  <c r="E76" i="5" l="1"/>
  <c r="F76" i="5" s="1"/>
  <c r="E77" i="5"/>
  <c r="F77" i="5" s="1"/>
  <c r="D53" i="5"/>
  <c r="D43" i="5"/>
  <c r="D37" i="5"/>
  <c r="D36" i="5"/>
  <c r="D35" i="5"/>
  <c r="D25" i="5"/>
  <c r="S39" i="5"/>
  <c r="S36" i="5"/>
  <c r="P24" i="5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S20" i="5"/>
  <c r="P15" i="5"/>
  <c r="P16" i="5" s="1"/>
  <c r="P17" i="5" s="1"/>
  <c r="P18" i="5" s="1"/>
  <c r="P19" i="5" s="1"/>
  <c r="I29" i="14"/>
  <c r="A19" i="14"/>
  <c r="A20" i="14" s="1"/>
  <c r="A21" i="14" s="1"/>
  <c r="A22" i="14" s="1"/>
  <c r="A18" i="14"/>
  <c r="E25" i="5"/>
  <c r="F25" i="5" s="1"/>
  <c r="D47" i="14" l="1"/>
  <c r="A27" i="14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G45" i="14"/>
  <c r="G23" i="14"/>
  <c r="D23" i="14"/>
  <c r="D45" i="14"/>
  <c r="D49" i="14" s="1"/>
  <c r="A11" i="13"/>
  <c r="A12" i="13" s="1"/>
  <c r="A13" i="13" s="1"/>
  <c r="B5" i="13"/>
  <c r="P254" i="4"/>
  <c r="F56" i="5"/>
  <c r="P242" i="4" s="1"/>
  <c r="P224" i="4"/>
  <c r="A194" i="4"/>
  <c r="B194" i="4"/>
  <c r="P194" i="4" s="1"/>
  <c r="T255" i="4"/>
  <c r="T263" i="4" s="1"/>
  <c r="B164" i="4"/>
  <c r="P164" i="4" s="1"/>
  <c r="A38" i="14" l="1"/>
  <c r="A39" i="14" s="1"/>
  <c r="A40" i="14" s="1"/>
  <c r="A41" i="14" s="1"/>
  <c r="A42" i="14" s="1"/>
  <c r="A43" i="14" s="1"/>
  <c r="A44" i="14" s="1"/>
  <c r="D14" i="14"/>
  <c r="G14" i="14"/>
  <c r="E12" i="3"/>
  <c r="Q142" i="4"/>
  <c r="K102" i="7" s="1"/>
  <c r="A123" i="7" s="1"/>
  <c r="P141" i="4"/>
  <c r="E21" i="3"/>
  <c r="AH12" i="3"/>
  <c r="AG12" i="3"/>
  <c r="AF12" i="3"/>
  <c r="AE12" i="3"/>
  <c r="AD12" i="3"/>
  <c r="AH21" i="3"/>
  <c r="AG21" i="3"/>
  <c r="AF21" i="3"/>
  <c r="AE21" i="3"/>
  <c r="AD21" i="3"/>
  <c r="M142" i="4"/>
  <c r="G102" i="7" s="1"/>
  <c r="A143" i="7" s="1"/>
  <c r="I142" i="4"/>
  <c r="C102" i="7" s="1"/>
  <c r="A142" i="7" s="1"/>
  <c r="E142" i="4"/>
  <c r="O84" i="7" s="1"/>
  <c r="A141" i="7" s="1"/>
  <c r="M124" i="4"/>
  <c r="G84" i="7" s="1"/>
  <c r="A139" i="7" s="1"/>
  <c r="Q124" i="4"/>
  <c r="K84" i="7" s="1"/>
  <c r="A140" i="7" s="1"/>
  <c r="L141" i="4"/>
  <c r="H141" i="4"/>
  <c r="D141" i="4"/>
  <c r="P123" i="4"/>
  <c r="L123" i="4"/>
  <c r="B163" i="4"/>
  <c r="A163" i="4"/>
  <c r="B193" i="4"/>
  <c r="B192" i="4"/>
  <c r="B191" i="4"/>
  <c r="B190" i="4"/>
  <c r="B189" i="4"/>
  <c r="B188" i="4"/>
  <c r="P188" i="4" s="1"/>
  <c r="A193" i="4"/>
  <c r="A192" i="4"/>
  <c r="A191" i="4"/>
  <c r="A190" i="4"/>
  <c r="A189" i="4"/>
  <c r="A188" i="4"/>
  <c r="A187" i="4"/>
  <c r="E73" i="5"/>
  <c r="F73" i="5" s="1"/>
  <c r="P253" i="4"/>
  <c r="E75" i="5"/>
  <c r="F75" i="5" s="1"/>
  <c r="E74" i="5"/>
  <c r="F74" i="5" s="1"/>
  <c r="P251" i="4" s="1"/>
  <c r="M219" i="4"/>
  <c r="M222" i="4"/>
  <c r="M217" i="4"/>
  <c r="C6" i="4"/>
  <c r="B8" i="4" s="1"/>
  <c r="C4" i="4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4" i="12"/>
  <c r="A33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5" i="12"/>
  <c r="A14" i="12"/>
  <c r="M221" i="4"/>
  <c r="M218" i="4"/>
  <c r="A5" i="12"/>
  <c r="O159" i="4"/>
  <c r="T266" i="4"/>
  <c r="P252" i="4" l="1"/>
  <c r="P250" i="4"/>
  <c r="F40" i="14"/>
  <c r="O219" i="4"/>
  <c r="J101" i="7"/>
  <c r="B123" i="7" s="1"/>
  <c r="B27" i="8" s="1"/>
  <c r="P163" i="4"/>
  <c r="O254" i="4"/>
  <c r="F101" i="7"/>
  <c r="B143" i="7" s="1"/>
  <c r="B47" i="8" s="1"/>
  <c r="B46" i="10" s="1"/>
  <c r="B35" i="13" s="1"/>
  <c r="O253" i="4"/>
  <c r="B101" i="7"/>
  <c r="B142" i="7" s="1"/>
  <c r="B46" i="8" s="1"/>
  <c r="O251" i="4"/>
  <c r="J83" i="7"/>
  <c r="B140" i="7" s="1"/>
  <c r="B44" i="8" s="1"/>
  <c r="O252" i="4"/>
  <c r="N83" i="7"/>
  <c r="B141" i="7" s="1"/>
  <c r="B45" i="8" s="1"/>
  <c r="O250" i="4"/>
  <c r="F83" i="7"/>
  <c r="B139" i="7" s="1"/>
  <c r="B43" i="8" s="1"/>
  <c r="AG49" i="3"/>
  <c r="AH14" i="3"/>
  <c r="M144" i="4" s="1"/>
  <c r="G104" i="7" s="1"/>
  <c r="F193" i="4"/>
  <c r="M193" i="4" s="1"/>
  <c r="AE14" i="3"/>
  <c r="Q126" i="4" s="1"/>
  <c r="F190" i="4"/>
  <c r="M190" i="4" s="1"/>
  <c r="AF14" i="3"/>
  <c r="E144" i="4" s="1"/>
  <c r="F191" i="4"/>
  <c r="M191" i="4" s="1"/>
  <c r="AD14" i="3"/>
  <c r="F189" i="4"/>
  <c r="M189" i="4" s="1"/>
  <c r="AG14" i="3"/>
  <c r="I144" i="4" s="1"/>
  <c r="F192" i="4"/>
  <c r="M192" i="4" s="1"/>
  <c r="AF49" i="3"/>
  <c r="P192" i="4"/>
  <c r="P193" i="4"/>
  <c r="P189" i="4"/>
  <c r="P190" i="4"/>
  <c r="P191" i="4"/>
  <c r="AH49" i="3"/>
  <c r="E49" i="3"/>
  <c r="AD11" i="3"/>
  <c r="AD35" i="3" s="1"/>
  <c r="E11" i="3"/>
  <c r="E35" i="3" s="1"/>
  <c r="AE11" i="3"/>
  <c r="AE35" i="3" s="1"/>
  <c r="AF11" i="3"/>
  <c r="AF35" i="3" s="1"/>
  <c r="AD49" i="3"/>
  <c r="AG11" i="3"/>
  <c r="AG35" i="3" s="1"/>
  <c r="AE49" i="3"/>
  <c r="AH11" i="3"/>
  <c r="AH35" i="3" s="1"/>
  <c r="B48" i="10"/>
  <c r="B36" i="13" s="1"/>
  <c r="A25" i="10"/>
  <c r="B23" i="10"/>
  <c r="B17" i="13" s="1"/>
  <c r="B21" i="10"/>
  <c r="B15" i="13" s="1"/>
  <c r="A12" i="10"/>
  <c r="A13" i="10" s="1"/>
  <c r="A14" i="10" s="1"/>
  <c r="A15" i="10" s="1"/>
  <c r="A16" i="10" s="1"/>
  <c r="A17" i="10" s="1"/>
  <c r="A18" i="10" s="1"/>
  <c r="A19" i="10" s="1"/>
  <c r="A20" i="10" s="1"/>
  <c r="B7" i="10"/>
  <c r="B45" i="10" l="1"/>
  <c r="B34" i="13" s="1"/>
  <c r="B42" i="10"/>
  <c r="B32" i="13" s="1"/>
  <c r="B44" i="10"/>
  <c r="B43" i="10"/>
  <c r="B33" i="13" s="1"/>
  <c r="B26" i="10"/>
  <c r="A26" i="10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M126" i="4"/>
  <c r="L128" i="4" s="1"/>
  <c r="F88" i="7" s="1"/>
  <c r="C104" i="7"/>
  <c r="K86" i="7"/>
  <c r="D146" i="4"/>
  <c r="N88" i="7" s="1"/>
  <c r="AH31" i="3"/>
  <c r="AH29" i="3"/>
  <c r="AH36" i="3"/>
  <c r="AG36" i="3"/>
  <c r="AG31" i="3"/>
  <c r="AG29" i="3"/>
  <c r="AE29" i="3"/>
  <c r="AE31" i="3"/>
  <c r="AE36" i="3"/>
  <c r="AF31" i="3"/>
  <c r="AF36" i="3"/>
  <c r="AF29" i="3"/>
  <c r="AD29" i="3"/>
  <c r="AD36" i="3"/>
  <c r="AD31" i="3"/>
  <c r="L146" i="4"/>
  <c r="F106" i="7" s="1"/>
  <c r="H146" i="4"/>
  <c r="B106" i="7" s="1"/>
  <c r="P128" i="4"/>
  <c r="J88" i="7" s="1"/>
  <c r="B178" i="4"/>
  <c r="G86" i="7" l="1"/>
  <c r="O86" i="7"/>
  <c r="P255" i="4"/>
  <c r="P263" i="4" s="1"/>
  <c r="P178" i="4"/>
  <c r="R178" i="4" s="1"/>
  <c r="I11" i="6"/>
  <c r="E45" i="5" l="1"/>
  <c r="F45" i="5" s="1"/>
  <c r="P236" i="4" s="1"/>
  <c r="S178" i="4"/>
  <c r="U178" i="4" s="1"/>
  <c r="L5" i="4"/>
  <c r="L4" i="4"/>
  <c r="F178" i="4" l="1"/>
  <c r="M178" i="4" s="1"/>
  <c r="A14" i="8"/>
  <c r="A15" i="8" s="1"/>
  <c r="A16" i="8" s="1"/>
  <c r="A17" i="8" s="1"/>
  <c r="A18" i="8" s="1"/>
  <c r="A19" i="8" s="1"/>
  <c r="A20" i="8" s="1"/>
  <c r="A21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l="1"/>
  <c r="A43" i="8" s="1"/>
  <c r="A44" i="8" s="1"/>
  <c r="A45" i="8" s="1"/>
  <c r="A46" i="8" s="1"/>
  <c r="A47" i="8" s="1"/>
  <c r="T217" i="4"/>
  <c r="T218" i="4"/>
  <c r="T221" i="4"/>
  <c r="T222" i="4"/>
  <c r="T223" i="4"/>
  <c r="T224" i="4"/>
  <c r="T225" i="4"/>
  <c r="T226" i="4"/>
  <c r="T227" i="4"/>
  <c r="T228" i="4"/>
  <c r="T230" i="4"/>
  <c r="T231" i="4"/>
  <c r="T232" i="4"/>
  <c r="T234" i="4"/>
  <c r="T235" i="4"/>
  <c r="T236" i="4"/>
  <c r="T237" i="4"/>
  <c r="T239" i="4"/>
  <c r="T240" i="4"/>
  <c r="T241" i="4"/>
  <c r="T242" i="4"/>
  <c r="T244" i="4"/>
  <c r="T245" i="4"/>
  <c r="T246" i="4"/>
  <c r="T247" i="4"/>
  <c r="T248" i="4"/>
  <c r="P16" i="4"/>
  <c r="Q17" i="4"/>
  <c r="P34" i="4"/>
  <c r="O226" i="4" s="1"/>
  <c r="Q35" i="4"/>
  <c r="P52" i="4"/>
  <c r="Q53" i="4"/>
  <c r="P70" i="4"/>
  <c r="Q71" i="4"/>
  <c r="P88" i="4"/>
  <c r="Q89" i="4"/>
  <c r="P106" i="4"/>
  <c r="Q107" i="4"/>
  <c r="T220" i="4" l="1"/>
  <c r="T257" i="4" s="1"/>
  <c r="T233" i="4"/>
  <c r="T259" i="4" s="1"/>
  <c r="T229" i="4"/>
  <c r="T258" i="4" s="1"/>
  <c r="T249" i="4"/>
  <c r="T262" i="4" s="1"/>
  <c r="T238" i="4"/>
  <c r="T260" i="4" s="1"/>
  <c r="T243" i="4"/>
  <c r="T261" i="4" s="1"/>
  <c r="O222" i="4"/>
  <c r="O231" i="4"/>
  <c r="O241" i="4"/>
  <c r="O236" i="4"/>
  <c r="O246" i="4"/>
  <c r="B183" i="4"/>
  <c r="A183" i="4"/>
  <c r="B187" i="4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D49" i="3"/>
  <c r="C49" i="3"/>
  <c r="T264" i="4" l="1"/>
  <c r="S183" i="4"/>
  <c r="R183" i="4"/>
  <c r="E56" i="5" s="1"/>
  <c r="F183" i="4" s="1"/>
  <c r="P183" i="4"/>
  <c r="U183" i="4"/>
  <c r="M183" i="4"/>
  <c r="X36" i="3" s="1"/>
  <c r="P187" i="4"/>
  <c r="F4" i="4"/>
  <c r="B149" i="7"/>
  <c r="B81" i="6"/>
  <c r="X31" i="3" l="1"/>
  <c r="X40" i="3" s="1"/>
  <c r="X29" i="3"/>
  <c r="X38" i="3" s="1"/>
  <c r="A63" i="6"/>
  <c r="A62" i="6"/>
  <c r="A60" i="6"/>
  <c r="A59" i="6"/>
  <c r="A58" i="6"/>
  <c r="A57" i="6"/>
  <c r="A56" i="6"/>
  <c r="A55" i="6"/>
  <c r="A54" i="6"/>
  <c r="A53" i="6"/>
  <c r="A52" i="6"/>
  <c r="A51" i="6"/>
  <c r="A50" i="6"/>
  <c r="A49" i="6"/>
  <c r="I124" i="4" l="1"/>
  <c r="C50" i="6" s="1"/>
  <c r="A76" i="6" s="1"/>
  <c r="AB12" i="3"/>
  <c r="E124" i="4"/>
  <c r="H123" i="4"/>
  <c r="O248" i="4" s="1"/>
  <c r="D123" i="4"/>
  <c r="O247" i="4" s="1"/>
  <c r="AC11" i="3" l="1"/>
  <c r="AC35" i="3" s="1"/>
  <c r="B49" i="6"/>
  <c r="B76" i="6" s="1"/>
  <c r="B21" i="8" s="1"/>
  <c r="AB11" i="3"/>
  <c r="AC12" i="3"/>
  <c r="AC21" i="3"/>
  <c r="B20" i="10" l="1"/>
  <c r="B13" i="13" s="1"/>
  <c r="S14" i="3"/>
  <c r="Q73" i="4" s="1"/>
  <c r="X14" i="3"/>
  <c r="E109" i="4" s="1"/>
  <c r="E68" i="7"/>
  <c r="I68" i="7" s="1"/>
  <c r="M68" i="7" s="1"/>
  <c r="E50" i="7"/>
  <c r="I50" i="7" s="1"/>
  <c r="M50" i="7" s="1"/>
  <c r="E32" i="7"/>
  <c r="I32" i="7" s="1"/>
  <c r="M32" i="7" s="1"/>
  <c r="F74" i="7"/>
  <c r="B36" i="7"/>
  <c r="A40" i="7"/>
  <c r="A39" i="7"/>
  <c r="A38" i="7"/>
  <c r="A37" i="7"/>
  <c r="A35" i="7"/>
  <c r="N18" i="7"/>
  <c r="J18" i="7"/>
  <c r="F18" i="7"/>
  <c r="B18" i="7"/>
  <c r="M79" i="7"/>
  <c r="I79" i="7"/>
  <c r="E79" i="7"/>
  <c r="E70" i="7"/>
  <c r="E65" i="7"/>
  <c r="M61" i="7"/>
  <c r="I61" i="7"/>
  <c r="E61" i="7"/>
  <c r="E52" i="7"/>
  <c r="E47" i="7"/>
  <c r="A11" i="7"/>
  <c r="E11" i="7" s="1"/>
  <c r="I16" i="7"/>
  <c r="I17" i="7"/>
  <c r="I19" i="7"/>
  <c r="M19" i="7" s="1"/>
  <c r="I20" i="7"/>
  <c r="M20" i="7" s="1"/>
  <c r="I39" i="7"/>
  <c r="E57" i="7" s="1"/>
  <c r="E75" i="7" s="1"/>
  <c r="E93" i="7" s="1"/>
  <c r="E111" i="7" s="1"/>
  <c r="I22" i="7"/>
  <c r="E25" i="7"/>
  <c r="I25" i="7"/>
  <c r="M25" i="7"/>
  <c r="I29" i="7"/>
  <c r="I34" i="7"/>
  <c r="E35" i="7"/>
  <c r="I35" i="7" s="1"/>
  <c r="E37" i="7"/>
  <c r="I37" i="7" s="1"/>
  <c r="E38" i="7"/>
  <c r="A56" i="7" s="1"/>
  <c r="E56" i="7" s="1"/>
  <c r="E39" i="7"/>
  <c r="A57" i="7" s="1"/>
  <c r="A75" i="7" s="1"/>
  <c r="A93" i="7" s="1"/>
  <c r="A111" i="7" s="1"/>
  <c r="E40" i="7"/>
  <c r="I40" i="7" s="1"/>
  <c r="I43" i="7"/>
  <c r="M43" i="7"/>
  <c r="I38" i="7" l="1"/>
  <c r="E14" i="7"/>
  <c r="I14" i="7" s="1"/>
  <c r="M14" i="7" s="1"/>
  <c r="A53" i="7"/>
  <c r="E53" i="7" s="1"/>
  <c r="A58" i="7"/>
  <c r="E58" i="7" s="1"/>
  <c r="A55" i="7"/>
  <c r="E55" i="7" s="1"/>
  <c r="A74" i="7"/>
  <c r="M37" i="7"/>
  <c r="M16" i="7"/>
  <c r="M34" i="7"/>
  <c r="I52" i="7" s="1"/>
  <c r="I70" i="7" s="1"/>
  <c r="M40" i="7"/>
  <c r="M22" i="7"/>
  <c r="M35" i="7"/>
  <c r="M17" i="7"/>
  <c r="I21" i="7"/>
  <c r="M38" i="7"/>
  <c r="AA11" i="3"/>
  <c r="M107" i="4"/>
  <c r="L106" i="4"/>
  <c r="I107" i="4"/>
  <c r="H106" i="4"/>
  <c r="O244" i="4" s="1"/>
  <c r="E107" i="4"/>
  <c r="D106" i="4"/>
  <c r="L88" i="4"/>
  <c r="H88" i="4"/>
  <c r="O239" i="4" s="1"/>
  <c r="D88" i="4"/>
  <c r="B83" i="7" s="1"/>
  <c r="B138" i="7" s="1"/>
  <c r="B42" i="8" s="1"/>
  <c r="B41" i="10" s="1"/>
  <c r="B31" i="13" s="1"/>
  <c r="E74" i="7" l="1"/>
  <c r="E92" i="7" s="1"/>
  <c r="E110" i="7" s="1"/>
  <c r="A92" i="7"/>
  <c r="A110" i="7" s="1"/>
  <c r="V11" i="3"/>
  <c r="O240" i="4"/>
  <c r="X11" i="3"/>
  <c r="O242" i="4"/>
  <c r="Z11" i="3"/>
  <c r="O245" i="4"/>
  <c r="O237" i="4"/>
  <c r="Y11" i="3"/>
  <c r="T11" i="3"/>
  <c r="U11" i="3"/>
  <c r="A76" i="7"/>
  <c r="A73" i="7"/>
  <c r="A71" i="7"/>
  <c r="D111" i="4"/>
  <c r="I58" i="7"/>
  <c r="I53" i="7"/>
  <c r="I56" i="7"/>
  <c r="I55" i="7"/>
  <c r="M21" i="7"/>
  <c r="M39" i="7"/>
  <c r="W11" i="3"/>
  <c r="N21" i="5"/>
  <c r="N34" i="5" s="1"/>
  <c r="N42" i="5" s="1"/>
  <c r="N52" i="5" s="1"/>
  <c r="N61" i="5" s="1"/>
  <c r="E73" i="7" l="1"/>
  <c r="E91" i="7" s="1"/>
  <c r="E109" i="7" s="1"/>
  <c r="A91" i="7"/>
  <c r="A109" i="7" s="1"/>
  <c r="E76" i="7"/>
  <c r="E94" i="7" s="1"/>
  <c r="E112" i="7" s="1"/>
  <c r="A94" i="7"/>
  <c r="A112" i="7" s="1"/>
  <c r="E71" i="7"/>
  <c r="E89" i="7" s="1"/>
  <c r="E107" i="7" s="1"/>
  <c r="A89" i="7"/>
  <c r="A107" i="7" s="1"/>
  <c r="M55" i="7"/>
  <c r="I73" i="7"/>
  <c r="M56" i="7"/>
  <c r="I74" i="7"/>
  <c r="M58" i="7"/>
  <c r="I76" i="7"/>
  <c r="M53" i="7"/>
  <c r="I71" i="7"/>
  <c r="I57" i="7"/>
  <c r="D70" i="4"/>
  <c r="M71" i="7" l="1"/>
  <c r="M89" i="7" s="1"/>
  <c r="I89" i="7"/>
  <c r="I107" i="7" s="1"/>
  <c r="M76" i="7"/>
  <c r="M94" i="7" s="1"/>
  <c r="I94" i="7"/>
  <c r="I112" i="7" s="1"/>
  <c r="M74" i="7"/>
  <c r="M92" i="7" s="1"/>
  <c r="I92" i="7"/>
  <c r="I110" i="7" s="1"/>
  <c r="M73" i="7"/>
  <c r="M91" i="7" s="1"/>
  <c r="I91" i="7"/>
  <c r="I109" i="7" s="1"/>
  <c r="B65" i="7"/>
  <c r="B134" i="7" s="1"/>
  <c r="B38" i="8" s="1"/>
  <c r="O232" i="4"/>
  <c r="M57" i="7"/>
  <c r="I75" i="7"/>
  <c r="M43" i="6"/>
  <c r="M42" i="6"/>
  <c r="M40" i="6"/>
  <c r="M39" i="6"/>
  <c r="M38" i="6"/>
  <c r="M37" i="6"/>
  <c r="M36" i="6"/>
  <c r="M35" i="6"/>
  <c r="M34" i="6"/>
  <c r="M33" i="6"/>
  <c r="O30" i="6"/>
  <c r="A75" i="6" s="1"/>
  <c r="M30" i="6"/>
  <c r="M29" i="6"/>
  <c r="I42" i="6"/>
  <c r="I36" i="6"/>
  <c r="I33" i="6"/>
  <c r="K30" i="6"/>
  <c r="A74" i="6" s="1"/>
  <c r="I30" i="6"/>
  <c r="J29" i="6"/>
  <c r="B74" i="6" s="1"/>
  <c r="B19" i="8" s="1"/>
  <c r="I29" i="6"/>
  <c r="E42" i="6"/>
  <c r="E36" i="6"/>
  <c r="E33" i="6"/>
  <c r="G30" i="6"/>
  <c r="A73" i="6" s="1"/>
  <c r="E30" i="6"/>
  <c r="E29" i="6"/>
  <c r="A42" i="6"/>
  <c r="A36" i="6"/>
  <c r="A33" i="6"/>
  <c r="C30" i="6"/>
  <c r="A72" i="6" s="1"/>
  <c r="A30" i="6"/>
  <c r="A29" i="6"/>
  <c r="M24" i="6"/>
  <c r="M18" i="6"/>
  <c r="M16" i="6"/>
  <c r="M15" i="6"/>
  <c r="O12" i="6"/>
  <c r="A71" i="6" s="1"/>
  <c r="M12" i="6"/>
  <c r="N11" i="6"/>
  <c r="B71" i="6" s="1"/>
  <c r="B16" i="8" s="1"/>
  <c r="B15" i="10" s="1"/>
  <c r="M11" i="6"/>
  <c r="I24" i="6"/>
  <c r="I18" i="6"/>
  <c r="I15" i="6"/>
  <c r="I12" i="6"/>
  <c r="E24" i="6"/>
  <c r="E18" i="6"/>
  <c r="E15" i="6"/>
  <c r="E12" i="6"/>
  <c r="E11" i="6"/>
  <c r="A24" i="6"/>
  <c r="A18" i="6"/>
  <c r="A15" i="6"/>
  <c r="A12" i="6"/>
  <c r="B11" i="6"/>
  <c r="B68" i="6" s="1"/>
  <c r="B13" i="8" s="1"/>
  <c r="A11" i="6"/>
  <c r="O14" i="6"/>
  <c r="T35" i="3"/>
  <c r="AB21" i="3"/>
  <c r="AA12" i="3"/>
  <c r="Z12" i="3"/>
  <c r="Y12" i="3"/>
  <c r="X12" i="3"/>
  <c r="W12" i="3"/>
  <c r="B37" i="10" l="1"/>
  <c r="B28" i="13" s="1"/>
  <c r="B12" i="10"/>
  <c r="B10" i="13" s="1"/>
  <c r="B18" i="10"/>
  <c r="M75" i="7"/>
  <c r="M93" i="7" s="1"/>
  <c r="I93" i="7"/>
  <c r="I111" i="7" s="1"/>
  <c r="N29" i="6"/>
  <c r="B75" i="6" s="1"/>
  <c r="B20" i="8" s="1"/>
  <c r="V35" i="3"/>
  <c r="B19" i="10" l="1"/>
  <c r="B29" i="6"/>
  <c r="B72" i="6" s="1"/>
  <c r="B17" i="8" s="1"/>
  <c r="J11" i="6"/>
  <c r="B70" i="6" s="1"/>
  <c r="B15" i="8" s="1"/>
  <c r="B14" i="10" s="1"/>
  <c r="B12" i="13" s="1"/>
  <c r="W35" i="3"/>
  <c r="F11" i="6"/>
  <c r="B69" i="6" s="1"/>
  <c r="B14" i="8" s="1"/>
  <c r="B16" i="10" l="1"/>
  <c r="B14" i="13" s="1"/>
  <c r="B13" i="10"/>
  <c r="B11" i="13" s="1"/>
  <c r="B186" i="4"/>
  <c r="P186" i="4" s="1"/>
  <c r="B185" i="4"/>
  <c r="B184" i="4"/>
  <c r="P184" i="4" s="1"/>
  <c r="B182" i="4"/>
  <c r="B181" i="4"/>
  <c r="P181" i="4" s="1"/>
  <c r="B180" i="4"/>
  <c r="P180" i="4" s="1"/>
  <c r="B179" i="4"/>
  <c r="P179" i="4" s="1"/>
  <c r="B177" i="4"/>
  <c r="P177" i="4" s="1"/>
  <c r="B176" i="4"/>
  <c r="P176" i="4" s="1"/>
  <c r="B175" i="4"/>
  <c r="P175" i="4" s="1"/>
  <c r="B174" i="4"/>
  <c r="P174" i="4" s="1"/>
  <c r="B173" i="4"/>
  <c r="P173" i="4" s="1"/>
  <c r="B172" i="4"/>
  <c r="P172" i="4" s="1"/>
  <c r="B171" i="4"/>
  <c r="P171" i="4" s="1"/>
  <c r="B170" i="4"/>
  <c r="P170" i="4" s="1"/>
  <c r="B169" i="4"/>
  <c r="B168" i="4"/>
  <c r="B167" i="4"/>
  <c r="P167" i="4" s="1"/>
  <c r="B166" i="4"/>
  <c r="B165" i="4"/>
  <c r="P165" i="4" s="1"/>
  <c r="B162" i="4"/>
  <c r="A186" i="4"/>
  <c r="A185" i="4"/>
  <c r="A184" i="4"/>
  <c r="A182" i="4"/>
  <c r="A180" i="4"/>
  <c r="A179" i="4"/>
  <c r="A178" i="4"/>
  <c r="A177" i="4"/>
  <c r="A176" i="4"/>
  <c r="K12" i="6"/>
  <c r="A70" i="6" s="1"/>
  <c r="M89" i="4"/>
  <c r="G12" i="6" s="1"/>
  <c r="A69" i="6" s="1"/>
  <c r="I89" i="4"/>
  <c r="C12" i="6" s="1"/>
  <c r="A68" i="6" s="1"/>
  <c r="E89" i="4"/>
  <c r="C84" i="7" s="1"/>
  <c r="A138" i="7" s="1"/>
  <c r="O66" i="7"/>
  <c r="A137" i="7" s="1"/>
  <c r="L70" i="4"/>
  <c r="O235" i="4" s="1"/>
  <c r="M71" i="4"/>
  <c r="K66" i="7" s="1"/>
  <c r="A136" i="7" s="1"/>
  <c r="I71" i="4"/>
  <c r="G66" i="7" s="1"/>
  <c r="A135" i="7" s="1"/>
  <c r="H70" i="4"/>
  <c r="O234" i="4" s="1"/>
  <c r="E71" i="4"/>
  <c r="C66" i="7" s="1"/>
  <c r="A134" i="7" s="1"/>
  <c r="P11" i="3"/>
  <c r="P35" i="3" s="1"/>
  <c r="N47" i="7"/>
  <c r="B133" i="7" s="1"/>
  <c r="B37" i="8" s="1"/>
  <c r="L52" i="4"/>
  <c r="B36" i="10" l="1"/>
  <c r="B27" i="13" s="1"/>
  <c r="P169" i="4"/>
  <c r="P182" i="4"/>
  <c r="P166" i="4"/>
  <c r="P185" i="4"/>
  <c r="P168" i="4"/>
  <c r="P162" i="4"/>
  <c r="J47" i="7"/>
  <c r="B132" i="7" s="1"/>
  <c r="B36" i="8" s="1"/>
  <c r="O230" i="4"/>
  <c r="S29" i="3"/>
  <c r="S38" i="3" s="1"/>
  <c r="S11" i="3"/>
  <c r="S35" i="3" s="1"/>
  <c r="N65" i="7"/>
  <c r="B137" i="7" s="1"/>
  <c r="B41" i="8" s="1"/>
  <c r="B40" i="10" s="1"/>
  <c r="Q11" i="3"/>
  <c r="Q35" i="3" s="1"/>
  <c r="F65" i="7"/>
  <c r="B135" i="7" s="1"/>
  <c r="B39" i="8" s="1"/>
  <c r="R11" i="3"/>
  <c r="R35" i="3" s="1"/>
  <c r="J65" i="7"/>
  <c r="B136" i="7" s="1"/>
  <c r="B40" i="8" s="1"/>
  <c r="B39" i="10" l="1"/>
  <c r="B30" i="13" s="1"/>
  <c r="B35" i="10"/>
  <c r="B26" i="13" s="1"/>
  <c r="B38" i="10"/>
  <c r="B29" i="13" s="1"/>
  <c r="F168" i="4"/>
  <c r="M168" i="4" s="1"/>
  <c r="I31" i="3" s="1"/>
  <c r="I40" i="3" s="1"/>
  <c r="S31" i="3"/>
  <c r="S40" i="3" s="1"/>
  <c r="S36" i="3"/>
  <c r="U35" i="3"/>
  <c r="I36" i="3" l="1"/>
  <c r="I29" i="3"/>
  <c r="I38" i="3" s="1"/>
  <c r="O11" i="3"/>
  <c r="O35" i="3" s="1"/>
  <c r="N11" i="3"/>
  <c r="N35" i="3" s="1"/>
  <c r="D34" i="4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D12" i="3"/>
  <c r="C12" i="3"/>
  <c r="Y35" i="3"/>
  <c r="D52" i="4"/>
  <c r="O227" i="4" s="1"/>
  <c r="H52" i="4"/>
  <c r="O228" i="4" s="1"/>
  <c r="L34" i="4"/>
  <c r="H34" i="4"/>
  <c r="L16" i="4"/>
  <c r="O221" i="4" s="1"/>
  <c r="L224" i="4" s="1"/>
  <c r="N11" i="7"/>
  <c r="B125" i="7" s="1"/>
  <c r="B29" i="8" s="1"/>
  <c r="O48" i="7"/>
  <c r="A133" i="7" s="1"/>
  <c r="M53" i="4"/>
  <c r="K48" i="7" s="1"/>
  <c r="A132" i="7" s="1"/>
  <c r="I53" i="4"/>
  <c r="G48" i="7" s="1"/>
  <c r="A131" i="7" s="1"/>
  <c r="E53" i="4"/>
  <c r="C48" i="7" s="1"/>
  <c r="A130" i="7" s="1"/>
  <c r="O30" i="7"/>
  <c r="A129" i="7" s="1"/>
  <c r="M35" i="4"/>
  <c r="K30" i="7" s="1"/>
  <c r="A128" i="7" s="1"/>
  <c r="I35" i="4"/>
  <c r="G30" i="7" s="1"/>
  <c r="A127" i="7" s="1"/>
  <c r="E35" i="4"/>
  <c r="C30" i="7" s="1"/>
  <c r="A126" i="7" s="1"/>
  <c r="M52" i="7" s="1"/>
  <c r="M70" i="7" s="1"/>
  <c r="O12" i="7"/>
  <c r="A125" i="7" s="1"/>
  <c r="M17" i="4"/>
  <c r="K12" i="7" s="1"/>
  <c r="A124" i="7" s="1"/>
  <c r="I17" i="4"/>
  <c r="G12" i="7" s="1"/>
  <c r="A122" i="7" s="1"/>
  <c r="X42" i="3"/>
  <c r="X43" i="3" s="1"/>
  <c r="X46" i="3"/>
  <c r="AA21" i="3"/>
  <c r="Z21" i="3"/>
  <c r="Y21" i="3"/>
  <c r="X21" i="3"/>
  <c r="G111" i="4"/>
  <c r="B28" i="10" l="1"/>
  <c r="B20" i="13" s="1"/>
  <c r="A34" i="6"/>
  <c r="K111" i="4"/>
  <c r="F29" i="7"/>
  <c r="B127" i="7" s="1"/>
  <c r="B31" i="8" s="1"/>
  <c r="B30" i="10" s="1"/>
  <c r="B21" i="13" s="1"/>
  <c r="O224" i="4"/>
  <c r="J29" i="7"/>
  <c r="B128" i="7" s="1"/>
  <c r="B32" i="8" s="1"/>
  <c r="O225" i="4"/>
  <c r="B29" i="7"/>
  <c r="B126" i="7" s="1"/>
  <c r="B30" i="8" s="1"/>
  <c r="O223" i="4"/>
  <c r="K11" i="3"/>
  <c r="K35" i="3" s="1"/>
  <c r="N29" i="7"/>
  <c r="B129" i="7" s="1"/>
  <c r="B33" i="8" s="1"/>
  <c r="M11" i="3"/>
  <c r="M35" i="3" s="1"/>
  <c r="F47" i="7"/>
  <c r="B131" i="7" s="1"/>
  <c r="B35" i="8" s="1"/>
  <c r="B34" i="10" s="1"/>
  <c r="B25" i="13" s="1"/>
  <c r="L11" i="3"/>
  <c r="L35" i="3" s="1"/>
  <c r="B47" i="7"/>
  <c r="B130" i="7" s="1"/>
  <c r="B34" i="8" s="1"/>
  <c r="F11" i="3"/>
  <c r="F35" i="3" s="1"/>
  <c r="J11" i="7"/>
  <c r="B124" i="7" s="1"/>
  <c r="B28" i="8" s="1"/>
  <c r="I11" i="3"/>
  <c r="I35" i="3" s="1"/>
  <c r="J11" i="3"/>
  <c r="J35" i="3" s="1"/>
  <c r="G11" i="3"/>
  <c r="G35" i="3" s="1"/>
  <c r="F29" i="6"/>
  <c r="B73" i="6" s="1"/>
  <c r="B18" i="8" s="1"/>
  <c r="B17" i="10" s="1"/>
  <c r="X16" i="3"/>
  <c r="X17" i="3" s="1"/>
  <c r="N16" i="6"/>
  <c r="Z35" i="3"/>
  <c r="AA35" i="3"/>
  <c r="AB35" i="3"/>
  <c r="X39" i="3"/>
  <c r="X48" i="3" s="1"/>
  <c r="X41" i="3"/>
  <c r="X27" i="3"/>
  <c r="E112" i="4" s="1"/>
  <c r="O17" i="6" s="1"/>
  <c r="O30" i="4"/>
  <c r="K30" i="4"/>
  <c r="G30" i="4"/>
  <c r="C66" i="4"/>
  <c r="O48" i="4"/>
  <c r="K48" i="4"/>
  <c r="G48" i="4"/>
  <c r="G66" i="4" s="1"/>
  <c r="O66" i="4" s="1"/>
  <c r="B32" i="10" l="1"/>
  <c r="B23" i="13" s="1"/>
  <c r="B27" i="10"/>
  <c r="B19" i="13" s="1"/>
  <c r="B31" i="10"/>
  <c r="B22" i="13" s="1"/>
  <c r="B29" i="10"/>
  <c r="B33" i="10"/>
  <c r="B24" i="13" s="1"/>
  <c r="X19" i="3"/>
  <c r="X18" i="3"/>
  <c r="V242" i="4"/>
  <c r="X47" i="3"/>
  <c r="K66" i="4"/>
  <c r="C84" i="4"/>
  <c r="X23" i="3"/>
  <c r="D115" i="4" s="1"/>
  <c r="X50" i="3"/>
  <c r="X51" i="3" s="1"/>
  <c r="G93" i="4"/>
  <c r="A16" i="6" s="1"/>
  <c r="G75" i="4"/>
  <c r="G57" i="4"/>
  <c r="G39" i="4"/>
  <c r="N20" i="6" l="1"/>
  <c r="H71" i="6"/>
  <c r="F16" i="8" s="1"/>
  <c r="X53" i="3"/>
  <c r="X52" i="3"/>
  <c r="X20" i="3"/>
  <c r="E110" i="4" s="1"/>
  <c r="O15" i="6" s="1"/>
  <c r="K84" i="4"/>
  <c r="O84" i="4"/>
  <c r="G84" i="4"/>
  <c r="C102" i="4"/>
  <c r="K26" i="4"/>
  <c r="X54" i="3" l="1"/>
  <c r="D117" i="4" s="1"/>
  <c r="C120" i="4"/>
  <c r="M25" i="6" s="1"/>
  <c r="O102" i="4"/>
  <c r="I25" i="6" s="1"/>
  <c r="G102" i="4"/>
  <c r="A25" i="6" s="1"/>
  <c r="K102" i="4"/>
  <c r="E25" i="6" s="1"/>
  <c r="S16" i="3"/>
  <c r="S17" i="3" s="1"/>
  <c r="S18" i="3" s="1"/>
  <c r="I14" i="3"/>
  <c r="I37" i="4" s="1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D21" i="3"/>
  <c r="C21" i="3"/>
  <c r="H16" i="4"/>
  <c r="O218" i="4" s="1"/>
  <c r="N22" i="6" l="1"/>
  <c r="F71" i="6" s="1"/>
  <c r="E16" i="8" s="1"/>
  <c r="U242" i="4"/>
  <c r="G120" i="4"/>
  <c r="A43" i="6" s="1"/>
  <c r="K120" i="4"/>
  <c r="E43" i="6" s="1"/>
  <c r="D11" i="3"/>
  <c r="D35" i="3" s="1"/>
  <c r="F11" i="7"/>
  <c r="B122" i="7" s="1"/>
  <c r="B26" i="8" s="1"/>
  <c r="O120" i="4"/>
  <c r="I43" i="6" s="1"/>
  <c r="I16" i="3"/>
  <c r="I17" i="3" s="1"/>
  <c r="I18" i="3" s="1"/>
  <c r="S23" i="3"/>
  <c r="P79" i="4" s="1"/>
  <c r="S19" i="3"/>
  <c r="B25" i="10" l="1"/>
  <c r="B18" i="13" s="1"/>
  <c r="H39" i="4"/>
  <c r="F34" i="7" s="1"/>
  <c r="G32" i="7"/>
  <c r="N74" i="7"/>
  <c r="I23" i="3"/>
  <c r="H43" i="4" s="1"/>
  <c r="S20" i="3"/>
  <c r="Q74" i="4" s="1"/>
  <c r="I19" i="3"/>
  <c r="T46" i="3"/>
  <c r="S46" i="3"/>
  <c r="P46" i="3"/>
  <c r="N46" i="3"/>
  <c r="S42" i="3"/>
  <c r="S41" i="3"/>
  <c r="T39" i="3"/>
  <c r="S39" i="3"/>
  <c r="P39" i="3"/>
  <c r="N39" i="3"/>
  <c r="F38" i="7" l="1"/>
  <c r="P47" i="3"/>
  <c r="T47" i="3"/>
  <c r="N47" i="3"/>
  <c r="S47" i="3"/>
  <c r="I20" i="3"/>
  <c r="I38" i="4" s="1"/>
  <c r="G33" i="7" s="1"/>
  <c r="S43" i="3"/>
  <c r="N50" i="3"/>
  <c r="T50" i="3"/>
  <c r="T48" i="3" s="1"/>
  <c r="V237" i="4" s="1"/>
  <c r="E17" i="4"/>
  <c r="C12" i="7" s="1"/>
  <c r="A121" i="7" s="1"/>
  <c r="G45" i="4"/>
  <c r="G43" i="4"/>
  <c r="G42" i="4"/>
  <c r="G40" i="4"/>
  <c r="G27" i="4"/>
  <c r="G26" i="4"/>
  <c r="G44" i="4" s="1"/>
  <c r="G62" i="4" s="1"/>
  <c r="G80" i="4" s="1"/>
  <c r="G98" i="4" s="1"/>
  <c r="G25" i="4"/>
  <c r="G24" i="4"/>
  <c r="G22" i="4"/>
  <c r="G21" i="4"/>
  <c r="G34" i="4"/>
  <c r="G16" i="4"/>
  <c r="H11" i="3"/>
  <c r="H35" i="3" s="1"/>
  <c r="D16" i="4"/>
  <c r="O217" i="4" s="1"/>
  <c r="A181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2" i="4"/>
  <c r="F219" i="4" l="1"/>
  <c r="F255" i="4"/>
  <c r="N48" i="3"/>
  <c r="V230" i="4" s="1"/>
  <c r="H138" i="7"/>
  <c r="F42" i="8" s="1"/>
  <c r="G116" i="4"/>
  <c r="A39" i="6" s="1"/>
  <c r="A21" i="6"/>
  <c r="C11" i="3"/>
  <c r="C35" i="3" s="1"/>
  <c r="B11" i="7"/>
  <c r="B121" i="7" s="1"/>
  <c r="B25" i="8" s="1"/>
  <c r="B24" i="10" s="1"/>
  <c r="X35" i="3"/>
  <c r="C60" i="4"/>
  <c r="C78" i="4" s="1"/>
  <c r="C58" i="4"/>
  <c r="C76" i="4" s="1"/>
  <c r="C63" i="4"/>
  <c r="C81" i="4" s="1"/>
  <c r="C61" i="4"/>
  <c r="C79" i="4" s="1"/>
  <c r="C62" i="4"/>
  <c r="C80" i="4" s="1"/>
  <c r="B15" i="12" l="1"/>
  <c r="G239" i="4"/>
  <c r="B26" i="12" s="1"/>
  <c r="G221" i="4"/>
  <c r="B17" i="12" s="1"/>
  <c r="B34" i="12"/>
  <c r="G257" i="4"/>
  <c r="B36" i="12" s="1"/>
  <c r="G263" i="4"/>
  <c r="B39" i="12" s="1"/>
  <c r="H132" i="7"/>
  <c r="F36" i="8" s="1"/>
  <c r="S50" i="3"/>
  <c r="S48" i="3" s="1"/>
  <c r="X55" i="3"/>
  <c r="D114" i="4" s="1"/>
  <c r="N19" i="6" s="1"/>
  <c r="P50" i="3"/>
  <c r="P48" i="3" s="1"/>
  <c r="G58" i="4"/>
  <c r="G60" i="4"/>
  <c r="C97" i="4"/>
  <c r="C115" i="4" s="1"/>
  <c r="G79" i="4"/>
  <c r="C98" i="4"/>
  <c r="C116" i="4" s="1"/>
  <c r="M21" i="6" s="1"/>
  <c r="G63" i="4"/>
  <c r="G76" i="4"/>
  <c r="C94" i="4"/>
  <c r="C112" i="4" s="1"/>
  <c r="G61" i="4"/>
  <c r="I39" i="3"/>
  <c r="H39" i="3"/>
  <c r="V232" i="4" l="1"/>
  <c r="S51" i="3"/>
  <c r="S53" i="3" s="1"/>
  <c r="V236" i="4"/>
  <c r="G115" i="4"/>
  <c r="A38" i="6" s="1"/>
  <c r="M20" i="6"/>
  <c r="G112" i="4"/>
  <c r="A35" i="6" s="1"/>
  <c r="M17" i="6"/>
  <c r="S55" i="3"/>
  <c r="P78" i="4" s="1"/>
  <c r="C99" i="4"/>
  <c r="C117" i="4" s="1"/>
  <c r="G81" i="4"/>
  <c r="K25" i="4"/>
  <c r="G97" i="4"/>
  <c r="A20" i="6" s="1"/>
  <c r="G94" i="4"/>
  <c r="A17" i="6" s="1"/>
  <c r="K22" i="4"/>
  <c r="C96" i="4"/>
  <c r="C114" i="4" s="1"/>
  <c r="G78" i="4"/>
  <c r="B59" i="3"/>
  <c r="D58" i="3"/>
  <c r="I46" i="3"/>
  <c r="I47" i="3" s="1"/>
  <c r="H46" i="3"/>
  <c r="I42" i="3"/>
  <c r="I43" i="3" s="1"/>
  <c r="I41" i="3"/>
  <c r="H137" i="7" l="1"/>
  <c r="F41" i="8" s="1"/>
  <c r="H134" i="7"/>
  <c r="F38" i="8" s="1"/>
  <c r="S52" i="3"/>
  <c r="S54" i="3" s="1"/>
  <c r="P81" i="4" s="1"/>
  <c r="H47" i="3"/>
  <c r="X44" i="3"/>
  <c r="X45" i="3" s="1"/>
  <c r="G117" i="4"/>
  <c r="A40" i="6" s="1"/>
  <c r="M22" i="6"/>
  <c r="G114" i="4"/>
  <c r="A37" i="6" s="1"/>
  <c r="M19" i="6"/>
  <c r="B71" i="3"/>
  <c r="K24" i="4"/>
  <c r="G96" i="4"/>
  <c r="A19" i="6" s="1"/>
  <c r="K43" i="4"/>
  <c r="O43" i="4" s="1"/>
  <c r="O25" i="4"/>
  <c r="O22" i="4"/>
  <c r="K40" i="4"/>
  <c r="O40" i="4" s="1"/>
  <c r="K44" i="4"/>
  <c r="O44" i="4" s="1"/>
  <c r="O26" i="4"/>
  <c r="K27" i="4"/>
  <c r="G99" i="4"/>
  <c r="A22" i="6" s="1"/>
  <c r="K21" i="4"/>
  <c r="K39" i="4" s="1"/>
  <c r="K57" i="4" s="1"/>
  <c r="B60" i="3"/>
  <c r="B61" i="3" s="1"/>
  <c r="B62" i="3" s="1"/>
  <c r="D59" i="3"/>
  <c r="I44" i="3" l="1"/>
  <c r="I45" i="3" s="1"/>
  <c r="S44" i="3"/>
  <c r="S45" i="3" s="1"/>
  <c r="K75" i="4"/>
  <c r="O57" i="4"/>
  <c r="D61" i="3"/>
  <c r="S27" i="3"/>
  <c r="Q76" i="4" s="1"/>
  <c r="O21" i="4"/>
  <c r="O39" i="4" s="1"/>
  <c r="O27" i="4"/>
  <c r="K45" i="4"/>
  <c r="O45" i="4" s="1"/>
  <c r="K42" i="4"/>
  <c r="O42" i="4" s="1"/>
  <c r="O24" i="4"/>
  <c r="H45" i="3"/>
  <c r="D60" i="3"/>
  <c r="B63" i="3"/>
  <c r="D62" i="3"/>
  <c r="K93" i="4" l="1"/>
  <c r="E16" i="6" s="1"/>
  <c r="O75" i="4"/>
  <c r="D63" i="3"/>
  <c r="B64" i="3"/>
  <c r="O93" i="4" l="1"/>
  <c r="I16" i="6" s="1"/>
  <c r="B65" i="3"/>
  <c r="D64" i="3"/>
  <c r="O111" i="4" l="1"/>
  <c r="I34" i="6" s="1"/>
  <c r="E34" i="6"/>
  <c r="D65" i="3"/>
  <c r="B66" i="3"/>
  <c r="I27" i="3" l="1"/>
  <c r="I40" i="4" s="1"/>
  <c r="G35" i="7" s="1"/>
  <c r="B67" i="3"/>
  <c r="D66" i="3"/>
  <c r="D67" i="3" l="1"/>
  <c r="B68" i="3"/>
  <c r="B69" i="3" l="1"/>
  <c r="D68" i="3"/>
  <c r="D69" i="3" l="1"/>
  <c r="B70" i="3"/>
  <c r="D70" i="3" s="1"/>
  <c r="I50" i="3" l="1"/>
  <c r="I48" i="3" s="1"/>
  <c r="H50" i="3"/>
  <c r="H48" i="3" s="1"/>
  <c r="V223" i="4" l="1"/>
  <c r="I55" i="3"/>
  <c r="H42" i="4" s="1"/>
  <c r="F37" i="7" s="1"/>
  <c r="F39" i="7" s="1"/>
  <c r="E127" i="7" s="1"/>
  <c r="V224" i="4"/>
  <c r="H127" i="7" s="1"/>
  <c r="F31" i="8" s="1"/>
  <c r="I51" i="3"/>
  <c r="I53" i="3" s="1"/>
  <c r="H126" i="7" l="1"/>
  <c r="F30" i="8" s="1"/>
  <c r="H44" i="4"/>
  <c r="I47" i="4" s="1"/>
  <c r="G42" i="7"/>
  <c r="G43" i="7" s="1"/>
  <c r="G127" i="7" s="1"/>
  <c r="D31" i="8" s="1"/>
  <c r="I52" i="3"/>
  <c r="I54" i="3" s="1"/>
  <c r="H45" i="4" s="1"/>
  <c r="D30" i="10" l="1"/>
  <c r="D21" i="13" s="1"/>
  <c r="Q224" i="4"/>
  <c r="F40" i="7"/>
  <c r="F127" i="7" s="1"/>
  <c r="E31" i="8" s="1"/>
  <c r="U224" i="4"/>
  <c r="I48" i="4"/>
  <c r="S224" i="4" s="1"/>
  <c r="R224" i="4"/>
  <c r="K60" i="4" l="1"/>
  <c r="O60" i="4" s="1"/>
  <c r="K63" i="4"/>
  <c r="K81" i="4" s="1"/>
  <c r="K58" i="4"/>
  <c r="O58" i="4" s="1"/>
  <c r="K61" i="4"/>
  <c r="O61" i="4" s="1"/>
  <c r="K62" i="4"/>
  <c r="O62" i="4" s="1"/>
  <c r="K80" i="4" l="1"/>
  <c r="O80" i="4" s="1"/>
  <c r="K76" i="4"/>
  <c r="O76" i="4" s="1"/>
  <c r="K79" i="4"/>
  <c r="O79" i="4" s="1"/>
  <c r="O81" i="4"/>
  <c r="K99" i="4"/>
  <c r="E22" i="6" s="1"/>
  <c r="O63" i="4"/>
  <c r="K78" i="4"/>
  <c r="O99" i="4" l="1"/>
  <c r="I22" i="6" s="1"/>
  <c r="K117" i="4"/>
  <c r="K98" i="4"/>
  <c r="E21" i="6" s="1"/>
  <c r="K94" i="4"/>
  <c r="E17" i="6" s="1"/>
  <c r="K97" i="4"/>
  <c r="E20" i="6" s="1"/>
  <c r="K96" i="4"/>
  <c r="E19" i="6" s="1"/>
  <c r="O78" i="4"/>
  <c r="O117" i="4" l="1"/>
  <c r="I40" i="6" s="1"/>
  <c r="E40" i="6"/>
  <c r="O94" i="4"/>
  <c r="I17" i="6" s="1"/>
  <c r="K112" i="4"/>
  <c r="O98" i="4"/>
  <c r="I21" i="6" s="1"/>
  <c r="K116" i="4"/>
  <c r="O96" i="4"/>
  <c r="I19" i="6" s="1"/>
  <c r="K114" i="4"/>
  <c r="O97" i="4"/>
  <c r="I20" i="6" s="1"/>
  <c r="K115" i="4"/>
  <c r="O116" i="4" l="1"/>
  <c r="I39" i="6" s="1"/>
  <c r="E39" i="6"/>
  <c r="O115" i="4"/>
  <c r="I38" i="6" s="1"/>
  <c r="E38" i="6"/>
  <c r="O114" i="4"/>
  <c r="I37" i="6" s="1"/>
  <c r="E37" i="6"/>
  <c r="O112" i="4"/>
  <c r="I35" i="6" s="1"/>
  <c r="E35" i="6"/>
  <c r="C6" i="8" l="1"/>
  <c r="C7" i="10" l="1"/>
  <c r="C5" i="13"/>
  <c r="O71" i="7"/>
  <c r="P75" i="4"/>
  <c r="N70" i="7" s="1"/>
  <c r="O68" i="7"/>
  <c r="N76" i="7" l="1"/>
  <c r="F137" i="7" s="1"/>
  <c r="E41" i="8" s="1"/>
  <c r="U236" i="4"/>
  <c r="P80" i="4" l="1"/>
  <c r="Q236" i="4" s="1"/>
  <c r="N73" i="7"/>
  <c r="N75" i="7" s="1"/>
  <c r="E137" i="7" s="1"/>
  <c r="O69" i="7"/>
  <c r="Q83" i="4" l="1"/>
  <c r="Q84" i="4" s="1"/>
  <c r="S236" i="4" s="1"/>
  <c r="O78" i="7"/>
  <c r="O79" i="7" s="1"/>
  <c r="G137" i="7" s="1"/>
  <c r="D41" i="8" l="1"/>
  <c r="D40" i="10" s="1"/>
  <c r="R236" i="4"/>
  <c r="D116" i="4" l="1"/>
  <c r="N21" i="6" s="1"/>
  <c r="N45" i="3"/>
  <c r="P45" i="3"/>
  <c r="Q242" i="4" l="1"/>
  <c r="O24" i="6"/>
  <c r="O25" i="6" s="1"/>
  <c r="G71" i="6" s="1"/>
  <c r="D16" i="8" s="1"/>
  <c r="D15" i="10" s="1"/>
  <c r="E71" i="6"/>
  <c r="E119" i="4"/>
  <c r="R242" i="4" l="1"/>
  <c r="E120" i="4"/>
  <c r="S242" i="4" s="1"/>
  <c r="S164" i="4" l="1"/>
  <c r="U164" i="4" s="1"/>
  <c r="E66" i="5"/>
  <c r="F66" i="5" s="1"/>
  <c r="P248" i="4" s="1"/>
  <c r="G225" i="4" l="1"/>
  <c r="B19" i="12" s="1"/>
  <c r="AC14" i="3"/>
  <c r="I126" i="4" s="1"/>
  <c r="F188" i="4"/>
  <c r="M188" i="4" s="1"/>
  <c r="AC27" i="3" l="1"/>
  <c r="I129" i="4" s="1"/>
  <c r="C55" i="6" s="1"/>
  <c r="AC29" i="3"/>
  <c r="AC38" i="3" s="1"/>
  <c r="AC31" i="3"/>
  <c r="AC40" i="3" s="1"/>
  <c r="AC51" i="3" s="1"/>
  <c r="AC36" i="3"/>
  <c r="AC39" i="3" s="1"/>
  <c r="AF27" i="3"/>
  <c r="E147" i="4" s="1"/>
  <c r="AF16" i="3"/>
  <c r="AG16" i="3"/>
  <c r="AG27" i="3"/>
  <c r="I147" i="4" s="1"/>
  <c r="AH16" i="3"/>
  <c r="AH27" i="3"/>
  <c r="M147" i="4" s="1"/>
  <c r="G107" i="7" s="1"/>
  <c r="AD27" i="3"/>
  <c r="M129" i="4" s="1"/>
  <c r="G89" i="7" s="1"/>
  <c r="AD16" i="3"/>
  <c r="AE27" i="3"/>
  <c r="Q129" i="4" s="1"/>
  <c r="K89" i="7" s="1"/>
  <c r="AE16" i="3"/>
  <c r="AD40" i="3"/>
  <c r="AH38" i="3"/>
  <c r="AG38" i="3"/>
  <c r="AF38" i="3"/>
  <c r="AH40" i="3"/>
  <c r="AE38" i="3"/>
  <c r="AG40" i="3"/>
  <c r="AD38" i="3"/>
  <c r="AF40" i="3"/>
  <c r="AE40" i="3"/>
  <c r="H128" i="4"/>
  <c r="AC16" i="3"/>
  <c r="AC23" i="3" s="1"/>
  <c r="H132" i="4" s="1"/>
  <c r="B57" i="6" s="1"/>
  <c r="AC46" i="3" l="1"/>
  <c r="C108" i="7"/>
  <c r="C107" i="7"/>
  <c r="AC41" i="3"/>
  <c r="AC42" i="3"/>
  <c r="AC43" i="3" s="1"/>
  <c r="AH42" i="3"/>
  <c r="AH43" i="3" s="1"/>
  <c r="AH41" i="3"/>
  <c r="AD41" i="3"/>
  <c r="AD42" i="3"/>
  <c r="AD43" i="3" s="1"/>
  <c r="AE46" i="3"/>
  <c r="AE39" i="3"/>
  <c r="AH23" i="3"/>
  <c r="L150" i="4" s="1"/>
  <c r="F110" i="7" s="1"/>
  <c r="AH17" i="3"/>
  <c r="AH39" i="3"/>
  <c r="AH46" i="3"/>
  <c r="AE41" i="3"/>
  <c r="AE42" i="3"/>
  <c r="AE43" i="3" s="1"/>
  <c r="AF39" i="3"/>
  <c r="AF46" i="3"/>
  <c r="AD46" i="3"/>
  <c r="AD39" i="3"/>
  <c r="AG39" i="3"/>
  <c r="AG46" i="3"/>
  <c r="AE17" i="3"/>
  <c r="AE23" i="3"/>
  <c r="P132" i="4" s="1"/>
  <c r="J92" i="7" s="1"/>
  <c r="AG23" i="3"/>
  <c r="H150" i="4" s="1"/>
  <c r="B110" i="7" s="1"/>
  <c r="AG17" i="3"/>
  <c r="AF41" i="3"/>
  <c r="AF42" i="3"/>
  <c r="AF43" i="3" s="1"/>
  <c r="AF23" i="3"/>
  <c r="D150" i="4" s="1"/>
  <c r="N92" i="7" s="1"/>
  <c r="AF17" i="3"/>
  <c r="AG41" i="3"/>
  <c r="AG42" i="3"/>
  <c r="AG43" i="3" s="1"/>
  <c r="AD17" i="3"/>
  <c r="AD23" i="3"/>
  <c r="L132" i="4" s="1"/>
  <c r="F92" i="7" s="1"/>
  <c r="AC17" i="3"/>
  <c r="C52" i="6"/>
  <c r="B54" i="6"/>
  <c r="AC50" i="3"/>
  <c r="AC55" i="3" s="1"/>
  <c r="H131" i="4" s="1"/>
  <c r="B56" i="6" s="1"/>
  <c r="AC48" i="3"/>
  <c r="V248" i="4" s="1"/>
  <c r="H76" i="6" s="1"/>
  <c r="F21" i="8" s="1"/>
  <c r="AC47" i="3"/>
  <c r="AC45" i="3"/>
  <c r="AC53" i="3"/>
  <c r="AC52" i="3"/>
  <c r="AC54" i="3" s="1"/>
  <c r="H134" i="4" s="1"/>
  <c r="AG18" i="3" l="1"/>
  <c r="AG19" i="3"/>
  <c r="AE18" i="3"/>
  <c r="AE19" i="3"/>
  <c r="AF18" i="3"/>
  <c r="AF19" i="3"/>
  <c r="AH18" i="3"/>
  <c r="AH19" i="3"/>
  <c r="AD18" i="3"/>
  <c r="AD19" i="3"/>
  <c r="AC18" i="3"/>
  <c r="AC19" i="3"/>
  <c r="AC44" i="3"/>
  <c r="AH44" i="3"/>
  <c r="AH45" i="3" s="1"/>
  <c r="AE44" i="3"/>
  <c r="AE45" i="3" s="1"/>
  <c r="AD44" i="3"/>
  <c r="AD45" i="3" s="1"/>
  <c r="AG47" i="3"/>
  <c r="AG50" i="3"/>
  <c r="AF44" i="3"/>
  <c r="AF45" i="3" s="1"/>
  <c r="AD47" i="3"/>
  <c r="AD50" i="3"/>
  <c r="AH47" i="3"/>
  <c r="AH50" i="3"/>
  <c r="AG44" i="3"/>
  <c r="AG45" i="3" s="1"/>
  <c r="AF50" i="3"/>
  <c r="AF47" i="3"/>
  <c r="AE47" i="3"/>
  <c r="AE50" i="3"/>
  <c r="AE48" i="3" s="1"/>
  <c r="V251" i="4" s="1"/>
  <c r="H140" i="7" s="1"/>
  <c r="F44" i="8" s="1"/>
  <c r="H133" i="4"/>
  <c r="Q248" i="4" s="1"/>
  <c r="U248" i="4"/>
  <c r="B60" i="6"/>
  <c r="F76" i="6" s="1"/>
  <c r="E21" i="8" s="1"/>
  <c r="AC20" i="3" l="1"/>
  <c r="I127" i="4" s="1"/>
  <c r="C53" i="6" s="1"/>
  <c r="AH55" i="3"/>
  <c r="L149" i="4" s="1"/>
  <c r="AH51" i="3"/>
  <c r="AG55" i="3"/>
  <c r="H149" i="4" s="1"/>
  <c r="AG51" i="3"/>
  <c r="AF55" i="3"/>
  <c r="D149" i="4" s="1"/>
  <c r="AF51" i="3"/>
  <c r="AE55" i="3"/>
  <c r="P131" i="4" s="1"/>
  <c r="AE51" i="3"/>
  <c r="AD55" i="3"/>
  <c r="L131" i="4" s="1"/>
  <c r="AD51" i="3"/>
  <c r="AD48" i="3"/>
  <c r="V250" i="4" s="1"/>
  <c r="H139" i="7" s="1"/>
  <c r="AH48" i="3"/>
  <c r="V254" i="4" s="1"/>
  <c r="H143" i="7" s="1"/>
  <c r="F47" i="8" s="1"/>
  <c r="AG48" i="3"/>
  <c r="V253" i="4" s="1"/>
  <c r="H142" i="7" s="1"/>
  <c r="F46" i="8" s="1"/>
  <c r="AF48" i="3"/>
  <c r="V252" i="4" s="1"/>
  <c r="H141" i="7" s="1"/>
  <c r="F45" i="8" s="1"/>
  <c r="AH20" i="3"/>
  <c r="M145" i="4" s="1"/>
  <c r="G105" i="7" s="1"/>
  <c r="AF20" i="3"/>
  <c r="E145" i="4" s="1"/>
  <c r="O87" i="7" s="1"/>
  <c r="AE20" i="3"/>
  <c r="Q127" i="4" s="1"/>
  <c r="K87" i="7" s="1"/>
  <c r="AD20" i="3"/>
  <c r="M127" i="4" s="1"/>
  <c r="G87" i="7" s="1"/>
  <c r="AG20" i="3"/>
  <c r="I145" i="4" s="1"/>
  <c r="C105" i="7" s="1"/>
  <c r="B58" i="6"/>
  <c r="B59" i="6"/>
  <c r="E76" i="6" s="1"/>
  <c r="I136" i="4" l="1"/>
  <c r="R248" i="4" s="1"/>
  <c r="L151" i="4"/>
  <c r="F109" i="7"/>
  <c r="E143" i="7" s="1"/>
  <c r="H151" i="4"/>
  <c r="I154" i="4" s="1"/>
  <c r="C114" i="7" s="1"/>
  <c r="B109" i="7"/>
  <c r="E142" i="7" s="1"/>
  <c r="P133" i="4"/>
  <c r="Q136" i="4" s="1"/>
  <c r="J91" i="7"/>
  <c r="E140" i="7" s="1"/>
  <c r="D151" i="4"/>
  <c r="E154" i="4" s="1"/>
  <c r="N91" i="7"/>
  <c r="E141" i="7" s="1"/>
  <c r="F43" i="8"/>
  <c r="L133" i="4"/>
  <c r="M136" i="4" s="1"/>
  <c r="F91" i="7"/>
  <c r="E139" i="7" s="1"/>
  <c r="AH53" i="3"/>
  <c r="AH52" i="3"/>
  <c r="AH54" i="3" s="1"/>
  <c r="L152" i="4" s="1"/>
  <c r="AG53" i="3"/>
  <c r="AG52" i="3"/>
  <c r="AF52" i="3"/>
  <c r="AF53" i="3"/>
  <c r="AE53" i="3"/>
  <c r="AE52" i="3"/>
  <c r="AD53" i="3"/>
  <c r="AD52" i="3"/>
  <c r="V255" i="4"/>
  <c r="V263" i="4" s="1"/>
  <c r="AG54" i="3" l="1"/>
  <c r="H152" i="4" s="1"/>
  <c r="U253" i="4" s="1"/>
  <c r="C62" i="6"/>
  <c r="I137" i="4"/>
  <c r="S248" i="4" s="1"/>
  <c r="G223" i="4"/>
  <c r="AE54" i="3"/>
  <c r="P134" i="4" s="1"/>
  <c r="J94" i="7" s="1"/>
  <c r="F140" i="7" s="1"/>
  <c r="E44" i="8" s="1"/>
  <c r="U254" i="4"/>
  <c r="F112" i="7"/>
  <c r="F143" i="7" s="1"/>
  <c r="E47" i="8" s="1"/>
  <c r="Q254" i="4"/>
  <c r="F111" i="7"/>
  <c r="M154" i="4"/>
  <c r="R253" i="4"/>
  <c r="I155" i="4"/>
  <c r="Q253" i="4"/>
  <c r="B111" i="7"/>
  <c r="Q137" i="4"/>
  <c r="K96" i="7"/>
  <c r="Q251" i="4"/>
  <c r="J93" i="7"/>
  <c r="E155" i="4"/>
  <c r="O96" i="7"/>
  <c r="Q252" i="4"/>
  <c r="N93" i="7"/>
  <c r="AD54" i="3"/>
  <c r="L134" i="4" s="1"/>
  <c r="M137" i="4"/>
  <c r="G96" i="7"/>
  <c r="Q250" i="4"/>
  <c r="F93" i="7"/>
  <c r="R252" i="4"/>
  <c r="AF54" i="3"/>
  <c r="D152" i="4" s="1"/>
  <c r="R251" i="4"/>
  <c r="R250" i="4"/>
  <c r="B112" i="7" l="1"/>
  <c r="F142" i="7" s="1"/>
  <c r="E46" i="8" s="1"/>
  <c r="C63" i="6"/>
  <c r="G76" i="6" s="1"/>
  <c r="D21" i="8" s="1"/>
  <c r="D20" i="10" s="1"/>
  <c r="D13" i="13" s="1"/>
  <c r="B18" i="12"/>
  <c r="G227" i="4"/>
  <c r="G233" i="4"/>
  <c r="B23" i="12" s="1"/>
  <c r="U251" i="4"/>
  <c r="G114" i="7"/>
  <c r="R254" i="4"/>
  <c r="R255" i="4" s="1"/>
  <c r="R263" i="4" s="1"/>
  <c r="M155" i="4"/>
  <c r="Q255" i="4"/>
  <c r="Q263" i="4" s="1"/>
  <c r="S253" i="4"/>
  <c r="C115" i="7"/>
  <c r="G142" i="7" s="1"/>
  <c r="D46" i="8" s="1"/>
  <c r="S251" i="4"/>
  <c r="K97" i="7"/>
  <c r="G140" i="7" s="1"/>
  <c r="D44" i="8" s="1"/>
  <c r="U252" i="4"/>
  <c r="N94" i="7"/>
  <c r="F141" i="7" s="1"/>
  <c r="E45" i="8" s="1"/>
  <c r="S252" i="4"/>
  <c r="O97" i="7"/>
  <c r="G141" i="7" s="1"/>
  <c r="D45" i="8" s="1"/>
  <c r="S250" i="4"/>
  <c r="G97" i="7"/>
  <c r="G139" i="7" s="1"/>
  <c r="U250" i="4"/>
  <c r="F94" i="7"/>
  <c r="F139" i="7" s="1"/>
  <c r="D45" i="10" l="1"/>
  <c r="D34" i="13" s="1"/>
  <c r="D44" i="10"/>
  <c r="D43" i="10"/>
  <c r="D33" i="13" s="1"/>
  <c r="B20" i="12"/>
  <c r="U255" i="4"/>
  <c r="U263" i="4" s="1"/>
  <c r="D57" i="10"/>
  <c r="D46" i="13" s="1"/>
  <c r="S254" i="4"/>
  <c r="S255" i="4" s="1"/>
  <c r="S263" i="4" s="1"/>
  <c r="G115" i="7"/>
  <c r="G143" i="7" s="1"/>
  <c r="D47" i="8" s="1"/>
  <c r="D46" i="10" s="1"/>
  <c r="D35" i="13" s="1"/>
  <c r="E43" i="8"/>
  <c r="D43" i="8"/>
  <c r="D42" i="10" l="1"/>
  <c r="D32" i="13" s="1"/>
  <c r="R164" i="4" l="1"/>
  <c r="E17" i="5" s="1"/>
  <c r="F17" i="5"/>
  <c r="R185" i="4"/>
  <c r="M164" i="4"/>
  <c r="G229" i="4"/>
  <c r="G237" i="4"/>
  <c r="B25" i="12" s="1"/>
  <c r="E63" i="5" l="1"/>
  <c r="F63" i="5" s="1"/>
  <c r="S185" i="4"/>
  <c r="U185" i="4" s="1"/>
  <c r="E14" i="3"/>
  <c r="P219" i="4"/>
  <c r="F164" i="4"/>
  <c r="E29" i="3"/>
  <c r="E38" i="3" s="1"/>
  <c r="D36" i="3"/>
  <c r="E31" i="3"/>
  <c r="E40" i="3" s="1"/>
  <c r="E51" i="3" s="1"/>
  <c r="E36" i="3"/>
  <c r="B21" i="12"/>
  <c r="G231" i="4"/>
  <c r="Z14" i="3" l="1"/>
  <c r="Z27" i="3" s="1"/>
  <c r="M112" i="4" s="1"/>
  <c r="G35" i="6" s="1"/>
  <c r="F185" i="4"/>
  <c r="M185" i="4" s="1"/>
  <c r="P245" i="4"/>
  <c r="E27" i="3"/>
  <c r="Q147" i="4" s="1"/>
  <c r="K107" i="7" s="1"/>
  <c r="Q144" i="4"/>
  <c r="E16" i="3"/>
  <c r="E42" i="3"/>
  <c r="E41" i="3"/>
  <c r="D39" i="3"/>
  <c r="D46" i="3"/>
  <c r="E46" i="3"/>
  <c r="E39" i="3"/>
  <c r="G235" i="4"/>
  <c r="B22" i="12"/>
  <c r="Z16" i="3" l="1"/>
  <c r="M109" i="4"/>
  <c r="Z36" i="3"/>
  <c r="Z29" i="3"/>
  <c r="Z38" i="3" s="1"/>
  <c r="Z31" i="3"/>
  <c r="Z40" i="3" s="1"/>
  <c r="Z51" i="3" s="1"/>
  <c r="P146" i="4"/>
  <c r="J106" i="7" s="1"/>
  <c r="K104" i="7"/>
  <c r="E17" i="3"/>
  <c r="E23" i="3"/>
  <c r="P150" i="4" s="1"/>
  <c r="J110" i="7" s="1"/>
  <c r="D47" i="3"/>
  <c r="D45" i="3"/>
  <c r="D50" i="3"/>
  <c r="D48" i="3"/>
  <c r="V218" i="4" s="1"/>
  <c r="H122" i="7" s="1"/>
  <c r="F26" i="8" s="1"/>
  <c r="E48" i="3"/>
  <c r="V219" i="4" s="1"/>
  <c r="H123" i="7" s="1"/>
  <c r="F27" i="8" s="1"/>
  <c r="E52" i="3"/>
  <c r="E54" i="3" s="1"/>
  <c r="P152" i="4" s="1"/>
  <c r="E53" i="3"/>
  <c r="E47" i="3"/>
  <c r="E50" i="3"/>
  <c r="E55" i="3" s="1"/>
  <c r="P149" i="4" s="1"/>
  <c r="E45" i="3"/>
  <c r="E43" i="3"/>
  <c r="E44" i="3"/>
  <c r="B24" i="12"/>
  <c r="G241" i="4"/>
  <c r="Z23" i="3" l="1"/>
  <c r="L115" i="4" s="1"/>
  <c r="F38" i="6" s="1"/>
  <c r="Z17" i="3"/>
  <c r="G32" i="6"/>
  <c r="L111" i="4"/>
  <c r="F34" i="6" s="1"/>
  <c r="Z46" i="3"/>
  <c r="Z39" i="3"/>
  <c r="Z42" i="3"/>
  <c r="Z41" i="3"/>
  <c r="J112" i="7"/>
  <c r="F123" i="7" s="1"/>
  <c r="E27" i="8" s="1"/>
  <c r="U219" i="4"/>
  <c r="J109" i="7"/>
  <c r="E123" i="7" s="1"/>
  <c r="P151" i="4"/>
  <c r="B27" i="12"/>
  <c r="B11" i="12"/>
  <c r="I217" i="4"/>
  <c r="Z19" i="3" l="1"/>
  <c r="Z18" i="3"/>
  <c r="Z20" i="3" s="1"/>
  <c r="Z47" i="3"/>
  <c r="Z48" i="3"/>
  <c r="V245" i="4" s="1"/>
  <c r="H73" i="6" s="1"/>
  <c r="F18" i="8" s="1"/>
  <c r="Z45" i="3"/>
  <c r="Z52" i="3"/>
  <c r="Z54" i="3" s="1"/>
  <c r="L117" i="4" s="1"/>
  <c r="Z50" i="3"/>
  <c r="Z55" i="3" s="1"/>
  <c r="L114" i="4" s="1"/>
  <c r="Z53" i="3"/>
  <c r="Z44" i="3"/>
  <c r="Z43" i="3"/>
  <c r="J111" i="7"/>
  <c r="Q219" i="4"/>
  <c r="U245" i="4" l="1"/>
  <c r="F40" i="6"/>
  <c r="F73" i="6" s="1"/>
  <c r="E18" i="8" s="1"/>
  <c r="L116" i="4"/>
  <c r="F37" i="6"/>
  <c r="Q245" i="4" l="1"/>
  <c r="F39" i="6"/>
  <c r="M119" i="4"/>
  <c r="F23" i="14"/>
  <c r="R191" i="4"/>
  <c r="S191" i="4"/>
  <c r="U191" i="4" s="1"/>
  <c r="R167" i="4"/>
  <c r="G42" i="6" l="1"/>
  <c r="G43" i="6" s="1"/>
  <c r="G73" i="6" s="1"/>
  <c r="D18" i="8" s="1"/>
  <c r="D17" i="10" s="1"/>
  <c r="E73" i="6"/>
  <c r="R245" i="4"/>
  <c r="M120" i="4"/>
  <c r="S245" i="4" s="1"/>
  <c r="E18" i="4"/>
  <c r="B9" i="4" s="1"/>
  <c r="C149" i="7" s="1"/>
  <c r="S167" i="4"/>
  <c r="U167" i="4" s="1"/>
  <c r="E24" i="5"/>
  <c r="F24" i="5" s="1"/>
  <c r="H14" i="3" s="1"/>
  <c r="M223" i="4"/>
  <c r="G261" i="4" s="1"/>
  <c r="B38" i="12" s="1"/>
  <c r="S187" i="4"/>
  <c r="U187" i="4" s="1"/>
  <c r="C13" i="6" l="1"/>
  <c r="C13" i="7"/>
  <c r="C81" i="6"/>
  <c r="D6" i="8" s="1"/>
  <c r="B18" i="4"/>
  <c r="G4" i="4"/>
  <c r="F167" i="4"/>
  <c r="M167" i="4" s="1"/>
  <c r="P223" i="4"/>
  <c r="M220" i="4"/>
  <c r="G269" i="4"/>
  <c r="B42" i="12" s="1"/>
  <c r="G267" i="4"/>
  <c r="B41" i="12" s="1"/>
  <c r="H27" i="3"/>
  <c r="E40" i="4" s="1"/>
  <c r="C35" i="7" s="1"/>
  <c r="H16" i="3"/>
  <c r="E37" i="4"/>
  <c r="F45" i="14"/>
  <c r="F14" i="14" s="1"/>
  <c r="D73" i="6" l="1"/>
  <c r="O31" i="6"/>
  <c r="G31" i="6"/>
  <c r="D76" i="6"/>
  <c r="D68" i="6"/>
  <c r="D72" i="6"/>
  <c r="G13" i="6"/>
  <c r="D75" i="6"/>
  <c r="K13" i="6"/>
  <c r="O13" i="6"/>
  <c r="D70" i="6"/>
  <c r="D69" i="6"/>
  <c r="D74" i="6"/>
  <c r="C31" i="6"/>
  <c r="D71" i="6"/>
  <c r="C51" i="6"/>
  <c r="K31" i="6"/>
  <c r="O49" i="7"/>
  <c r="D134" i="7"/>
  <c r="D122" i="7"/>
  <c r="K31" i="7"/>
  <c r="O85" i="7"/>
  <c r="D124" i="7"/>
  <c r="D140" i="7"/>
  <c r="K103" i="7"/>
  <c r="O67" i="7"/>
  <c r="O13" i="7"/>
  <c r="D139" i="7"/>
  <c r="D129" i="7"/>
  <c r="G103" i="7"/>
  <c r="D141" i="7"/>
  <c r="G49" i="7"/>
  <c r="O31" i="7"/>
  <c r="D131" i="7"/>
  <c r="D125" i="7"/>
  <c r="K67" i="7"/>
  <c r="K49" i="7"/>
  <c r="C85" i="7"/>
  <c r="D128" i="7"/>
  <c r="D143" i="7"/>
  <c r="G13" i="7"/>
  <c r="D133" i="7"/>
  <c r="C103" i="7"/>
  <c r="D132" i="7"/>
  <c r="G31" i="7"/>
  <c r="G67" i="7"/>
  <c r="G85" i="7"/>
  <c r="D121" i="7"/>
  <c r="D142" i="7"/>
  <c r="K13" i="7"/>
  <c r="D123" i="7"/>
  <c r="C31" i="7"/>
  <c r="K85" i="7"/>
  <c r="D136" i="7"/>
  <c r="C67" i="7"/>
  <c r="D137" i="7"/>
  <c r="D138" i="7"/>
  <c r="D127" i="7"/>
  <c r="D130" i="7"/>
  <c r="D126" i="7"/>
  <c r="D135" i="7"/>
  <c r="C49" i="7"/>
  <c r="D5" i="13"/>
  <c r="D7" i="10"/>
  <c r="I72" i="4"/>
  <c r="I18" i="4"/>
  <c r="E72" i="4"/>
  <c r="M108" i="4"/>
  <c r="E90" i="4"/>
  <c r="I125" i="4"/>
  <c r="M54" i="4"/>
  <c r="Q18" i="4"/>
  <c r="I36" i="4"/>
  <c r="M18" i="4"/>
  <c r="M72" i="4"/>
  <c r="E36" i="4"/>
  <c r="Q125" i="4"/>
  <c r="Q108" i="4"/>
  <c r="I143" i="4"/>
  <c r="M143" i="4"/>
  <c r="E108" i="4"/>
  <c r="M125" i="4"/>
  <c r="Q72" i="4"/>
  <c r="E143" i="4"/>
  <c r="M36" i="4"/>
  <c r="E125" i="4"/>
  <c r="M90" i="4"/>
  <c r="Q36" i="4"/>
  <c r="I54" i="4"/>
  <c r="I90" i="4"/>
  <c r="Q54" i="4"/>
  <c r="Q90" i="4"/>
  <c r="Q143" i="4"/>
  <c r="E54" i="4"/>
  <c r="I108" i="4"/>
  <c r="Q182" i="4"/>
  <c r="R182" i="4" s="1"/>
  <c r="Q192" i="4"/>
  <c r="R192" i="4" s="1"/>
  <c r="S192" i="4" s="1"/>
  <c r="U192" i="4" s="1"/>
  <c r="Q194" i="4"/>
  <c r="R194" i="4" s="1"/>
  <c r="S194" i="4" s="1"/>
  <c r="U194" i="4" s="1"/>
  <c r="Q164" i="4"/>
  <c r="Q190" i="4"/>
  <c r="R190" i="4" s="1"/>
  <c r="S190" i="4" s="1"/>
  <c r="U190" i="4" s="1"/>
  <c r="Q183" i="4"/>
  <c r="Q184" i="4"/>
  <c r="R184" i="4" s="1"/>
  <c r="Q180" i="4"/>
  <c r="R180" i="4" s="1"/>
  <c r="Q171" i="4"/>
  <c r="R171" i="4" s="1"/>
  <c r="Q174" i="4"/>
  <c r="R174" i="4" s="1"/>
  <c r="Q175" i="4"/>
  <c r="R175" i="4" s="1"/>
  <c r="Q176" i="4"/>
  <c r="R176" i="4" s="1"/>
  <c r="Q172" i="4"/>
  <c r="R172" i="4" s="1"/>
  <c r="Q185" i="4"/>
  <c r="Q170" i="4"/>
  <c r="R170" i="4" s="1"/>
  <c r="Q173" i="4"/>
  <c r="R173" i="4" s="1"/>
  <c r="Q181" i="4"/>
  <c r="R181" i="4" s="1"/>
  <c r="Q188" i="4"/>
  <c r="R188" i="4" s="1"/>
  <c r="S188" i="4" s="1"/>
  <c r="U188" i="4" s="1"/>
  <c r="Q169" i="4"/>
  <c r="R169" i="4" s="1"/>
  <c r="Q163" i="4"/>
  <c r="R163" i="4" s="1"/>
  <c r="Q178" i="4"/>
  <c r="Q167" i="4"/>
  <c r="Q179" i="4"/>
  <c r="R179" i="4" s="1"/>
  <c r="Q168" i="4"/>
  <c r="R168" i="4" s="1"/>
  <c r="S168" i="4" s="1"/>
  <c r="U168" i="4" s="1"/>
  <c r="Q189" i="4"/>
  <c r="R189" i="4" s="1"/>
  <c r="S189" i="4" s="1"/>
  <c r="U189" i="4" s="1"/>
  <c r="Q186" i="4"/>
  <c r="R186" i="4" s="1"/>
  <c r="Q165" i="4"/>
  <c r="R165" i="4" s="1"/>
  <c r="Q162" i="4"/>
  <c r="R162" i="4" s="1"/>
  <c r="Q191" i="4"/>
  <c r="Q193" i="4"/>
  <c r="R193" i="4" s="1"/>
  <c r="S193" i="4" s="1"/>
  <c r="U193" i="4" s="1"/>
  <c r="Q177" i="4"/>
  <c r="R177" i="4" s="1"/>
  <c r="Q187" i="4"/>
  <c r="R187" i="4" s="1"/>
  <c r="E65" i="5" s="1"/>
  <c r="F65" i="5" s="1"/>
  <c r="Q166" i="4"/>
  <c r="R166" i="4" s="1"/>
  <c r="G265" i="4"/>
  <c r="B40" i="12" s="1"/>
  <c r="H31" i="3"/>
  <c r="H40" i="3" s="1"/>
  <c r="H51" i="3" s="1"/>
  <c r="H29" i="3"/>
  <c r="H38" i="3" s="1"/>
  <c r="G271" i="4"/>
  <c r="B43" i="12" s="1"/>
  <c r="H23" i="3"/>
  <c r="D43" i="4" s="1"/>
  <c r="B38" i="7" s="1"/>
  <c r="H17" i="3"/>
  <c r="C32" i="7"/>
  <c r="D39" i="4"/>
  <c r="E64" i="5" l="1"/>
  <c r="F64" i="5" s="1"/>
  <c r="S186" i="4"/>
  <c r="U186" i="4" s="1"/>
  <c r="E62" i="5"/>
  <c r="F62" i="5" s="1"/>
  <c r="S184" i="4"/>
  <c r="U184" i="4" s="1"/>
  <c r="S182" i="4"/>
  <c r="U182" i="4" s="1"/>
  <c r="E55" i="5"/>
  <c r="F55" i="5" s="1"/>
  <c r="E53" i="5"/>
  <c r="F53" i="5" s="1"/>
  <c r="S180" i="4"/>
  <c r="U180" i="4" s="1"/>
  <c r="E28" i="5"/>
  <c r="F28" i="5" s="1"/>
  <c r="S171" i="4"/>
  <c r="U171" i="4" s="1"/>
  <c r="S174" i="4"/>
  <c r="U174" i="4" s="1"/>
  <c r="E36" i="5"/>
  <c r="F36" i="5" s="1"/>
  <c r="E37" i="5"/>
  <c r="F37" i="5" s="1"/>
  <c r="S175" i="4"/>
  <c r="U175" i="4" s="1"/>
  <c r="S176" i="4"/>
  <c r="U176" i="4" s="1"/>
  <c r="E43" i="5"/>
  <c r="F43" i="5" s="1"/>
  <c r="S172" i="4"/>
  <c r="U172" i="4" s="1"/>
  <c r="E29" i="5"/>
  <c r="F29" i="5" s="1"/>
  <c r="S170" i="4"/>
  <c r="U170" i="4" s="1"/>
  <c r="E27" i="5"/>
  <c r="F27" i="5" s="1"/>
  <c r="S173" i="4"/>
  <c r="U173" i="4" s="1"/>
  <c r="E35" i="5"/>
  <c r="F35" i="5" s="1"/>
  <c r="S181" i="4"/>
  <c r="U181" i="4" s="1"/>
  <c r="E54" i="5"/>
  <c r="F54" i="5" s="1"/>
  <c r="S169" i="4"/>
  <c r="U169" i="4" s="1"/>
  <c r="E26" i="5"/>
  <c r="F26" i="5" s="1"/>
  <c r="S163" i="4"/>
  <c r="U163" i="4" s="1"/>
  <c r="E16" i="5"/>
  <c r="F16" i="5" s="1"/>
  <c r="S179" i="4"/>
  <c r="U179" i="4" s="1"/>
  <c r="E46" i="5"/>
  <c r="F46" i="5" s="1"/>
  <c r="S165" i="4"/>
  <c r="U165" i="4" s="1"/>
  <c r="E22" i="5"/>
  <c r="F22" i="5" s="1"/>
  <c r="S162" i="4"/>
  <c r="U162" i="4" s="1"/>
  <c r="E15" i="5"/>
  <c r="F15" i="5" s="1"/>
  <c r="S177" i="4"/>
  <c r="U177" i="4" s="1"/>
  <c r="E44" i="5"/>
  <c r="F44" i="5" s="1"/>
  <c r="F187" i="4"/>
  <c r="M187" i="4" s="1"/>
  <c r="AB14" i="3"/>
  <c r="P247" i="4"/>
  <c r="E23" i="5"/>
  <c r="F23" i="5" s="1"/>
  <c r="S166" i="4"/>
  <c r="U166" i="4" s="1"/>
  <c r="H41" i="3"/>
  <c r="H53" i="3"/>
  <c r="H42" i="3"/>
  <c r="H52" i="3"/>
  <c r="H54" i="3" s="1"/>
  <c r="D45" i="4" s="1"/>
  <c r="H55" i="3"/>
  <c r="D42" i="4" s="1"/>
  <c r="B34" i="7"/>
  <c r="H18" i="3"/>
  <c r="H19" i="3"/>
  <c r="P246" i="4" l="1"/>
  <c r="AA14" i="3"/>
  <c r="F186" i="4"/>
  <c r="M186" i="4" s="1"/>
  <c r="F184" i="4"/>
  <c r="M184" i="4" s="1"/>
  <c r="P244" i="4"/>
  <c r="P249" i="4" s="1"/>
  <c r="P262" i="4" s="1"/>
  <c r="Y14" i="3"/>
  <c r="P241" i="4"/>
  <c r="F182" i="4"/>
  <c r="M182" i="4" s="1"/>
  <c r="W14" i="3"/>
  <c r="F180" i="4"/>
  <c r="M180" i="4" s="1"/>
  <c r="U14" i="3"/>
  <c r="P239" i="4"/>
  <c r="L14" i="3"/>
  <c r="F171" i="4"/>
  <c r="M171" i="4" s="1"/>
  <c r="P227" i="4"/>
  <c r="O14" i="3"/>
  <c r="P231" i="4"/>
  <c r="F174" i="4"/>
  <c r="M174" i="4" s="1"/>
  <c r="P14" i="3"/>
  <c r="P232" i="4"/>
  <c r="F175" i="4"/>
  <c r="M175" i="4" s="1"/>
  <c r="F176" i="4"/>
  <c r="M176" i="4" s="1"/>
  <c r="Q14" i="3"/>
  <c r="P234" i="4"/>
  <c r="P228" i="4"/>
  <c r="M14" i="3"/>
  <c r="F172" i="4"/>
  <c r="M172" i="4" s="1"/>
  <c r="K14" i="3"/>
  <c r="P226" i="4"/>
  <c r="F170" i="4"/>
  <c r="M170" i="4" s="1"/>
  <c r="F173" i="4"/>
  <c r="M173" i="4" s="1"/>
  <c r="P230" i="4"/>
  <c r="N14" i="3"/>
  <c r="V14" i="3"/>
  <c r="F181" i="4"/>
  <c r="M181" i="4" s="1"/>
  <c r="P240" i="4"/>
  <c r="J14" i="3"/>
  <c r="F169" i="4"/>
  <c r="M169" i="4" s="1"/>
  <c r="P225" i="4"/>
  <c r="F163" i="4"/>
  <c r="M163" i="4" s="1"/>
  <c r="D14" i="3"/>
  <c r="P218" i="4"/>
  <c r="P237" i="4"/>
  <c r="F179" i="4"/>
  <c r="M179" i="4" s="1"/>
  <c r="T14" i="3"/>
  <c r="F165" i="4"/>
  <c r="M165" i="4" s="1"/>
  <c r="P221" i="4"/>
  <c r="F14" i="3"/>
  <c r="F162" i="4"/>
  <c r="M162" i="4" s="1"/>
  <c r="C14" i="3"/>
  <c r="P217" i="4"/>
  <c r="R14" i="3"/>
  <c r="P235" i="4"/>
  <c r="F177" i="4"/>
  <c r="M177" i="4" s="1"/>
  <c r="AB31" i="3"/>
  <c r="AB40" i="3" s="1"/>
  <c r="AB51" i="3" s="1"/>
  <c r="AB36" i="3"/>
  <c r="AB29" i="3"/>
  <c r="AB38" i="3" s="1"/>
  <c r="AB27" i="3"/>
  <c r="E129" i="4" s="1"/>
  <c r="O35" i="6" s="1"/>
  <c r="AB16" i="3"/>
  <c r="E126" i="4"/>
  <c r="F166" i="4"/>
  <c r="M166" i="4" s="1"/>
  <c r="G14" i="3"/>
  <c r="P222" i="4"/>
  <c r="H43" i="3"/>
  <c r="H44" i="3"/>
  <c r="B40" i="7"/>
  <c r="F126" i="7" s="1"/>
  <c r="E30" i="8" s="1"/>
  <c r="U223" i="4"/>
  <c r="B37" i="7"/>
  <c r="B39" i="7" s="1"/>
  <c r="E126" i="7" s="1"/>
  <c r="D44" i="4"/>
  <c r="Q223" i="4" s="1"/>
  <c r="H20" i="3"/>
  <c r="E38" i="4" s="1"/>
  <c r="Q109" i="4" l="1"/>
  <c r="AA27" i="3"/>
  <c r="Q112" i="4" s="1"/>
  <c r="K35" i="6" s="1"/>
  <c r="AA16" i="3"/>
  <c r="AA36" i="3"/>
  <c r="AA31" i="3"/>
  <c r="AA40" i="3" s="1"/>
  <c r="AA51" i="3" s="1"/>
  <c r="AA29" i="3"/>
  <c r="AA38" i="3" s="1"/>
  <c r="P233" i="4"/>
  <c r="P259" i="4" s="1"/>
  <c r="P220" i="4"/>
  <c r="P257" i="4" s="1"/>
  <c r="Y31" i="3"/>
  <c r="Y40" i="3" s="1"/>
  <c r="Y36" i="3"/>
  <c r="Y29" i="3"/>
  <c r="Y38" i="3" s="1"/>
  <c r="Y27" i="3"/>
  <c r="I112" i="4" s="1"/>
  <c r="C35" i="6" s="1"/>
  <c r="I109" i="4"/>
  <c r="Y16" i="3"/>
  <c r="W31" i="3"/>
  <c r="W40" i="3" s="1"/>
  <c r="W51" i="3" s="1"/>
  <c r="W29" i="3"/>
  <c r="W38" i="3" s="1"/>
  <c r="W36" i="3"/>
  <c r="Q91" i="4"/>
  <c r="W16" i="3"/>
  <c r="W27" i="3"/>
  <c r="Q94" i="4" s="1"/>
  <c r="K17" i="6" s="1"/>
  <c r="U36" i="3"/>
  <c r="U31" i="3"/>
  <c r="U40" i="3" s="1"/>
  <c r="U51" i="3" s="1"/>
  <c r="U29" i="3"/>
  <c r="U38" i="3" s="1"/>
  <c r="I91" i="4"/>
  <c r="U16" i="3"/>
  <c r="U27" i="3"/>
  <c r="I94" i="4" s="1"/>
  <c r="C17" i="6" s="1"/>
  <c r="L27" i="3"/>
  <c r="E58" i="4" s="1"/>
  <c r="C53" i="7" s="1"/>
  <c r="E55" i="4"/>
  <c r="L16" i="3"/>
  <c r="L29" i="3"/>
  <c r="L38" i="3" s="1"/>
  <c r="L36" i="3"/>
  <c r="L31" i="3"/>
  <c r="L40" i="3" s="1"/>
  <c r="L51" i="3" s="1"/>
  <c r="O16" i="3"/>
  <c r="O27" i="3"/>
  <c r="Q58" i="4" s="1"/>
  <c r="O53" i="7" s="1"/>
  <c r="Q55" i="4"/>
  <c r="O36" i="3"/>
  <c r="O31" i="3"/>
  <c r="O40" i="3" s="1"/>
  <c r="O51" i="3" s="1"/>
  <c r="O29" i="3"/>
  <c r="O38" i="3" s="1"/>
  <c r="P27" i="3"/>
  <c r="E76" i="4" s="1"/>
  <c r="C71" i="7" s="1"/>
  <c r="P16" i="3"/>
  <c r="E73" i="4"/>
  <c r="P29" i="3"/>
  <c r="P38" i="3" s="1"/>
  <c r="P31" i="3"/>
  <c r="P40" i="3" s="1"/>
  <c r="P51" i="3" s="1"/>
  <c r="Q29" i="3"/>
  <c r="Q38" i="3" s="1"/>
  <c r="Q31" i="3"/>
  <c r="Q40" i="3" s="1"/>
  <c r="Q51" i="3" s="1"/>
  <c r="Q36" i="3"/>
  <c r="Q16" i="3"/>
  <c r="Q27" i="3"/>
  <c r="I76" i="4" s="1"/>
  <c r="G71" i="7" s="1"/>
  <c r="I73" i="4"/>
  <c r="M16" i="3"/>
  <c r="I55" i="4"/>
  <c r="M27" i="3"/>
  <c r="I58" i="4" s="1"/>
  <c r="G53" i="7" s="1"/>
  <c r="M31" i="3"/>
  <c r="M40" i="3" s="1"/>
  <c r="M51" i="3" s="1"/>
  <c r="M36" i="3"/>
  <c r="M29" i="3"/>
  <c r="M38" i="3" s="1"/>
  <c r="Q37" i="4"/>
  <c r="K16" i="3"/>
  <c r="K27" i="3"/>
  <c r="Q40" i="4" s="1"/>
  <c r="O35" i="7" s="1"/>
  <c r="K36" i="3"/>
  <c r="K31" i="3"/>
  <c r="K40" i="3" s="1"/>
  <c r="K51" i="3" s="1"/>
  <c r="K29" i="3"/>
  <c r="K38" i="3" s="1"/>
  <c r="N29" i="3"/>
  <c r="N38" i="3" s="1"/>
  <c r="N31" i="3"/>
  <c r="N40" i="3" s="1"/>
  <c r="N51" i="3" s="1"/>
  <c r="N16" i="3"/>
  <c r="M55" i="4"/>
  <c r="N27" i="3"/>
  <c r="M58" i="4" s="1"/>
  <c r="K53" i="7" s="1"/>
  <c r="V16" i="3"/>
  <c r="M91" i="4"/>
  <c r="V27" i="3"/>
  <c r="M94" i="4" s="1"/>
  <c r="G17" i="6" s="1"/>
  <c r="V31" i="3"/>
  <c r="V40" i="3" s="1"/>
  <c r="V51" i="3" s="1"/>
  <c r="V29" i="3"/>
  <c r="V38" i="3" s="1"/>
  <c r="V36" i="3"/>
  <c r="J27" i="3"/>
  <c r="M40" i="4" s="1"/>
  <c r="K35" i="7" s="1"/>
  <c r="J16" i="3"/>
  <c r="M37" i="4"/>
  <c r="J31" i="3"/>
  <c r="J40" i="3" s="1"/>
  <c r="J51" i="3" s="1"/>
  <c r="J29" i="3"/>
  <c r="J38" i="3" s="1"/>
  <c r="J36" i="3"/>
  <c r="D29" i="3"/>
  <c r="D38" i="3" s="1"/>
  <c r="D31" i="3"/>
  <c r="D40" i="3" s="1"/>
  <c r="D51" i="3" s="1"/>
  <c r="D16" i="3"/>
  <c r="D27" i="3"/>
  <c r="I22" i="4" s="1"/>
  <c r="G17" i="7" s="1"/>
  <c r="I19" i="4"/>
  <c r="T29" i="3"/>
  <c r="T38" i="3" s="1"/>
  <c r="T31" i="3"/>
  <c r="T40" i="3" s="1"/>
  <c r="T51" i="3" s="1"/>
  <c r="E91" i="4"/>
  <c r="T27" i="3"/>
  <c r="E94" i="4" s="1"/>
  <c r="C89" i="7" s="1"/>
  <c r="T16" i="3"/>
  <c r="F29" i="3"/>
  <c r="F38" i="3" s="1"/>
  <c r="F36" i="3"/>
  <c r="F31" i="3"/>
  <c r="F40" i="3" s="1"/>
  <c r="F51" i="3" s="1"/>
  <c r="P229" i="4"/>
  <c r="P258" i="4" s="1"/>
  <c r="M225" i="4"/>
  <c r="G259" i="4" s="1"/>
  <c r="B37" i="12" s="1"/>
  <c r="M19" i="4"/>
  <c r="F27" i="3"/>
  <c r="M22" i="4" s="1"/>
  <c r="K17" i="7" s="1"/>
  <c r="F16" i="3"/>
  <c r="C36" i="3"/>
  <c r="C31" i="3"/>
  <c r="C40" i="3" s="1"/>
  <c r="C51" i="3" s="1"/>
  <c r="C29" i="3"/>
  <c r="C38" i="3" s="1"/>
  <c r="C16" i="3"/>
  <c r="E19" i="4"/>
  <c r="C27" i="3"/>
  <c r="E22" i="4" s="1"/>
  <c r="M73" i="4"/>
  <c r="R16" i="3"/>
  <c r="R27" i="3"/>
  <c r="M76" i="4" s="1"/>
  <c r="K71" i="7" s="1"/>
  <c r="R29" i="3"/>
  <c r="R38" i="3" s="1"/>
  <c r="R36" i="3"/>
  <c r="R31" i="3"/>
  <c r="R40" i="3" s="1"/>
  <c r="R51" i="3" s="1"/>
  <c r="AB39" i="3"/>
  <c r="AB46" i="3"/>
  <c r="AB42" i="3"/>
  <c r="AB41" i="3"/>
  <c r="AB23" i="3"/>
  <c r="D132" i="4" s="1"/>
  <c r="N38" i="6" s="1"/>
  <c r="AB17" i="3"/>
  <c r="D128" i="4"/>
  <c r="O32" i="6"/>
  <c r="G31" i="3"/>
  <c r="G40" i="3" s="1"/>
  <c r="G51" i="3" s="1"/>
  <c r="G29" i="3"/>
  <c r="G38" i="3" s="1"/>
  <c r="G36" i="3"/>
  <c r="G16" i="3"/>
  <c r="Q19" i="4"/>
  <c r="G27" i="3"/>
  <c r="Q22" i="4" s="1"/>
  <c r="O17" i="7" s="1"/>
  <c r="P243" i="4"/>
  <c r="P261" i="4" s="1"/>
  <c r="P238" i="4"/>
  <c r="P260" i="4" s="1"/>
  <c r="M227" i="4"/>
  <c r="G273" i="4" s="1"/>
  <c r="B44" i="12" s="1"/>
  <c r="C33" i="7"/>
  <c r="C42" i="7" s="1"/>
  <c r="C43" i="7" s="1"/>
  <c r="G126" i="7" s="1"/>
  <c r="D30" i="8" s="1"/>
  <c r="D29" i="10" s="1"/>
  <c r="E47" i="4"/>
  <c r="P111" i="4" l="1"/>
  <c r="J34" i="6" s="1"/>
  <c r="K32" i="6"/>
  <c r="AA23" i="3"/>
  <c r="P115" i="4" s="1"/>
  <c r="J38" i="6" s="1"/>
  <c r="AA17" i="3"/>
  <c r="AA39" i="3"/>
  <c r="AA46" i="3"/>
  <c r="AA41" i="3"/>
  <c r="AA42" i="3"/>
  <c r="Y46" i="3"/>
  <c r="Y39" i="3"/>
  <c r="Y41" i="3"/>
  <c r="Y42" i="3"/>
  <c r="C32" i="6"/>
  <c r="H111" i="4"/>
  <c r="B34" i="6" s="1"/>
  <c r="Y17" i="3"/>
  <c r="Y23" i="3"/>
  <c r="H115" i="4" s="1"/>
  <c r="B38" i="6" s="1"/>
  <c r="W42" i="3"/>
  <c r="W41" i="3"/>
  <c r="W46" i="3"/>
  <c r="W39" i="3"/>
  <c r="K14" i="6"/>
  <c r="P93" i="4"/>
  <c r="J16" i="6" s="1"/>
  <c r="W23" i="3"/>
  <c r="P97" i="4" s="1"/>
  <c r="J20" i="6" s="1"/>
  <c r="W17" i="3"/>
  <c r="U39" i="3"/>
  <c r="U46" i="3"/>
  <c r="U41" i="3"/>
  <c r="U42" i="3"/>
  <c r="H93" i="4"/>
  <c r="C14" i="6"/>
  <c r="U17" i="3"/>
  <c r="U23" i="3"/>
  <c r="H97" i="4" s="1"/>
  <c r="B20" i="6" s="1"/>
  <c r="D57" i="4"/>
  <c r="B52" i="7" s="1"/>
  <c r="C50" i="7"/>
  <c r="L23" i="3"/>
  <c r="D61" i="4" s="1"/>
  <c r="B56" i="7" s="1"/>
  <c r="L17" i="3"/>
  <c r="L42" i="3"/>
  <c r="L41" i="3"/>
  <c r="L39" i="3"/>
  <c r="L46" i="3"/>
  <c r="O23" i="3"/>
  <c r="P61" i="4" s="1"/>
  <c r="N56" i="7" s="1"/>
  <c r="O17" i="3"/>
  <c r="P57" i="4"/>
  <c r="N52" i="7" s="1"/>
  <c r="O50" i="7"/>
  <c r="O46" i="3"/>
  <c r="O39" i="3"/>
  <c r="O41" i="3"/>
  <c r="O42" i="3"/>
  <c r="P23" i="3"/>
  <c r="D79" i="4" s="1"/>
  <c r="B74" i="7" s="1"/>
  <c r="P17" i="3"/>
  <c r="C68" i="7"/>
  <c r="D75" i="4"/>
  <c r="P52" i="3"/>
  <c r="P54" i="3" s="1"/>
  <c r="D81" i="4" s="1"/>
  <c r="P55" i="3"/>
  <c r="D78" i="4" s="1"/>
  <c r="B73" i="7" s="1"/>
  <c r="P42" i="3"/>
  <c r="P53" i="3"/>
  <c r="P41" i="3"/>
  <c r="Q41" i="3"/>
  <c r="Q42" i="3"/>
  <c r="Q39" i="3"/>
  <c r="Q46" i="3"/>
  <c r="Q17" i="3"/>
  <c r="Q23" i="3"/>
  <c r="H79" i="4" s="1"/>
  <c r="H75" i="4"/>
  <c r="F70" i="7" s="1"/>
  <c r="G68" i="7"/>
  <c r="M17" i="3"/>
  <c r="M23" i="3"/>
  <c r="H61" i="4" s="1"/>
  <c r="F56" i="7" s="1"/>
  <c r="H57" i="4"/>
  <c r="G50" i="7"/>
  <c r="M39" i="3"/>
  <c r="M46" i="3"/>
  <c r="M42" i="3"/>
  <c r="M41" i="3"/>
  <c r="P39" i="4"/>
  <c r="N34" i="7" s="1"/>
  <c r="O32" i="7"/>
  <c r="K23" i="3"/>
  <c r="P43" i="4" s="1"/>
  <c r="N38" i="7" s="1"/>
  <c r="K17" i="3"/>
  <c r="K46" i="3"/>
  <c r="K39" i="3"/>
  <c r="K42" i="3"/>
  <c r="K41" i="3"/>
  <c r="N52" i="3"/>
  <c r="N54" i="3" s="1"/>
  <c r="L63" i="4" s="1"/>
  <c r="N42" i="3"/>
  <c r="N53" i="3"/>
  <c r="N55" i="3"/>
  <c r="L60" i="4" s="1"/>
  <c r="J55" i="7" s="1"/>
  <c r="N41" i="3"/>
  <c r="N17" i="3"/>
  <c r="N23" i="3"/>
  <c r="L61" i="4" s="1"/>
  <c r="J56" i="7" s="1"/>
  <c r="L57" i="4"/>
  <c r="K50" i="7"/>
  <c r="V17" i="3"/>
  <c r="V23" i="3"/>
  <c r="L97" i="4" s="1"/>
  <c r="F20" i="6" s="1"/>
  <c r="G14" i="6"/>
  <c r="L93" i="4"/>
  <c r="V41" i="3"/>
  <c r="V42" i="3"/>
  <c r="V39" i="3"/>
  <c r="V46" i="3"/>
  <c r="J17" i="3"/>
  <c r="J23" i="3"/>
  <c r="L43" i="4" s="1"/>
  <c r="J38" i="7" s="1"/>
  <c r="K32" i="7"/>
  <c r="L39" i="4"/>
  <c r="J42" i="3"/>
  <c r="J41" i="3"/>
  <c r="J39" i="3"/>
  <c r="J46" i="3"/>
  <c r="D41" i="3"/>
  <c r="D52" i="3"/>
  <c r="D54" i="3" s="1"/>
  <c r="H27" i="4" s="1"/>
  <c r="D55" i="3"/>
  <c r="H24" i="4" s="1"/>
  <c r="F19" i="7" s="1"/>
  <c r="D53" i="3"/>
  <c r="D42" i="3"/>
  <c r="D17" i="3"/>
  <c r="D23" i="3"/>
  <c r="H25" i="4" s="1"/>
  <c r="F20" i="7" s="1"/>
  <c r="H21" i="4"/>
  <c r="G14" i="7"/>
  <c r="T41" i="3"/>
  <c r="T42" i="3"/>
  <c r="T55" i="3"/>
  <c r="D96" i="4" s="1"/>
  <c r="B91" i="7" s="1"/>
  <c r="T52" i="3"/>
  <c r="T54" i="3" s="1"/>
  <c r="D99" i="4" s="1"/>
  <c r="T53" i="3"/>
  <c r="C86" i="7"/>
  <c r="D93" i="4"/>
  <c r="T17" i="3"/>
  <c r="T23" i="3"/>
  <c r="D97" i="4" s="1"/>
  <c r="B92" i="7" s="1"/>
  <c r="F41" i="3"/>
  <c r="F42" i="3"/>
  <c r="F39" i="3"/>
  <c r="F46" i="3"/>
  <c r="K14" i="7"/>
  <c r="L21" i="4"/>
  <c r="F17" i="3"/>
  <c r="F23" i="3"/>
  <c r="L25" i="4" s="1"/>
  <c r="J20" i="7" s="1"/>
  <c r="C39" i="3"/>
  <c r="C46" i="3"/>
  <c r="C41" i="3"/>
  <c r="C42" i="3"/>
  <c r="C17" i="3"/>
  <c r="C23" i="3"/>
  <c r="D25" i="4" s="1"/>
  <c r="B20" i="7" s="1"/>
  <c r="E202" i="4"/>
  <c r="D21" i="4"/>
  <c r="C14" i="7"/>
  <c r="E204" i="4"/>
  <c r="K316" i="4" s="1"/>
  <c r="C17" i="7"/>
  <c r="G6" i="7" s="1"/>
  <c r="E6" i="7" s="1"/>
  <c r="L75" i="4"/>
  <c r="K68" i="7"/>
  <c r="R17" i="3"/>
  <c r="R23" i="3"/>
  <c r="L79" i="4" s="1"/>
  <c r="J74" i="7" s="1"/>
  <c r="R41" i="3"/>
  <c r="R42" i="3"/>
  <c r="R39" i="3"/>
  <c r="R46" i="3"/>
  <c r="AB53" i="3"/>
  <c r="AB48" i="3"/>
  <c r="V247" i="4" s="1"/>
  <c r="AB50" i="3"/>
  <c r="AB55" i="3" s="1"/>
  <c r="D131" i="4" s="1"/>
  <c r="AB47" i="3"/>
  <c r="AB52" i="3"/>
  <c r="AB54" i="3" s="1"/>
  <c r="D134" i="4" s="1"/>
  <c r="AB45" i="3"/>
  <c r="AB18" i="3"/>
  <c r="AB19" i="3"/>
  <c r="N34" i="6"/>
  <c r="G42" i="3"/>
  <c r="G41" i="3"/>
  <c r="G39" i="3"/>
  <c r="G46" i="3"/>
  <c r="G17" i="3"/>
  <c r="G23" i="3"/>
  <c r="P25" i="4" s="1"/>
  <c r="N20" i="7" s="1"/>
  <c r="O14" i="7"/>
  <c r="P21" i="4"/>
  <c r="N16" i="7" s="1"/>
  <c r="G6" i="6"/>
  <c r="E6" i="6" s="1"/>
  <c r="P264" i="4"/>
  <c r="AB43" i="3"/>
  <c r="AB44" i="3"/>
  <c r="E48" i="4"/>
  <c r="S223" i="4" s="1"/>
  <c r="R223" i="4"/>
  <c r="AA18" i="3" l="1"/>
  <c r="AA19" i="3"/>
  <c r="AA47" i="3"/>
  <c r="AA48" i="3"/>
  <c r="V246" i="4" s="1"/>
  <c r="H74" i="6" s="1"/>
  <c r="F19" i="8" s="1"/>
  <c r="AA52" i="3"/>
  <c r="AA54" i="3" s="1"/>
  <c r="P117" i="4" s="1"/>
  <c r="AA53" i="3"/>
  <c r="AA50" i="3"/>
  <c r="AA55" i="3" s="1"/>
  <c r="P114" i="4" s="1"/>
  <c r="AA45" i="3"/>
  <c r="G4" i="6"/>
  <c r="E4" i="6" s="1"/>
  <c r="AB20" i="3"/>
  <c r="E127" i="4" s="1"/>
  <c r="AA43" i="3"/>
  <c r="AA44" i="3"/>
  <c r="N37" i="6"/>
  <c r="D133" i="4"/>
  <c r="Y47" i="3"/>
  <c r="Y50" i="3"/>
  <c r="Y48" i="3" s="1"/>
  <c r="V244" i="4" s="1"/>
  <c r="Y43" i="3"/>
  <c r="Y45" i="3" s="1"/>
  <c r="Y44" i="3"/>
  <c r="Y18" i="3"/>
  <c r="Y19" i="3"/>
  <c r="W44" i="3"/>
  <c r="W45" i="3" s="1"/>
  <c r="W43" i="3"/>
  <c r="W50" i="3"/>
  <c r="W55" i="3" s="1"/>
  <c r="P96" i="4" s="1"/>
  <c r="W53" i="3"/>
  <c r="W47" i="3"/>
  <c r="W52" i="3"/>
  <c r="W54" i="3" s="1"/>
  <c r="P99" i="4" s="1"/>
  <c r="W48" i="3"/>
  <c r="V241" i="4" s="1"/>
  <c r="H70" i="6" s="1"/>
  <c r="F15" i="8" s="1"/>
  <c r="W18" i="3"/>
  <c r="W19" i="3"/>
  <c r="U53" i="3"/>
  <c r="U50" i="3"/>
  <c r="U55" i="3" s="1"/>
  <c r="H96" i="4" s="1"/>
  <c r="B19" i="6" s="1"/>
  <c r="U52" i="3"/>
  <c r="U54" i="3" s="1"/>
  <c r="H99" i="4" s="1"/>
  <c r="U48" i="3"/>
  <c r="V239" i="4" s="1"/>
  <c r="U45" i="3"/>
  <c r="U47" i="3"/>
  <c r="U44" i="3"/>
  <c r="U43" i="3"/>
  <c r="B16" i="6"/>
  <c r="U19" i="3"/>
  <c r="U18" i="3"/>
  <c r="L19" i="3"/>
  <c r="L18" i="3"/>
  <c r="L44" i="3"/>
  <c r="L43" i="3"/>
  <c r="L53" i="3"/>
  <c r="L52" i="3"/>
  <c r="L54" i="3" s="1"/>
  <c r="D63" i="4" s="1"/>
  <c r="L50" i="3"/>
  <c r="L55" i="3" s="1"/>
  <c r="D60" i="4" s="1"/>
  <c r="L45" i="3"/>
  <c r="L48" i="3"/>
  <c r="V227" i="4" s="1"/>
  <c r="H130" i="7" s="1"/>
  <c r="F34" i="8" s="1"/>
  <c r="L47" i="3"/>
  <c r="O18" i="3"/>
  <c r="O19" i="3"/>
  <c r="O45" i="3"/>
  <c r="O53" i="3"/>
  <c r="O50" i="3"/>
  <c r="O55" i="3" s="1"/>
  <c r="P60" i="4" s="1"/>
  <c r="O52" i="3"/>
  <c r="O54" i="3" s="1"/>
  <c r="P63" i="4" s="1"/>
  <c r="O48" i="3"/>
  <c r="V231" i="4" s="1"/>
  <c r="O47" i="3"/>
  <c r="O44" i="3"/>
  <c r="O43" i="3"/>
  <c r="P19" i="3"/>
  <c r="P18" i="3"/>
  <c r="P20" i="3" s="1"/>
  <c r="E74" i="4" s="1"/>
  <c r="D80" i="4"/>
  <c r="Q232" i="4" s="1"/>
  <c r="B70" i="7"/>
  <c r="B75" i="7" s="1"/>
  <c r="E134" i="7" s="1"/>
  <c r="U232" i="4"/>
  <c r="B76" i="7"/>
  <c r="F134" i="7" s="1"/>
  <c r="E38" i="8" s="1"/>
  <c r="P44" i="3"/>
  <c r="P43" i="3"/>
  <c r="Q44" i="3"/>
  <c r="Q43" i="3"/>
  <c r="Q48" i="3"/>
  <c r="V234" i="4" s="1"/>
  <c r="Q52" i="3"/>
  <c r="Q54" i="3" s="1"/>
  <c r="H81" i="4" s="1"/>
  <c r="Q50" i="3"/>
  <c r="Q55" i="3" s="1"/>
  <c r="H78" i="4" s="1"/>
  <c r="Q53" i="3"/>
  <c r="Q45" i="3"/>
  <c r="Q47" i="3"/>
  <c r="Q19" i="3"/>
  <c r="Q18" i="3"/>
  <c r="M18" i="3"/>
  <c r="M19" i="3"/>
  <c r="M48" i="3"/>
  <c r="V228" i="4" s="1"/>
  <c r="H131" i="7" s="1"/>
  <c r="F35" i="8" s="1"/>
  <c r="M50" i="3"/>
  <c r="M55" i="3" s="1"/>
  <c r="H60" i="4" s="1"/>
  <c r="M47" i="3"/>
  <c r="M53" i="3"/>
  <c r="M52" i="3"/>
  <c r="M54" i="3" s="1"/>
  <c r="H63" i="4" s="1"/>
  <c r="M44" i="3"/>
  <c r="M45" i="3" s="1"/>
  <c r="M43" i="3"/>
  <c r="K19" i="3"/>
  <c r="K18" i="3"/>
  <c r="K48" i="3"/>
  <c r="V226" i="4" s="1"/>
  <c r="H129" i="7" s="1"/>
  <c r="F33" i="8" s="1"/>
  <c r="K45" i="3"/>
  <c r="K47" i="3"/>
  <c r="K53" i="3"/>
  <c r="K50" i="3"/>
  <c r="K55" i="3" s="1"/>
  <c r="P42" i="4" s="1"/>
  <c r="K52" i="3"/>
  <c r="K54" i="3" s="1"/>
  <c r="P45" i="4" s="1"/>
  <c r="J58" i="7"/>
  <c r="F132" i="7" s="1"/>
  <c r="E36" i="8" s="1"/>
  <c r="U230" i="4"/>
  <c r="N18" i="3"/>
  <c r="N19" i="3"/>
  <c r="L62" i="4"/>
  <c r="Q230" i="4" s="1"/>
  <c r="J52" i="7"/>
  <c r="J57" i="7" s="1"/>
  <c r="E132" i="7" s="1"/>
  <c r="V18" i="3"/>
  <c r="V19" i="3"/>
  <c r="F16" i="6"/>
  <c r="V53" i="3"/>
  <c r="V47" i="3"/>
  <c r="V50" i="3"/>
  <c r="V55" i="3" s="1"/>
  <c r="L96" i="4" s="1"/>
  <c r="V52" i="3"/>
  <c r="V54" i="3" s="1"/>
  <c r="L99" i="4" s="1"/>
  <c r="V45" i="3"/>
  <c r="V48" i="3"/>
  <c r="V240" i="4" s="1"/>
  <c r="H69" i="6" s="1"/>
  <c r="F14" i="8" s="1"/>
  <c r="J18" i="3"/>
  <c r="J19" i="3"/>
  <c r="J34" i="7"/>
  <c r="J50" i="3"/>
  <c r="J55" i="3" s="1"/>
  <c r="L42" i="4" s="1"/>
  <c r="J52" i="3"/>
  <c r="J54" i="3" s="1"/>
  <c r="L45" i="4" s="1"/>
  <c r="J53" i="3"/>
  <c r="J47" i="3"/>
  <c r="J45" i="3"/>
  <c r="J48" i="3"/>
  <c r="V225" i="4" s="1"/>
  <c r="H128" i="7" s="1"/>
  <c r="F32" i="8" s="1"/>
  <c r="U218" i="4"/>
  <c r="F22" i="7"/>
  <c r="F122" i="7" s="1"/>
  <c r="E26" i="8" s="1"/>
  <c r="E18" i="3"/>
  <c r="E19" i="3"/>
  <c r="H26" i="4"/>
  <c r="Q218" i="4" s="1"/>
  <c r="F16" i="7"/>
  <c r="F21" i="7" s="1"/>
  <c r="E122" i="7" s="1"/>
  <c r="U237" i="4"/>
  <c r="B94" i="7"/>
  <c r="F138" i="7" s="1"/>
  <c r="E42" i="8" s="1"/>
  <c r="D98" i="4"/>
  <c r="B88" i="7"/>
  <c r="T18" i="3"/>
  <c r="T19" i="3"/>
  <c r="F52" i="3"/>
  <c r="F54" i="3" s="1"/>
  <c r="L27" i="4" s="1"/>
  <c r="F47" i="3"/>
  <c r="F48" i="3"/>
  <c r="V221" i="4" s="1"/>
  <c r="F45" i="3"/>
  <c r="F53" i="3"/>
  <c r="F50" i="3"/>
  <c r="F55" i="3" s="1"/>
  <c r="L24" i="4" s="1"/>
  <c r="J19" i="7" s="1"/>
  <c r="J16" i="7"/>
  <c r="F19" i="3"/>
  <c r="F18" i="3"/>
  <c r="C48" i="3"/>
  <c r="V217" i="4" s="1"/>
  <c r="C47" i="3"/>
  <c r="C50" i="3"/>
  <c r="C55" i="3" s="1"/>
  <c r="D24" i="4" s="1"/>
  <c r="C52" i="3"/>
  <c r="C54" i="3" s="1"/>
  <c r="D27" i="4" s="1"/>
  <c r="C45" i="3"/>
  <c r="C53" i="3"/>
  <c r="C19" i="3"/>
  <c r="D19" i="3"/>
  <c r="C18" i="3"/>
  <c r="D18" i="3"/>
  <c r="D20" i="3" s="1"/>
  <c r="I20" i="4" s="1"/>
  <c r="E203" i="4"/>
  <c r="I12" i="4" s="1"/>
  <c r="G12" i="4" s="1"/>
  <c r="B16" i="7"/>
  <c r="J70" i="7"/>
  <c r="R19" i="3"/>
  <c r="R18" i="3"/>
  <c r="R20" i="3" s="1"/>
  <c r="M74" i="4" s="1"/>
  <c r="R50" i="3"/>
  <c r="R55" i="3" s="1"/>
  <c r="L78" i="4" s="1"/>
  <c r="R53" i="3"/>
  <c r="R48" i="3"/>
  <c r="V235" i="4" s="1"/>
  <c r="H136" i="7" s="1"/>
  <c r="F40" i="8" s="1"/>
  <c r="R52" i="3"/>
  <c r="R54" i="3" s="1"/>
  <c r="L81" i="4" s="1"/>
  <c r="R45" i="3"/>
  <c r="R47" i="3"/>
  <c r="N40" i="6"/>
  <c r="F75" i="6" s="1"/>
  <c r="E20" i="8" s="1"/>
  <c r="U247" i="4"/>
  <c r="O33" i="6"/>
  <c r="N39" i="6"/>
  <c r="E75" i="6" s="1"/>
  <c r="G48" i="3"/>
  <c r="V222" i="4" s="1"/>
  <c r="H125" i="7" s="1"/>
  <c r="F29" i="8" s="1"/>
  <c r="G50" i="3"/>
  <c r="G55" i="3" s="1"/>
  <c r="P24" i="4" s="1"/>
  <c r="G53" i="3"/>
  <c r="G47" i="3"/>
  <c r="G45" i="3"/>
  <c r="G52" i="3"/>
  <c r="G54" i="3" s="1"/>
  <c r="P27" i="4" s="1"/>
  <c r="G19" i="3"/>
  <c r="G18" i="3"/>
  <c r="G20" i="3" s="1"/>
  <c r="Q20" i="4" s="1"/>
  <c r="G4" i="7"/>
  <c r="E4" i="7" s="1"/>
  <c r="F52" i="7"/>
  <c r="K43" i="3"/>
  <c r="K44" i="3"/>
  <c r="N43" i="3"/>
  <c r="N44" i="3"/>
  <c r="V43" i="3"/>
  <c r="V44" i="3"/>
  <c r="J43" i="3"/>
  <c r="J44" i="3"/>
  <c r="D43" i="3"/>
  <c r="D44" i="3"/>
  <c r="T43" i="3"/>
  <c r="T44" i="3"/>
  <c r="T45" i="3" s="1"/>
  <c r="F43" i="3"/>
  <c r="F44" i="3"/>
  <c r="C43" i="3"/>
  <c r="C44" i="3"/>
  <c r="R43" i="3"/>
  <c r="R44" i="3"/>
  <c r="H75" i="6"/>
  <c r="F20" i="8" s="1"/>
  <c r="G43" i="3"/>
  <c r="G44" i="3"/>
  <c r="M228" i="4"/>
  <c r="M231" i="4"/>
  <c r="M229" i="4"/>
  <c r="M230" i="4" s="1"/>
  <c r="G275" i="4" s="1"/>
  <c r="C20" i="3" l="1"/>
  <c r="E20" i="4" s="1"/>
  <c r="L26" i="4"/>
  <c r="Q221" i="4" s="1"/>
  <c r="L20" i="3"/>
  <c r="E56" i="4" s="1"/>
  <c r="K20" i="3"/>
  <c r="Q38" i="4" s="1"/>
  <c r="G5" i="6"/>
  <c r="E5" i="6" s="1"/>
  <c r="F20" i="3"/>
  <c r="M20" i="4" s="1"/>
  <c r="H98" i="4"/>
  <c r="B21" i="6" s="1"/>
  <c r="E68" i="6" s="1"/>
  <c r="J21" i="7"/>
  <c r="E124" i="7" s="1"/>
  <c r="U20" i="3"/>
  <c r="I92" i="4" s="1"/>
  <c r="U246" i="4"/>
  <c r="J40" i="6"/>
  <c r="F74" i="6" s="1"/>
  <c r="E19" i="8" s="1"/>
  <c r="P116" i="4"/>
  <c r="J37" i="6"/>
  <c r="AA20" i="3"/>
  <c r="Q110" i="4" s="1"/>
  <c r="Q20" i="3"/>
  <c r="I74" i="4" s="1"/>
  <c r="T20" i="3"/>
  <c r="E92" i="4" s="1"/>
  <c r="E101" i="4" s="1"/>
  <c r="E136" i="4"/>
  <c r="Q247" i="4"/>
  <c r="M226" i="4" s="1"/>
  <c r="F55" i="7"/>
  <c r="F57" i="7" s="1"/>
  <c r="E131" i="7" s="1"/>
  <c r="H62" i="4"/>
  <c r="Q228" i="4" s="1"/>
  <c r="B19" i="7"/>
  <c r="D26" i="4"/>
  <c r="Y20" i="3"/>
  <c r="I110" i="4" s="1"/>
  <c r="C33" i="6" s="1"/>
  <c r="Y51" i="3"/>
  <c r="Y55" i="3"/>
  <c r="H114" i="4" s="1"/>
  <c r="V249" i="4"/>
  <c r="V262" i="4" s="1"/>
  <c r="H72" i="6"/>
  <c r="F17" i="8" s="1"/>
  <c r="P98" i="4"/>
  <c r="J19" i="6"/>
  <c r="U241" i="4"/>
  <c r="J22" i="6"/>
  <c r="F70" i="6" s="1"/>
  <c r="E15" i="8" s="1"/>
  <c r="B22" i="6"/>
  <c r="F68" i="6" s="1"/>
  <c r="U239" i="4"/>
  <c r="V243" i="4"/>
  <c r="V261" i="4" s="1"/>
  <c r="H68" i="6"/>
  <c r="U227" i="4"/>
  <c r="B58" i="7"/>
  <c r="F130" i="7" s="1"/>
  <c r="E34" i="8" s="1"/>
  <c r="D62" i="4"/>
  <c r="B55" i="7"/>
  <c r="B57" i="7" s="1"/>
  <c r="E130" i="7" s="1"/>
  <c r="P62" i="4"/>
  <c r="Q231" i="4" s="1"/>
  <c r="Q233" i="4" s="1"/>
  <c r="Q259" i="4" s="1"/>
  <c r="N55" i="7"/>
  <c r="N57" i="7" s="1"/>
  <c r="E133" i="7" s="1"/>
  <c r="U231" i="4"/>
  <c r="U233" i="4" s="1"/>
  <c r="U259" i="4" s="1"/>
  <c r="N58" i="7"/>
  <c r="F133" i="7" s="1"/>
  <c r="E37" i="8" s="1"/>
  <c r="V233" i="4"/>
  <c r="V259" i="4" s="1"/>
  <c r="H133" i="7"/>
  <c r="F37" i="8" s="1"/>
  <c r="E83" i="4"/>
  <c r="C69" i="7"/>
  <c r="C78" i="7" s="1"/>
  <c r="C79" i="7" s="1"/>
  <c r="G134" i="7" s="1"/>
  <c r="D38" i="8" s="1"/>
  <c r="V238" i="4"/>
  <c r="V260" i="4" s="1"/>
  <c r="H135" i="7"/>
  <c r="F39" i="8" s="1"/>
  <c r="U234" i="4"/>
  <c r="F76" i="7"/>
  <c r="F135" i="7" s="1"/>
  <c r="E39" i="8" s="1"/>
  <c r="F73" i="7"/>
  <c r="F75" i="7" s="1"/>
  <c r="E135" i="7" s="1"/>
  <c r="H80" i="4"/>
  <c r="F58" i="7"/>
  <c r="F131" i="7" s="1"/>
  <c r="E35" i="8" s="1"/>
  <c r="U228" i="4"/>
  <c r="O33" i="7"/>
  <c r="P44" i="4"/>
  <c r="Q47" i="4" s="1"/>
  <c r="N37" i="7"/>
  <c r="N39" i="7" s="1"/>
  <c r="E129" i="7" s="1"/>
  <c r="N40" i="7"/>
  <c r="F129" i="7" s="1"/>
  <c r="E33" i="8" s="1"/>
  <c r="U226" i="4"/>
  <c r="U240" i="4"/>
  <c r="F22" i="6"/>
  <c r="F69" i="6" s="1"/>
  <c r="E14" i="8" s="1"/>
  <c r="J40" i="7"/>
  <c r="F128" i="7" s="1"/>
  <c r="E32" i="8" s="1"/>
  <c r="U225" i="4"/>
  <c r="B93" i="7"/>
  <c r="E138" i="7" s="1"/>
  <c r="Q237" i="4"/>
  <c r="J22" i="7"/>
  <c r="F124" i="7" s="1"/>
  <c r="E28" i="8" s="1"/>
  <c r="U221" i="4"/>
  <c r="V229" i="4"/>
  <c r="V258" i="4" s="1"/>
  <c r="H124" i="7"/>
  <c r="F28" i="8" s="1"/>
  <c r="M29" i="4"/>
  <c r="K15" i="7"/>
  <c r="V220" i="4"/>
  <c r="V257" i="4" s="1"/>
  <c r="H121" i="7"/>
  <c r="B22" i="7"/>
  <c r="F121" i="7" s="1"/>
  <c r="U217" i="4"/>
  <c r="U220" i="4" s="1"/>
  <c r="U257" i="4" s="1"/>
  <c r="E29" i="4"/>
  <c r="C15" i="7"/>
  <c r="I29" i="4"/>
  <c r="G15" i="7"/>
  <c r="G24" i="7" s="1"/>
  <c r="G25" i="7" s="1"/>
  <c r="G122" i="7" s="1"/>
  <c r="D26" i="8" s="1"/>
  <c r="D25" i="10" s="1"/>
  <c r="D18" i="13" s="1"/>
  <c r="G5" i="7"/>
  <c r="E5" i="7" s="1"/>
  <c r="B21" i="7"/>
  <c r="K69" i="7"/>
  <c r="U235" i="4"/>
  <c r="J76" i="7"/>
  <c r="F136" i="7" s="1"/>
  <c r="E40" i="8" s="1"/>
  <c r="R247" i="4"/>
  <c r="E137" i="4"/>
  <c r="S247" i="4" s="1"/>
  <c r="P26" i="4"/>
  <c r="N19" i="7"/>
  <c r="N21" i="7" s="1"/>
  <c r="E125" i="7" s="1"/>
  <c r="N22" i="7"/>
  <c r="F125" i="7" s="1"/>
  <c r="E29" i="8" s="1"/>
  <c r="U222" i="4"/>
  <c r="O15" i="7"/>
  <c r="O24" i="7" s="1"/>
  <c r="O25" i="7" s="1"/>
  <c r="G125" i="7" s="1"/>
  <c r="D29" i="8" s="1"/>
  <c r="D28" i="10" s="1"/>
  <c r="D20" i="13" s="1"/>
  <c r="W20" i="3"/>
  <c r="Q92" i="4" s="1"/>
  <c r="O20" i="3"/>
  <c r="Q56" i="4" s="1"/>
  <c r="M20" i="3"/>
  <c r="I56" i="4" s="1"/>
  <c r="N20" i="3"/>
  <c r="M56" i="4" s="1"/>
  <c r="V20" i="3"/>
  <c r="M92" i="4" s="1"/>
  <c r="J20" i="3"/>
  <c r="M38" i="4" s="1"/>
  <c r="E20" i="3"/>
  <c r="Q145" i="4" s="1"/>
  <c r="O42" i="6"/>
  <c r="O43" i="6" s="1"/>
  <c r="G75" i="6" s="1"/>
  <c r="D20" i="8" s="1"/>
  <c r="D19" i="10" s="1"/>
  <c r="C15" i="6"/>
  <c r="I101" i="4"/>
  <c r="I102" i="4" s="1"/>
  <c r="S239" i="4" s="1"/>
  <c r="C51" i="7"/>
  <c r="G69" i="7"/>
  <c r="F19" i="6"/>
  <c r="L98" i="4"/>
  <c r="J37" i="7"/>
  <c r="J39" i="7" s="1"/>
  <c r="E128" i="7" s="1"/>
  <c r="L44" i="4"/>
  <c r="Q225" i="4" s="1"/>
  <c r="Q217" i="4"/>
  <c r="Q220" i="4" s="1"/>
  <c r="Q257" i="4" s="1"/>
  <c r="J73" i="7"/>
  <c r="J75" i="7" s="1"/>
  <c r="E136" i="7" s="1"/>
  <c r="L80" i="4"/>
  <c r="Q235" i="4" s="1"/>
  <c r="B45" i="12"/>
  <c r="G277" i="4"/>
  <c r="D37" i="10"/>
  <c r="D28" i="13" s="1"/>
  <c r="C87" i="7" l="1"/>
  <c r="Q239" i="4"/>
  <c r="K24" i="7"/>
  <c r="K25" i="7" s="1"/>
  <c r="G124" i="7" s="1"/>
  <c r="D28" i="8" s="1"/>
  <c r="D27" i="10" s="1"/>
  <c r="D19" i="13" s="1"/>
  <c r="K78" i="7"/>
  <c r="K79" i="7" s="1"/>
  <c r="G136" i="7" s="1"/>
  <c r="D40" i="8" s="1"/>
  <c r="D39" i="10" s="1"/>
  <c r="D30" i="13" s="1"/>
  <c r="M83" i="4"/>
  <c r="R239" i="4"/>
  <c r="J39" i="6"/>
  <c r="E74" i="6" s="1"/>
  <c r="Q246" i="4"/>
  <c r="K33" i="6"/>
  <c r="Q119" i="4"/>
  <c r="U229" i="4"/>
  <c r="U258" i="4" s="1"/>
  <c r="O42" i="7"/>
  <c r="O43" i="7" s="1"/>
  <c r="G129" i="7" s="1"/>
  <c r="D33" i="8" s="1"/>
  <c r="D32" i="10" s="1"/>
  <c r="D23" i="13" s="1"/>
  <c r="Q222" i="4"/>
  <c r="Q29" i="4"/>
  <c r="Y53" i="3"/>
  <c r="Y52" i="3"/>
  <c r="Y54" i="3" s="1"/>
  <c r="H117" i="4" s="1"/>
  <c r="B37" i="6"/>
  <c r="H116" i="4"/>
  <c r="E205" i="4" s="1"/>
  <c r="E207" i="4" s="1"/>
  <c r="V264" i="4"/>
  <c r="J21" i="6"/>
  <c r="E70" i="6" s="1"/>
  <c r="Q241" i="4"/>
  <c r="E13" i="8"/>
  <c r="H77" i="6"/>
  <c r="F13" i="8"/>
  <c r="F22" i="8" s="1"/>
  <c r="F10" i="8" s="1"/>
  <c r="E84" i="4"/>
  <c r="S232" i="4" s="1"/>
  <c r="R232" i="4"/>
  <c r="Q48" i="4"/>
  <c r="S226" i="4" s="1"/>
  <c r="R226" i="4"/>
  <c r="E102" i="4"/>
  <c r="R237" i="4"/>
  <c r="C96" i="7"/>
  <c r="M30" i="4"/>
  <c r="S221" i="4" s="1"/>
  <c r="R221" i="4"/>
  <c r="H145" i="7"/>
  <c r="F25" i="8"/>
  <c r="F49" i="8" s="1"/>
  <c r="F145" i="7"/>
  <c r="E25" i="8"/>
  <c r="E49" i="8" s="1"/>
  <c r="R217" i="4"/>
  <c r="E30" i="4"/>
  <c r="S217" i="4" s="1"/>
  <c r="I30" i="4"/>
  <c r="S218" i="4" s="1"/>
  <c r="R218" i="4"/>
  <c r="G7" i="7"/>
  <c r="E121" i="7"/>
  <c r="E145" i="7" s="1"/>
  <c r="M84" i="4"/>
  <c r="S235" i="4" s="1"/>
  <c r="R235" i="4"/>
  <c r="R222" i="4"/>
  <c r="Q30" i="4"/>
  <c r="S222" i="4" s="1"/>
  <c r="K15" i="6"/>
  <c r="Q101" i="4"/>
  <c r="Q65" i="4"/>
  <c r="O51" i="7"/>
  <c r="O60" i="7" s="1"/>
  <c r="O61" i="7" s="1"/>
  <c r="G133" i="7" s="1"/>
  <c r="D37" i="8" s="1"/>
  <c r="D36" i="10" s="1"/>
  <c r="D27" i="13" s="1"/>
  <c r="I65" i="4"/>
  <c r="G51" i="7"/>
  <c r="G60" i="7" s="1"/>
  <c r="G61" i="7" s="1"/>
  <c r="G131" i="7" s="1"/>
  <c r="D35" i="8" s="1"/>
  <c r="D34" i="10" s="1"/>
  <c r="D25" i="13" s="1"/>
  <c r="K51" i="7"/>
  <c r="K60" i="7" s="1"/>
  <c r="K61" i="7" s="1"/>
  <c r="G132" i="7" s="1"/>
  <c r="D36" i="8" s="1"/>
  <c r="D35" i="10" s="1"/>
  <c r="D26" i="13" s="1"/>
  <c r="M65" i="4"/>
  <c r="G15" i="6"/>
  <c r="G24" i="6" s="1"/>
  <c r="G25" i="6" s="1"/>
  <c r="G69" i="6" s="1"/>
  <c r="D14" i="8" s="1"/>
  <c r="D13" i="10" s="1"/>
  <c r="D11" i="13" s="1"/>
  <c r="M101" i="4"/>
  <c r="K33" i="7"/>
  <c r="K42" i="7" s="1"/>
  <c r="K43" i="7" s="1"/>
  <c r="G128" i="7" s="1"/>
  <c r="D32" i="8" s="1"/>
  <c r="D31" i="10" s="1"/>
  <c r="D22" i="13" s="1"/>
  <c r="M47" i="4"/>
  <c r="Q154" i="4"/>
  <c r="K105" i="7"/>
  <c r="Q240" i="4"/>
  <c r="F21" i="6"/>
  <c r="U243" i="4"/>
  <c r="U261" i="4" s="1"/>
  <c r="U238" i="4"/>
  <c r="U260" i="4" s="1"/>
  <c r="C24" i="7"/>
  <c r="C25" i="7" s="1"/>
  <c r="G121" i="7" s="1"/>
  <c r="D25" i="8" s="1"/>
  <c r="D24" i="10" s="1"/>
  <c r="C24" i="6"/>
  <c r="C25" i="6" s="1"/>
  <c r="G68" i="6" s="1"/>
  <c r="C60" i="7"/>
  <c r="C61" i="7" s="1"/>
  <c r="G130" i="7" s="1"/>
  <c r="D34" i="8" s="1"/>
  <c r="D33" i="10" s="1"/>
  <c r="D24" i="13" s="1"/>
  <c r="G78" i="7"/>
  <c r="G79" i="7" s="1"/>
  <c r="G135" i="7" s="1"/>
  <c r="D39" i="8" s="1"/>
  <c r="D38" i="10" s="1"/>
  <c r="D29" i="13" s="1"/>
  <c r="Q227" i="4"/>
  <c r="E65" i="4"/>
  <c r="Q234" i="4"/>
  <c r="Q238" i="4" s="1"/>
  <c r="Q260" i="4" s="1"/>
  <c r="I83" i="4"/>
  <c r="Q226" i="4"/>
  <c r="I218" i="4"/>
  <c r="B12" i="12"/>
  <c r="B46" i="12"/>
  <c r="Q229" i="4" l="1"/>
  <c r="Q258" i="4" s="1"/>
  <c r="K42" i="6"/>
  <c r="K43" i="6" s="1"/>
  <c r="G74" i="6" s="1"/>
  <c r="D19" i="8" s="1"/>
  <c r="D18" i="10" s="1"/>
  <c r="Q120" i="4"/>
  <c r="S246" i="4" s="1"/>
  <c r="R246" i="4"/>
  <c r="E206" i="4"/>
  <c r="B40" i="6"/>
  <c r="F72" i="6" s="1"/>
  <c r="U244" i="4"/>
  <c r="U249" i="4" s="1"/>
  <c r="U262" i="4" s="1"/>
  <c r="U264" i="4" s="1"/>
  <c r="I119" i="4"/>
  <c r="E210" i="4" s="1"/>
  <c r="B39" i="6"/>
  <c r="G7" i="6" s="1"/>
  <c r="Q244" i="4"/>
  <c r="Q249" i="4" s="1"/>
  <c r="Q262" i="4" s="1"/>
  <c r="C97" i="7"/>
  <c r="G138" i="7" s="1"/>
  <c r="D42" i="8" s="1"/>
  <c r="D41" i="10" s="1"/>
  <c r="S237" i="4"/>
  <c r="E7" i="7"/>
  <c r="E8" i="7" s="1"/>
  <c r="G8" i="7"/>
  <c r="R241" i="4"/>
  <c r="Q102" i="4"/>
  <c r="S241" i="4" s="1"/>
  <c r="R231" i="4"/>
  <c r="Q66" i="4"/>
  <c r="S231" i="4" s="1"/>
  <c r="R228" i="4"/>
  <c r="I66" i="4"/>
  <c r="S228" i="4" s="1"/>
  <c r="M66" i="4"/>
  <c r="S230" i="4" s="1"/>
  <c r="R230" i="4"/>
  <c r="R240" i="4"/>
  <c r="M102" i="4"/>
  <c r="S240" i="4" s="1"/>
  <c r="R225" i="4"/>
  <c r="M48" i="4"/>
  <c r="S225" i="4" s="1"/>
  <c r="K114" i="7"/>
  <c r="Q155" i="4"/>
  <c r="R219" i="4"/>
  <c r="R220" i="4" s="1"/>
  <c r="R257" i="4" s="1"/>
  <c r="E69" i="6"/>
  <c r="E66" i="4"/>
  <c r="S227" i="4" s="1"/>
  <c r="R227" i="4"/>
  <c r="R234" i="4"/>
  <c r="R238" i="4" s="1"/>
  <c r="R260" i="4" s="1"/>
  <c r="D54" i="10" s="1"/>
  <c r="D43" i="13" s="1"/>
  <c r="I84" i="4"/>
  <c r="S234" i="4" s="1"/>
  <c r="I13" i="4"/>
  <c r="G13" i="4" s="1"/>
  <c r="R266" i="4"/>
  <c r="E208" i="4"/>
  <c r="Q243" i="4"/>
  <c r="Q261" i="4" s="1"/>
  <c r="K24" i="6"/>
  <c r="K25" i="6" s="1"/>
  <c r="G70" i="6" s="1"/>
  <c r="D15" i="8" s="1"/>
  <c r="D14" i="10" s="1"/>
  <c r="D13" i="8"/>
  <c r="D12" i="10" s="1"/>
  <c r="D10" i="13" s="1"/>
  <c r="R233" i="4" l="1"/>
  <c r="R259" i="4" s="1"/>
  <c r="D53" i="10" s="1"/>
  <c r="D42" i="13" s="1"/>
  <c r="S233" i="4"/>
  <c r="S259" i="4" s="1"/>
  <c r="S238" i="4"/>
  <c r="S260" i="4" s="1"/>
  <c r="F77" i="6"/>
  <c r="E17" i="8"/>
  <c r="E22" i="8" s="1"/>
  <c r="E10" i="8" s="1"/>
  <c r="R244" i="4"/>
  <c r="R249" i="4" s="1"/>
  <c r="R262" i="4" s="1"/>
  <c r="D56" i="10" s="1"/>
  <c r="D45" i="13" s="1"/>
  <c r="I120" i="4"/>
  <c r="S244" i="4" s="1"/>
  <c r="S249" i="4" s="1"/>
  <c r="S262" i="4" s="1"/>
  <c r="C42" i="6"/>
  <c r="C43" i="6" s="1"/>
  <c r="G72" i="6" s="1"/>
  <c r="E72" i="6"/>
  <c r="E77" i="6" s="1"/>
  <c r="Q264" i="4"/>
  <c r="K115" i="7"/>
  <c r="G123" i="7" s="1"/>
  <c r="S219" i="4"/>
  <c r="S220" i="4" s="1"/>
  <c r="S257" i="4" s="1"/>
  <c r="E7" i="6"/>
  <c r="E8" i="6" s="1"/>
  <c r="G8" i="6"/>
  <c r="R243" i="4"/>
  <c r="R261" i="4" s="1"/>
  <c r="D55" i="10" s="1"/>
  <c r="D44" i="13" s="1"/>
  <c r="S243" i="4"/>
  <c r="S261" i="4" s="1"/>
  <c r="R229" i="4"/>
  <c r="R258" i="4" s="1"/>
  <c r="S229" i="4"/>
  <c r="S258" i="4" s="1"/>
  <c r="D51" i="10"/>
  <c r="D40" i="13" s="1"/>
  <c r="D12" i="13"/>
  <c r="D31" i="13"/>
  <c r="D36" i="13" s="1"/>
  <c r="G77" i="6" l="1"/>
  <c r="G147" i="7" s="1"/>
  <c r="D17" i="8"/>
  <c r="S264" i="4"/>
  <c r="G145" i="7"/>
  <c r="D27" i="8"/>
  <c r="D52" i="10"/>
  <c r="R264" i="4"/>
  <c r="R268" i="4" s="1"/>
  <c r="D22" i="8" l="1"/>
  <c r="D16" i="10"/>
  <c r="G79" i="6"/>
  <c r="G149" i="7"/>
  <c r="G81" i="6"/>
  <c r="D49" i="8"/>
  <c r="D26" i="10"/>
  <c r="D48" i="10" s="1"/>
  <c r="D41" i="13"/>
  <c r="D58" i="10"/>
  <c r="D47" i="13" s="1"/>
  <c r="D21" i="10" l="1"/>
  <c r="D14" i="13"/>
  <c r="D15" i="13" s="1"/>
  <c r="D10" i="8"/>
  <c r="D51" i="8" s="1"/>
  <c r="D9" i="10"/>
  <c r="D7" i="13" l="1"/>
  <c r="F22" i="13" s="1"/>
</calcChain>
</file>

<file path=xl/comments1.xml><?xml version="1.0" encoding="utf-8"?>
<comments xmlns="http://schemas.openxmlformats.org/spreadsheetml/2006/main">
  <authors>
    <author>tc={578F5E0A-F26F-45C5-A2F9-B23006562B12}</author>
  </authors>
  <commentList>
    <comment ref="M62" authorId="0" shapeId="0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Actual start date is 3 March 2025. When in April, change the date</t>
        </r>
      </text>
    </comment>
  </commentList>
</comments>
</file>

<file path=xl/sharedStrings.xml><?xml version="1.0" encoding="utf-8"?>
<sst xmlns="http://schemas.openxmlformats.org/spreadsheetml/2006/main" count="1367" uniqueCount="443">
  <si>
    <t>Total wages</t>
  </si>
  <si>
    <t>Total deductions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</si>
  <si>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</si>
  <si>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</si>
  <si>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</si>
  <si>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</si>
  <si>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</si>
  <si>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</si>
  <si>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</si>
  <si>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</si>
  <si>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</si>
  <si>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</si>
  <si>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</si>
  <si>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</si>
  <si>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Month loan granted</t>
  </si>
  <si>
    <t>Amount repaid</t>
  </si>
  <si>
    <t>Loan Calculations</t>
  </si>
  <si>
    <t>Days absent</t>
  </si>
  <si>
    <t>Gifts</t>
  </si>
  <si>
    <t>Amount to deduct</t>
  </si>
  <si>
    <t>Months repaid</t>
  </si>
  <si>
    <t>Name</t>
  </si>
  <si>
    <t xml:space="preserve"> </t>
  </si>
  <si>
    <t>Total amount borrowed</t>
  </si>
  <si>
    <t>Top-Up</t>
  </si>
  <si>
    <t xml:space="preserve">Calendar </t>
  </si>
  <si>
    <t>Concanation of Calendar Months and year</t>
  </si>
  <si>
    <t xml:space="preserve">Loan outstanding </t>
  </si>
  <si>
    <t>Agreed period to repay</t>
  </si>
  <si>
    <t>Month repayment ends</t>
  </si>
  <si>
    <t>Month repayment starts</t>
  </si>
  <si>
    <t>Repayment amount</t>
  </si>
  <si>
    <t>Year repayment ends</t>
  </si>
  <si>
    <t>Month wages being paid</t>
  </si>
  <si>
    <t>Months remaining</t>
  </si>
  <si>
    <t>Outstanding amount</t>
  </si>
  <si>
    <t>Total before deduction</t>
  </si>
  <si>
    <t>Months repaid counter</t>
  </si>
  <si>
    <t>Gift factor</t>
  </si>
  <si>
    <t>Total gifts</t>
  </si>
  <si>
    <t>password</t>
  </si>
  <si>
    <t>wag3s</t>
  </si>
  <si>
    <t>vacant</t>
  </si>
  <si>
    <t>First Name</t>
  </si>
  <si>
    <t>Surname</t>
  </si>
  <si>
    <t>Date of Birth</t>
  </si>
  <si>
    <t>District of Origin</t>
  </si>
  <si>
    <t>Village</t>
  </si>
  <si>
    <t>Traditional Authority</t>
  </si>
  <si>
    <t>National Identification Card</t>
  </si>
  <si>
    <t>Expiry Date</t>
  </si>
  <si>
    <t>Date of Employment</t>
  </si>
  <si>
    <t>Emp No.</t>
  </si>
  <si>
    <t>Name of Employee:</t>
  </si>
  <si>
    <t>Payslip for the Month:</t>
  </si>
  <si>
    <t>P.A.Y.E</t>
  </si>
  <si>
    <t>Loan Instalment</t>
  </si>
  <si>
    <t>Absence Deduction</t>
  </si>
  <si>
    <t>Total Deductions</t>
  </si>
  <si>
    <t>Loan Balance</t>
  </si>
  <si>
    <t>Net Pay for the Month</t>
  </si>
  <si>
    <t>Gross Salary</t>
  </si>
  <si>
    <t>Employee Number</t>
  </si>
  <si>
    <t>Employee Number:</t>
  </si>
  <si>
    <t>Medical Aid Scheme</t>
  </si>
  <si>
    <t>Employee list</t>
  </si>
  <si>
    <t>Overtime Claim</t>
  </si>
  <si>
    <t>Agreed Salary per Month</t>
  </si>
  <si>
    <t>Pressumed Daily Rate</t>
  </si>
  <si>
    <t>Agreed Working Days per Month</t>
  </si>
  <si>
    <t>Presumed Hourly Rate</t>
  </si>
  <si>
    <t>Normal Overtime Worked</t>
  </si>
  <si>
    <t>Double Overtime Worked</t>
  </si>
  <si>
    <t>Xmas Gift/Leave Pay</t>
  </si>
  <si>
    <t>Total Overtime Claim</t>
  </si>
  <si>
    <t>LOAN SCHEDULE</t>
  </si>
  <si>
    <t>Amount</t>
  </si>
  <si>
    <t>Reason for Loan</t>
  </si>
  <si>
    <t>Note: Repayment date of any loan should not go beyond December of current year</t>
  </si>
  <si>
    <t>Month Granted</t>
  </si>
  <si>
    <t>Period to Repay</t>
  </si>
  <si>
    <t>a111</t>
  </si>
  <si>
    <t>Remarks</t>
  </si>
  <si>
    <t>Total P.A.Y.E</t>
  </si>
  <si>
    <t>Total Wages for this Month (net of P.A.Y.E)</t>
  </si>
  <si>
    <r>
      <rPr>
        <b/>
        <sz val="12"/>
        <color rgb="FF0070C0"/>
        <rFont val="Arial"/>
        <family val="2"/>
      </rPr>
      <t>Citi-</t>
    </r>
    <r>
      <rPr>
        <b/>
        <sz val="12"/>
        <color rgb="FF00B050"/>
        <rFont val="Arial"/>
        <family val="2"/>
      </rPr>
      <t>Nati Shopping Centre</t>
    </r>
  </si>
  <si>
    <t>CITI01</t>
  </si>
  <si>
    <t>CITI02</t>
  </si>
  <si>
    <t>CITI03</t>
  </si>
  <si>
    <t>CITI04</t>
  </si>
  <si>
    <t>CITI05</t>
  </si>
  <si>
    <t>CITI06</t>
  </si>
  <si>
    <t>CITI07</t>
  </si>
  <si>
    <t>CITI08</t>
  </si>
  <si>
    <t>CITI09</t>
  </si>
  <si>
    <t>CITI10</t>
  </si>
  <si>
    <t>CITI11</t>
  </si>
  <si>
    <t>CITI12</t>
  </si>
  <si>
    <t>CITI13</t>
  </si>
  <si>
    <t>CITI14</t>
  </si>
  <si>
    <t>CITI15</t>
  </si>
  <si>
    <t>CITI16</t>
  </si>
  <si>
    <t>CITI17</t>
  </si>
  <si>
    <t>CITI18</t>
  </si>
  <si>
    <t>CITI19</t>
  </si>
  <si>
    <t>CITI20</t>
  </si>
  <si>
    <t>George</t>
  </si>
  <si>
    <t>Matemba</t>
  </si>
  <si>
    <t>Employee List</t>
  </si>
  <si>
    <r>
      <rPr>
        <b/>
        <sz val="12"/>
        <color rgb="FF0070C0"/>
        <rFont val="Arial"/>
        <family val="2"/>
      </rPr>
      <t>CITI-</t>
    </r>
    <r>
      <rPr>
        <b/>
        <sz val="12"/>
        <color rgb="FF00B050"/>
        <rFont val="Arial"/>
        <family val="2"/>
      </rPr>
      <t>NATI SHOPPING CENTRE</t>
    </r>
  </si>
  <si>
    <t>Management Team</t>
  </si>
  <si>
    <t>Stop Over Employees</t>
  </si>
  <si>
    <t>Restaurant Employees</t>
  </si>
  <si>
    <t>Half Pay</t>
  </si>
  <si>
    <t>Full Pay</t>
  </si>
  <si>
    <t>Net wages to pay Full Month</t>
  </si>
  <si>
    <t>Net wages to pay Twice a Month</t>
  </si>
  <si>
    <t>Deduction for the month</t>
  </si>
  <si>
    <t>Zomba</t>
  </si>
  <si>
    <t>Chikwekwe</t>
  </si>
  <si>
    <t>Domasi Residence</t>
  </si>
  <si>
    <t>CITI21</t>
  </si>
  <si>
    <t>CITI22</t>
  </si>
  <si>
    <t>CITI23</t>
  </si>
  <si>
    <t>CITI24</t>
  </si>
  <si>
    <t>Net Pay mid and end of Month</t>
  </si>
  <si>
    <t>Nyambadwe Residence</t>
  </si>
  <si>
    <t>One Month Pay In Lieu of Notice</t>
  </si>
  <si>
    <t>Number of Months Worked Continously</t>
  </si>
  <si>
    <t>Accrued Leave Days in Number of Months Worked Continuously</t>
  </si>
  <si>
    <t>Leave Pay on Accrued Leave Days</t>
  </si>
  <si>
    <t>Less Outstanding Loan Obligations</t>
  </si>
  <si>
    <t>Total Gross Amount Due at End of Contract</t>
  </si>
  <si>
    <t>Total Net Amount Due at End of Contract</t>
  </si>
  <si>
    <t>The forms below should only be used when contract expires, or an employee resigns or is dismissed</t>
  </si>
  <si>
    <t>Employee Resignation/Dismissal</t>
  </si>
  <si>
    <t>Gratuity at 5% of the last salary mutiplied by Number of Months of Uninterrupted Employment</t>
  </si>
  <si>
    <t>CITI25</t>
  </si>
  <si>
    <t>Mwambo</t>
  </si>
  <si>
    <t>SB3M7TDV</t>
  </si>
  <si>
    <t>Gross Wages</t>
  </si>
  <si>
    <t>P.A.Y.E.</t>
  </si>
  <si>
    <t>Malemia</t>
  </si>
  <si>
    <t>Contact Number</t>
  </si>
  <si>
    <t>Wages for Supermarket, Stop-Over and Restaurant</t>
  </si>
  <si>
    <t>Total Deductions for this Month</t>
  </si>
  <si>
    <t>Christimas Gift/Leave Pay</t>
  </si>
  <si>
    <t>Christmas Gift/Leave Pay</t>
  </si>
  <si>
    <t>Total Deductions for the Month</t>
  </si>
  <si>
    <t>SX5E2R90</t>
  </si>
  <si>
    <t>CITI26</t>
  </si>
  <si>
    <t>Alinafe</t>
  </si>
  <si>
    <t>James</t>
  </si>
  <si>
    <t>List of Employees and their dues</t>
  </si>
  <si>
    <t>Month</t>
  </si>
  <si>
    <t>Loan Deduction</t>
  </si>
  <si>
    <t>Loan Outstanding</t>
  </si>
  <si>
    <t>Amount Due</t>
  </si>
  <si>
    <t>1 for mid, 2 for full month</t>
  </si>
  <si>
    <t>Eployee Number</t>
  </si>
  <si>
    <t>Totals</t>
  </si>
  <si>
    <t>Totals from Shop Workers</t>
  </si>
  <si>
    <t>Totals to Pay</t>
  </si>
  <si>
    <t>Sub-Total</t>
  </si>
  <si>
    <t>Nyambadwe and Domasi Residence</t>
  </si>
  <si>
    <t>Total Wages Due</t>
  </si>
  <si>
    <r>
      <t xml:space="preserve">      Citi</t>
    </r>
    <r>
      <rPr>
        <b/>
        <sz val="48"/>
        <color rgb="FF66FF66"/>
        <rFont val="Bernard MT Condensed"/>
        <family val="1"/>
      </rPr>
      <t>-</t>
    </r>
    <r>
      <rPr>
        <sz val="48"/>
        <color rgb="FF00FF00"/>
        <rFont val="Bernard MT Condensed"/>
        <family val="1"/>
      </rPr>
      <t>Nati Supermarket</t>
    </r>
  </si>
  <si>
    <t>Mponda</t>
  </si>
  <si>
    <t>Chimwemwe</t>
  </si>
  <si>
    <t>Banda</t>
  </si>
  <si>
    <t>Francis</t>
  </si>
  <si>
    <t>Chatsweka</t>
  </si>
  <si>
    <t>&lt;---- position in month</t>
  </si>
  <si>
    <t>Date Contract Terminated</t>
  </si>
  <si>
    <t xml:space="preserve">Payslip for end of Contract </t>
  </si>
  <si>
    <t>Less part-payment of Salary made during mid month of</t>
  </si>
  <si>
    <t>Salary for days worked during month of resignation/dismissal</t>
  </si>
  <si>
    <t>Number of days worked during month of resignation/dismissal</t>
  </si>
  <si>
    <t>Deductions made during the Month</t>
  </si>
  <si>
    <t>Payslip Details</t>
  </si>
  <si>
    <t>Net Pay for Month</t>
  </si>
  <si>
    <t>Half Pay Made</t>
  </si>
  <si>
    <t>Name of Employee</t>
  </si>
  <si>
    <t>Termination of Contract Calculations</t>
  </si>
  <si>
    <t>Reason for Termination: Enter 1 for termination 2 for resignstion or dismissal</t>
  </si>
  <si>
    <t>NB: for loans, overtime, days absent or termination of contracts, go to cells L141, C141 or K184 after the payslips</t>
  </si>
  <si>
    <t>Count</t>
  </si>
  <si>
    <t>Wages for Residences, Supermarket, Stop-Over and Restaurant</t>
  </si>
  <si>
    <t>Of which accrued interest</t>
  </si>
  <si>
    <t>Accrued Interest</t>
  </si>
  <si>
    <t>Accrued Interest To-Date</t>
  </si>
  <si>
    <t>\</t>
  </si>
  <si>
    <t>Total wages to pay net of P.A.Y.E:</t>
  </si>
  <si>
    <t>Month Wages to Pay:</t>
  </si>
  <si>
    <t>Wages for Nyambadwe and Domasi Residences</t>
  </si>
  <si>
    <t>Monica</t>
  </si>
  <si>
    <t>Blantyre</t>
  </si>
  <si>
    <t>Kunjawa</t>
  </si>
  <si>
    <t>Kapeni</t>
  </si>
  <si>
    <t>WT6WTBTA</t>
  </si>
  <si>
    <t>0884821149</t>
  </si>
  <si>
    <t>0995261886</t>
  </si>
  <si>
    <t>First</t>
  </si>
  <si>
    <t>Next</t>
  </si>
  <si>
    <t>Tax Rates WEF 1st April, 24</t>
  </si>
  <si>
    <t>0997793088</t>
  </si>
  <si>
    <t>0882689123</t>
  </si>
  <si>
    <t>Totals from Resident Workers</t>
  </si>
  <si>
    <t>Tayifolo</t>
  </si>
  <si>
    <t>Stenala</t>
  </si>
  <si>
    <t>Billy</t>
  </si>
  <si>
    <t>Siki</t>
  </si>
  <si>
    <t>Management Employees</t>
  </si>
  <si>
    <t>Stop-Over Employees</t>
  </si>
  <si>
    <t>Domasi Residence Employees</t>
  </si>
  <si>
    <t>Nyambadwe Residence Employees</t>
  </si>
  <si>
    <t>Restuarant Employees</t>
  </si>
  <si>
    <t>Amounts Due</t>
  </si>
  <si>
    <t>Total Wages to Pay Entire Month</t>
  </si>
  <si>
    <t>Payslip for end of Contract</t>
  </si>
  <si>
    <t>0982802591</t>
  </si>
  <si>
    <t>0984448357</t>
  </si>
  <si>
    <t>Gulani</t>
  </si>
  <si>
    <t>Thyolo</t>
  </si>
  <si>
    <t>Chafa</t>
  </si>
  <si>
    <t>Changata</t>
  </si>
  <si>
    <t>Total loan balances</t>
  </si>
  <si>
    <t>Chikowi</t>
  </si>
  <si>
    <t>Month for Payment of Wages:</t>
  </si>
  <si>
    <t>Management</t>
  </si>
  <si>
    <t>Stop-Over</t>
  </si>
  <si>
    <t>Restaurant</t>
  </si>
  <si>
    <t>Difference</t>
  </si>
  <si>
    <t>Domasi</t>
  </si>
  <si>
    <t xml:space="preserve">Nyambadwe </t>
  </si>
  <si>
    <t>Total Full Payment for the Month</t>
  </si>
  <si>
    <t>Number of Years in Service</t>
  </si>
  <si>
    <t>Date Joined</t>
  </si>
  <si>
    <t>Mulumbe</t>
  </si>
  <si>
    <t>0888109501</t>
  </si>
  <si>
    <t>27/06/2000</t>
  </si>
  <si>
    <t>00JPEBYO</t>
  </si>
  <si>
    <t>27/06/2026</t>
  </si>
  <si>
    <t>Malonje</t>
  </si>
  <si>
    <t>TS62TH8A</t>
  </si>
  <si>
    <t>20/10/2032</t>
  </si>
  <si>
    <t>0888529172/0995826404</t>
  </si>
  <si>
    <t>22/04/1998</t>
  </si>
  <si>
    <t>Puna</t>
  </si>
  <si>
    <t>Machinjiri</t>
  </si>
  <si>
    <t>31/07/2000</t>
  </si>
  <si>
    <t>Ntcheu</t>
  </si>
  <si>
    <t>Jenya</t>
  </si>
  <si>
    <t>Mphambala</t>
  </si>
  <si>
    <t>OONSKXV4</t>
  </si>
  <si>
    <t>31/07/2026</t>
  </si>
  <si>
    <t>0991231359</t>
  </si>
  <si>
    <t>Yoyola</t>
  </si>
  <si>
    <t>T711G2DS</t>
  </si>
  <si>
    <t>26/04/1980</t>
  </si>
  <si>
    <t>Machinga</t>
  </si>
  <si>
    <t>Mkwanda</t>
  </si>
  <si>
    <t>Ngokwe</t>
  </si>
  <si>
    <t>Q9EJ6EJD</t>
  </si>
  <si>
    <t>26/04/2026</t>
  </si>
  <si>
    <t>15/08/1975</t>
  </si>
  <si>
    <t>Chimbalanga</t>
  </si>
  <si>
    <t>NV81FF18</t>
  </si>
  <si>
    <t>15/08/2026</t>
  </si>
  <si>
    <t>16/03/1998</t>
  </si>
  <si>
    <t>Makuwira</t>
  </si>
  <si>
    <t>17/06/2000</t>
  </si>
  <si>
    <t>Sani</t>
  </si>
  <si>
    <t>16/03/2000</t>
  </si>
  <si>
    <t>Saidi</t>
  </si>
  <si>
    <t>26/09/1987</t>
  </si>
  <si>
    <t>Nambwari</t>
  </si>
  <si>
    <t>16/04/1997</t>
  </si>
  <si>
    <t>Kagwa</t>
  </si>
  <si>
    <t>Liwonde</t>
  </si>
  <si>
    <t>Mandowa</t>
  </si>
  <si>
    <t>OVERTIME DAYS</t>
  </si>
  <si>
    <t>Double Overtime</t>
  </si>
  <si>
    <t>Normal Overtime</t>
  </si>
  <si>
    <t>Days Absent</t>
  </si>
  <si>
    <t>Days in Service</t>
  </si>
  <si>
    <t>Accrued Months Worked</t>
  </si>
  <si>
    <t>Accrued Leave days in Months worked</t>
  </si>
  <si>
    <t>Current Period</t>
  </si>
  <si>
    <t>(Enter 1 for termination or 2 for resignation)</t>
  </si>
  <si>
    <t>(enter 1 if yes or 0 if no)</t>
  </si>
  <si>
    <t>Employee to terminate Contract</t>
  </si>
  <si>
    <t>Date of Termination</t>
  </si>
  <si>
    <t>Reason Contract Terminated</t>
  </si>
  <si>
    <t>Days worked during month</t>
  </si>
  <si>
    <t>Employee Received Half Pay Wage?</t>
  </si>
  <si>
    <t>Enter Employee to Terminate Contract</t>
  </si>
  <si>
    <t>Enter Date of Termination</t>
  </si>
  <si>
    <t xml:space="preserve">Enter Days Worked During the Month of Termination </t>
  </si>
  <si>
    <t>Did Employee Received Half Pay Wage?</t>
  </si>
  <si>
    <t>Enter Reason to Terminate Contract</t>
  </si>
  <si>
    <t>Employer's Signature Confirming Payment of the Net Amount Due Following End of Contract</t>
  </si>
  <si>
    <t xml:space="preserve">Employee's Signature agreeing to the amount due following end of Contract </t>
  </si>
  <si>
    <t xml:space="preserve">Date signed                                                                                                  </t>
  </si>
  <si>
    <t>------------------------------------------</t>
  </si>
  <si>
    <t>Employer Induced Termination</t>
  </si>
  <si>
    <t>Total amount due after Termination</t>
  </si>
  <si>
    <t>Total Amount due after Resignation/Dismissal</t>
  </si>
  <si>
    <t>Employee's Signature agreeing to the amount due following end of Contract</t>
  </si>
  <si>
    <t xml:space="preserve">Date signed            </t>
  </si>
  <si>
    <t>Position in month</t>
  </si>
  <si>
    <t>Month to pay</t>
  </si>
  <si>
    <t>Enter Position in Month to pay Here</t>
  </si>
  <si>
    <t>Enter Month to Pay Here--------------&gt;</t>
  </si>
  <si>
    <t>(Enter 1 for mid, 2 for full month)</t>
  </si>
  <si>
    <t>Pay Incremental Factor (based on Unitterupted Service</t>
  </si>
  <si>
    <t>5 years and above in service</t>
  </si>
  <si>
    <t>Annual Increment</t>
  </si>
  <si>
    <t>Salary after Increment</t>
  </si>
  <si>
    <t>Years in Service</t>
  </si>
  <si>
    <t>Months in Service</t>
  </si>
  <si>
    <t>6 months to 1 year in service</t>
  </si>
  <si>
    <t>1 year to 5 years in service</t>
  </si>
  <si>
    <t>1 to 6 months in service</t>
  </si>
  <si>
    <t>Domasi Supermarket Employees</t>
  </si>
  <si>
    <t>Chinyonga Supermarket Employees</t>
  </si>
  <si>
    <t>CITI27</t>
  </si>
  <si>
    <t>CITI28</t>
  </si>
  <si>
    <t>CITI29</t>
  </si>
  <si>
    <t>CITI30</t>
  </si>
  <si>
    <t>CITI31</t>
  </si>
  <si>
    <t>Sapulene</t>
  </si>
  <si>
    <t>Mkulichi</t>
  </si>
  <si>
    <t>0999953442</t>
  </si>
  <si>
    <t>K7Q3TYCY</t>
  </si>
  <si>
    <t>salary advance</t>
  </si>
  <si>
    <t>Domasi Supermarket</t>
  </si>
  <si>
    <t>Chinyonga Supermarket</t>
  </si>
  <si>
    <t>Wages for Residences, Supermarkets, Stop-Over and Restaurant</t>
  </si>
  <si>
    <t>Citi-Nati Supermarkets, Resturant and Stop Over</t>
  </si>
  <si>
    <t>Loan interest rate applied</t>
  </si>
  <si>
    <t>Kachingwe</t>
  </si>
  <si>
    <t>0886851058/0985279327</t>
  </si>
  <si>
    <t>Sumbuleta</t>
  </si>
  <si>
    <t>Mchiramwera</t>
  </si>
  <si>
    <t>S1WHXEW6</t>
  </si>
  <si>
    <t>Nanseta</t>
  </si>
  <si>
    <t>Yankho</t>
  </si>
  <si>
    <t>Daniel</t>
  </si>
  <si>
    <t>Peter</t>
  </si>
  <si>
    <t>Maggie</t>
  </si>
  <si>
    <t>Simikizani</t>
  </si>
  <si>
    <t xml:space="preserve">Agness </t>
  </si>
  <si>
    <t xml:space="preserve">  </t>
  </si>
  <si>
    <t>OKC34FAB</t>
  </si>
  <si>
    <t>0990943701</t>
  </si>
  <si>
    <t>Maureen</t>
  </si>
  <si>
    <t>Ulaya</t>
  </si>
  <si>
    <t>0995337862</t>
  </si>
  <si>
    <t>Ibrahim</t>
  </si>
  <si>
    <t>Amadu</t>
  </si>
  <si>
    <t>QK423SPE</t>
  </si>
  <si>
    <t>Daniel Mponda</t>
  </si>
  <si>
    <t>Henry Saona</t>
  </si>
  <si>
    <t>James Bongwe</t>
  </si>
  <si>
    <t>Yankho Gulani</t>
  </si>
  <si>
    <t>George Matemba</t>
  </si>
  <si>
    <t>Chimwemwe Banda</t>
  </si>
  <si>
    <t>Francis Chatsweka</t>
  </si>
  <si>
    <t>Stenala Mponda</t>
  </si>
  <si>
    <t>Simikizani Siki</t>
  </si>
  <si>
    <t>Tayifolo Mandowa</t>
  </si>
  <si>
    <t>Monica George</t>
  </si>
  <si>
    <t>Peter James</t>
  </si>
  <si>
    <t>Maggie Billy</t>
  </si>
  <si>
    <t>Agness  Mponda</t>
  </si>
  <si>
    <t>Maureen Ulaya</t>
  </si>
  <si>
    <t>Leonard Stephano</t>
  </si>
  <si>
    <t>Ibrahim Amadu</t>
  </si>
  <si>
    <t>Alinafe James</t>
  </si>
  <si>
    <t>Francis Nebert</t>
  </si>
  <si>
    <t>Amount Paid in Month of Termination</t>
  </si>
  <si>
    <t>Half Pay Due in Month of Termination</t>
  </si>
  <si>
    <t>(</t>
  </si>
  <si>
    <t>Total Wages Due upon Termination</t>
  </si>
  <si>
    <t>Wages on retrenchment</t>
  </si>
  <si>
    <t>Wages as at 30/09/25</t>
  </si>
  <si>
    <t>New Wage from 1/10/25</t>
  </si>
  <si>
    <t>Less already paid</t>
  </si>
  <si>
    <t>Balance to Pay</t>
  </si>
  <si>
    <t>Madalitso</t>
  </si>
  <si>
    <t>Baluti</t>
  </si>
  <si>
    <t>Madalitso Baluti</t>
  </si>
  <si>
    <t>Martin Kandalama</t>
  </si>
  <si>
    <t>Elizabeth Kabudula</t>
  </si>
  <si>
    <t>Amini Wecha</t>
  </si>
  <si>
    <t>Elizabeth</t>
  </si>
  <si>
    <t>Chinkono</t>
  </si>
  <si>
    <t>Elizabeth Chinkono</t>
  </si>
  <si>
    <t>Nati Villa Guard</t>
  </si>
  <si>
    <t>Nati Villa Cleaner</t>
  </si>
  <si>
    <t>Occupation</t>
  </si>
  <si>
    <t>Nyambadwe Chef</t>
  </si>
  <si>
    <t>Compnay Administrator</t>
  </si>
  <si>
    <t>Shop Merchandiser</t>
  </si>
  <si>
    <t>Shop Assistant</t>
  </si>
  <si>
    <t>Nati Villa Gardener</t>
  </si>
  <si>
    <t>Nyambadwe Gardener</t>
  </si>
  <si>
    <t>Gardener and Grill Chef</t>
  </si>
  <si>
    <t>Supermarket Guard</t>
  </si>
  <si>
    <t>Barman</t>
  </si>
  <si>
    <t>Bartender</t>
  </si>
  <si>
    <t>Supermarket Cleaner</t>
  </si>
  <si>
    <t>Chinyonga Guard</t>
  </si>
  <si>
    <t>Chinyonga Shop Assistant</t>
  </si>
  <si>
    <t>Date Employed</t>
  </si>
  <si>
    <t>Kandalama</t>
  </si>
  <si>
    <t>Martin</t>
  </si>
  <si>
    <t>Kabudula</t>
  </si>
  <si>
    <t>Amini</t>
  </si>
  <si>
    <t>Wecha</t>
  </si>
  <si>
    <t>Expiry of Contract</t>
  </si>
  <si>
    <t>james</t>
  </si>
  <si>
    <t>Domasi Cashier</t>
  </si>
  <si>
    <t>James Bwanali</t>
  </si>
  <si>
    <t>Esnat</t>
  </si>
  <si>
    <t>Adam</t>
  </si>
  <si>
    <t>WHTVMCR</t>
  </si>
  <si>
    <t>Potani</t>
  </si>
  <si>
    <t>Mlumbe</t>
  </si>
  <si>
    <t>09</t>
  </si>
  <si>
    <t>Dancan</t>
  </si>
  <si>
    <t>Botha</t>
  </si>
  <si>
    <t>0899779017</t>
  </si>
  <si>
    <t>0W88M5HT</t>
  </si>
  <si>
    <t>Balaka</t>
  </si>
  <si>
    <t>Mitochi</t>
  </si>
  <si>
    <t>Nsamala</t>
  </si>
  <si>
    <t>0886690519/0992121795</t>
  </si>
  <si>
    <t>for sister 0883457788/0991213410/0894554196</t>
  </si>
  <si>
    <t>uncle 0884147135</t>
  </si>
  <si>
    <t>William</t>
  </si>
  <si>
    <t>Mahinya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</si>
</sst>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_(#,##0_);[Red]\(#,##0\)"/>
    <numFmt numFmtId="165" formatCode="_(#,##0.00_);[Red]\(#,##0.00\)"/>
    <numFmt numFmtId="166" formatCode="#,##0.00;[Red]#,##0.00"/>
    <numFmt numFmtId="167" formatCode="[$-F800]dddd\,\ mmmm\ dd\,\ yyyy"/>
    <numFmt numFmtId="168" formatCode="[$-409]d\-mmm\-yy;@"/>
    <numFmt numFmtId="169" formatCode="_(* #,##0_);_(* \(#,##0\);_(* &quot;-&quot;??_);_(@_)"/>
    <numFmt numFmtId="170" formatCode="_(* #,##0.0_);_(* \(#,##0.0\);_(* &quot;-&quot;??_);_(@_)"/>
    <numFmt numFmtId="171" formatCode="[$]d\ mmmm\ yyyy;@"/>
    <numFmt numFmtId="172" formatCode="_-* #,##0_-;\-* #,##0_-;_-* &quot;-&quot;??_-;_-@_-"/>
    <numFmt numFmtId="173" formatCode="[$]d\ mmm\ yyyy;@"/>
  </numFmts>
  <fonts count="10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rgb="FF7030A0"/>
      <name val="Arial"/>
      <family val="2"/>
    </font>
    <font>
      <sz val="10"/>
      <color rgb="FF00B050"/>
      <name val="Arial"/>
      <family val="2"/>
    </font>
    <font>
      <b/>
      <sz val="10"/>
      <color theme="8" tint="-0.499984740745262"/>
      <name val="Arial"/>
      <family val="2"/>
    </font>
    <font>
      <b/>
      <sz val="10"/>
      <color theme="6" tint="-0.499984740745262"/>
      <name val="Arial"/>
      <family val="2"/>
    </font>
    <font>
      <b/>
      <u/>
      <sz val="10"/>
      <color theme="7" tint="-0.499984740745262"/>
      <name val="Arial"/>
      <family val="2"/>
    </font>
    <font>
      <b/>
      <sz val="10"/>
      <color rgb="FF00B050"/>
      <name val="Arial"/>
      <family val="2"/>
    </font>
    <font>
      <sz val="10"/>
      <color theme="6" tint="-0.499984740745262"/>
      <name val="Arial"/>
      <family val="2"/>
    </font>
    <font>
      <b/>
      <i/>
      <sz val="12"/>
      <color theme="3"/>
      <name val="Arial"/>
      <family val="2"/>
    </font>
    <font>
      <b/>
      <sz val="10"/>
      <color rgb="FFC00000"/>
      <name val="Arial"/>
      <family val="2"/>
    </font>
    <font>
      <b/>
      <sz val="10"/>
      <color theme="5" tint="-0.249977111117893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color theme="6" tint="-0.249977111117893"/>
      <name val="Arial"/>
      <family val="2"/>
    </font>
    <font>
      <sz val="10"/>
      <color theme="7" tint="-0.249977111117893"/>
      <name val="Arial"/>
      <family val="2"/>
    </font>
    <font>
      <sz val="10"/>
      <color theme="8" tint="-0.249977111117893"/>
      <name val="Arial"/>
      <family val="2"/>
    </font>
    <font>
      <sz val="10"/>
      <color theme="9" tint="-0.249977111117893"/>
      <name val="Arial"/>
      <family val="2"/>
    </font>
    <font>
      <sz val="10"/>
      <color theme="9" tint="-0.499984740745262"/>
      <name val="Arial"/>
      <family val="2"/>
    </font>
    <font>
      <sz val="10"/>
      <color theme="1" tint="0.499984740745262"/>
      <name val="Arial"/>
      <family val="2"/>
    </font>
    <font>
      <sz val="10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10"/>
      <color rgb="FFFFC000"/>
      <name val="Arial"/>
      <family val="2"/>
    </font>
    <font>
      <sz val="10"/>
      <color rgb="FFC00000"/>
      <name val="Arial"/>
      <family val="2"/>
    </font>
    <font>
      <sz val="10"/>
      <color theme="2" tint="-0.749992370372631"/>
      <name val="Arial"/>
      <family val="2"/>
    </font>
    <font>
      <sz val="10"/>
      <color theme="0"/>
      <name val="Arial"/>
      <family val="2"/>
    </font>
    <font>
      <sz val="9"/>
      <name val="Arial"/>
      <family val="2"/>
    </font>
    <font>
      <b/>
      <i/>
      <sz val="10"/>
      <color rgb="FFC00000"/>
      <name val="Arial"/>
      <family val="2"/>
    </font>
    <font>
      <sz val="10"/>
      <color rgb="FFFFFF00"/>
      <name val="Arial"/>
      <family val="2"/>
    </font>
    <font>
      <b/>
      <sz val="10"/>
      <color rgb="FFFF0000"/>
      <name val="Arial"/>
      <family val="2"/>
    </font>
    <font>
      <u/>
      <sz val="10"/>
      <color rgb="FF7030A0"/>
      <name val="Arial"/>
      <family val="2"/>
    </font>
    <font>
      <u/>
      <sz val="10"/>
      <color rgb="FFC0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i/>
      <u/>
      <sz val="12"/>
      <color theme="3"/>
      <name val="Arial"/>
      <family val="2"/>
    </font>
    <font>
      <u/>
      <sz val="10"/>
      <name val="Arial"/>
      <family val="2"/>
    </font>
    <font>
      <b/>
      <sz val="12"/>
      <color rgb="FF0070C0"/>
      <name val="Arial"/>
      <family val="2"/>
    </font>
    <font>
      <i/>
      <sz val="10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color rgb="FF00B050"/>
      <name val="Arial"/>
      <family val="2"/>
    </font>
    <font>
      <sz val="10"/>
      <color theme="3" tint="-0.249977111117893"/>
      <name val="Arial"/>
      <family val="2"/>
    </font>
    <font>
      <b/>
      <sz val="14"/>
      <color rgb="FF00B050"/>
      <name val="Arial"/>
      <family val="2"/>
    </font>
    <font>
      <b/>
      <sz val="14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sz val="10"/>
      <color theme="3" tint="-0.249977111117893"/>
      <name val="Arial"/>
      <family val="2"/>
    </font>
    <font>
      <sz val="28"/>
      <color rgb="FF7030A0"/>
      <name val="Arial"/>
      <family val="2"/>
    </font>
    <font>
      <b/>
      <sz val="10"/>
      <color theme="9" tint="-0.249977111117893"/>
      <name val="Arial"/>
      <family val="2"/>
    </font>
    <font>
      <sz val="36"/>
      <color rgb="FF7030A0"/>
      <name val="Arial"/>
      <family val="2"/>
    </font>
    <font>
      <b/>
      <sz val="14"/>
      <color rgb="FFC00000"/>
      <name val="Arial"/>
      <family val="2"/>
    </font>
    <font>
      <b/>
      <sz val="12"/>
      <color rgb="FF7030A0"/>
      <name val="Arial"/>
      <family val="2"/>
    </font>
    <font>
      <b/>
      <sz val="10"/>
      <color theme="0"/>
      <name val="Arial"/>
      <family val="2"/>
    </font>
    <font>
      <sz val="18"/>
      <color rgb="FF7030A0"/>
      <name val="Arial"/>
      <family val="2"/>
    </font>
    <font>
      <u/>
      <sz val="10"/>
      <color rgb="FFFF0000"/>
      <name val="Arial"/>
      <family val="2"/>
    </font>
    <font>
      <u/>
      <sz val="11"/>
      <color rgb="FFFF0000"/>
      <name val="Arial"/>
      <family val="2"/>
    </font>
    <font>
      <sz val="18"/>
      <color rgb="FFC00000"/>
      <name val="Arial"/>
      <family val="2"/>
    </font>
    <font>
      <b/>
      <sz val="48"/>
      <color rgb="FF0000FF"/>
      <name val="Bernard MT Condensed"/>
      <family val="1"/>
    </font>
    <font>
      <b/>
      <sz val="48"/>
      <color rgb="FF66FF66"/>
      <name val="Bernard MT Condensed"/>
      <family val="1"/>
    </font>
    <font>
      <sz val="48"/>
      <color rgb="FF00FF00"/>
      <name val="Bernard MT Condensed"/>
      <family val="1"/>
    </font>
    <font>
      <sz val="10"/>
      <color theme="1"/>
      <name val="Arial"/>
      <family val="2"/>
    </font>
    <font>
      <sz val="10"/>
      <color rgb="FFCCECFF"/>
      <name val="Arial"/>
      <family val="2"/>
    </font>
    <font>
      <b/>
      <u/>
      <sz val="10"/>
      <color rgb="FF00B050"/>
      <name val="Arial"/>
      <family val="2"/>
    </font>
    <font>
      <b/>
      <sz val="10"/>
      <color rgb="FFFF00FF"/>
      <name val="Arial"/>
      <family val="2"/>
    </font>
    <font>
      <b/>
      <sz val="10"/>
      <color rgb="FF00B0F0"/>
      <name val="Arial"/>
      <family val="2"/>
    </font>
    <font>
      <sz val="10"/>
      <color theme="2" tint="-0.249977111117893"/>
      <name val="Arial"/>
      <family val="2"/>
    </font>
    <font>
      <b/>
      <sz val="10"/>
      <color rgb="FF7030A0"/>
      <name val="Arial"/>
      <family val="2"/>
    </font>
    <font>
      <sz val="12"/>
      <color rgb="FFFF0000"/>
      <name val="Arial"/>
      <family val="2"/>
    </font>
    <font>
      <b/>
      <sz val="16"/>
      <color rgb="FF33CCCC"/>
      <name val="Arial"/>
      <family val="2"/>
    </font>
    <font>
      <b/>
      <sz val="16"/>
      <color theme="8" tint="-0.249977111117893"/>
      <name val="Arial"/>
      <family val="2"/>
    </font>
    <font>
      <b/>
      <sz val="10"/>
      <color rgb="FF002060"/>
      <name val="Arial"/>
      <family val="2"/>
    </font>
    <font>
      <b/>
      <sz val="12"/>
      <color rgb="FF002060"/>
      <name val="Arial"/>
      <family val="2"/>
    </font>
    <font>
      <b/>
      <sz val="12"/>
      <color rgb="FF006600"/>
      <name val="Arial"/>
      <family val="2"/>
    </font>
    <font>
      <b/>
      <sz val="16"/>
      <color rgb="FFFF0000"/>
      <name val="Arial"/>
      <family val="2"/>
    </font>
    <font>
      <sz val="16"/>
      <color rgb="FF7030A0"/>
      <name val="Arial"/>
      <family val="2"/>
    </font>
    <font>
      <sz val="10"/>
      <name val="Arial"/>
      <family val="2"/>
    </font>
    <font>
      <sz val="28"/>
      <color theme="5" tint="-0.249977111117893"/>
      <name val="Arial"/>
      <family val="2"/>
    </font>
    <font>
      <b/>
      <sz val="18"/>
      <color rgb="FF7030A0"/>
      <name val="Arial"/>
      <family val="2"/>
    </font>
    <font>
      <b/>
      <sz val="12"/>
      <color theme="3"/>
      <name val="Arial"/>
      <family val="2"/>
    </font>
    <font>
      <b/>
      <sz val="10"/>
      <color rgb="FF33CCCC"/>
      <name val="Arial"/>
      <family val="2"/>
    </font>
    <font>
      <b/>
      <u/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8"/>
      <color rgb="FF00FF00"/>
      <name val="Arial"/>
      <family val="2"/>
    </font>
    <font>
      <b/>
      <sz val="10"/>
      <color rgb="FF00FF00"/>
      <name val="Arial"/>
      <family val="2"/>
    </font>
    <font>
      <b/>
      <sz val="16"/>
      <color rgb="FF00B050"/>
      <name val="Arial"/>
      <family val="2"/>
    </font>
    <font>
      <b/>
      <i/>
      <sz val="12"/>
      <color theme="0"/>
      <name val="Arial"/>
      <family val="2"/>
    </font>
    <font>
      <sz val="14"/>
      <color rgb="FF7030A0"/>
      <name val="Arial"/>
      <family val="2"/>
    </font>
    <font>
      <b/>
      <sz val="9"/>
      <name val="Arial"/>
      <family val="2"/>
    </font>
    <font>
      <b/>
      <sz val="10"/>
      <color theme="8" tint="-0.249977111117893"/>
      <name val="Arial"/>
      <family val="2"/>
    </font>
    <font>
      <b/>
      <i/>
      <sz val="12"/>
      <color theme="8" tint="-0.249977111117893"/>
      <name val="Arial"/>
      <family val="2"/>
    </font>
    <font>
      <b/>
      <u val="singleAccounting"/>
      <sz val="10"/>
      <name val="Arial"/>
      <family val="2"/>
    </font>
    <font>
      <sz val="10"/>
      <color theme="8" tint="-0.499984740745262"/>
      <name val="Arial"/>
      <family val="2"/>
    </font>
    <font>
      <sz val="12"/>
      <color rgb="FF7030A0"/>
      <name val="Arial"/>
      <family val="2"/>
    </font>
    <font>
      <b/>
      <sz val="14"/>
      <color rgb="FF002060"/>
      <name val="Arial"/>
      <family val="2"/>
    </font>
    <font>
      <b/>
      <sz val="12"/>
      <color rgb="FFC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6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43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89" fillId="0" borderId="0" applyFont="0" applyFill="0" applyBorder="0" applyAlignment="0" applyProtection="0"/>
  </cellStyleXfs>
  <cellXfs count="743">
    <xf numFmtId="0" fontId="0" fillId="0" borderId="0" xfId="0"/>
    <xf numFmtId="4" fontId="0" fillId="0" borderId="0" xfId="3" applyNumberFormat="1" applyFont="1"/>
    <xf numFmtId="165" fontId="0" fillId="0" borderId="0" xfId="3" applyNumberFormat="1" applyFont="1"/>
    <xf numFmtId="165" fontId="6" fillId="0" borderId="0" xfId="3" applyNumberFormat="1" applyFont="1"/>
    <xf numFmtId="165" fontId="15" fillId="0" borderId="0" xfId="3" applyNumberFormat="1" applyFont="1"/>
    <xf numFmtId="0" fontId="6" fillId="0" borderId="0" xfId="3" applyFont="1"/>
    <xf numFmtId="0" fontId="0" fillId="5" borderId="0" xfId="3" applyFont="1" applyFill="1"/>
    <xf numFmtId="0" fontId="0" fillId="6" borderId="0" xfId="3" applyFont="1" applyFill="1"/>
    <xf numFmtId="2" fontId="6" fillId="0" borderId="0" xfId="3" applyNumberFormat="1" applyFont="1" applyAlignment="1">
      <alignment horizontal="center" vertical="justify"/>
    </xf>
    <xf numFmtId="2" fontId="0" fillId="0" borderId="0" xfId="3" applyNumberFormat="1" applyFont="1" applyAlignment="1">
      <alignment horizontal="center" vertical="justify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7" fillId="0" borderId="6" xfId="3" applyFont="1" applyBorder="1"/>
    <xf numFmtId="0" fontId="7" fillId="0" borderId="2" xfId="3" applyFont="1" applyBorder="1"/>
    <xf numFmtId="0" fontId="7" fillId="0" borderId="0" xfId="0" applyFont="1"/>
    <xf numFmtId="0" fontId="27" fillId="0" borderId="7" xfId="3" quotePrefix="1" applyFont="1" applyBorder="1"/>
    <xf numFmtId="0" fontId="27" fillId="0" borderId="0" xfId="0" applyFont="1"/>
    <xf numFmtId="0" fontId="28" fillId="0" borderId="7" xfId="3" quotePrefix="1" applyFont="1" applyBorder="1"/>
    <xf numFmtId="0" fontId="28" fillId="0" borderId="0" xfId="0" applyFont="1"/>
    <xf numFmtId="0" fontId="29" fillId="0" borderId="7" xfId="3" quotePrefix="1" applyFont="1" applyBorder="1"/>
    <xf numFmtId="0" fontId="29" fillId="0" borderId="0" xfId="0" applyFont="1"/>
    <xf numFmtId="0" fontId="22" fillId="0" borderId="7" xfId="3" quotePrefix="1" applyFont="1" applyBorder="1"/>
    <xf numFmtId="0" fontId="23" fillId="0" borderId="7" xfId="3" quotePrefix="1" applyFont="1" applyBorder="1"/>
    <xf numFmtId="0" fontId="24" fillId="0" borderId="7" xfId="3" quotePrefix="1" applyFont="1" applyBorder="1"/>
    <xf numFmtId="0" fontId="26" fillId="0" borderId="7" xfId="3" quotePrefix="1" applyFont="1" applyBorder="1"/>
    <xf numFmtId="0" fontId="9" fillId="0" borderId="7" xfId="3" quotePrefix="1" applyFont="1" applyBorder="1"/>
    <xf numFmtId="0" fontId="9" fillId="0" borderId="0" xfId="0" applyFont="1"/>
    <xf numFmtId="0" fontId="8" fillId="0" borderId="7" xfId="3" quotePrefix="1" applyFont="1" applyBorder="1"/>
    <xf numFmtId="0" fontId="8" fillId="0" borderId="0" xfId="0" applyFont="1"/>
    <xf numFmtId="0" fontId="10" fillId="0" borderId="7" xfId="3" quotePrefix="1" applyFont="1" applyBorder="1"/>
    <xf numFmtId="0" fontId="10" fillId="0" borderId="0" xfId="0" applyFont="1"/>
    <xf numFmtId="0" fontId="30" fillId="0" borderId="7" xfId="3" quotePrefix="1" applyFont="1" applyBorder="1"/>
    <xf numFmtId="0" fontId="30" fillId="0" borderId="0" xfId="0" applyFont="1"/>
    <xf numFmtId="0" fontId="31" fillId="0" borderId="8" xfId="3" applyFont="1" applyBorder="1"/>
    <xf numFmtId="0" fontId="31" fillId="0" borderId="4" xfId="3" applyFont="1" applyBorder="1"/>
    <xf numFmtId="0" fontId="25" fillId="4" borderId="0" xfId="0" applyFont="1" applyFill="1"/>
    <xf numFmtId="0" fontId="6" fillId="0" borderId="0" xfId="0" applyFont="1"/>
    <xf numFmtId="0" fontId="32" fillId="0" borderId="0" xfId="0" applyFont="1"/>
    <xf numFmtId="0" fontId="33" fillId="0" borderId="0" xfId="0" applyFont="1"/>
    <xf numFmtId="4" fontId="0" fillId="0" borderId="5" xfId="3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34" fillId="0" borderId="5" xfId="0" applyFont="1" applyBorder="1" applyAlignment="1">
      <alignment horizontal="right"/>
    </xf>
    <xf numFmtId="1" fontId="0" fillId="0" borderId="5" xfId="0" applyNumberFormat="1" applyBorder="1"/>
    <xf numFmtId="3" fontId="0" fillId="0" borderId="5" xfId="3" applyNumberFormat="1" applyFont="1" applyBorder="1" applyAlignment="1">
      <alignment horizontal="right"/>
    </xf>
    <xf numFmtId="39" fontId="0" fillId="0" borderId="5" xfId="1" applyNumberFormat="1" applyFont="1" applyBorder="1" applyAlignment="1" applyProtection="1">
      <alignment horizontal="right"/>
    </xf>
    <xf numFmtId="39" fontId="0" fillId="0" borderId="5" xfId="1" applyNumberFormat="1" applyFont="1" applyBorder="1" applyProtection="1"/>
    <xf numFmtId="165" fontId="0" fillId="0" borderId="5" xfId="3" applyNumberFormat="1" applyFont="1" applyBorder="1" applyAlignment="1">
      <alignment wrapText="1"/>
    </xf>
    <xf numFmtId="2" fontId="0" fillId="0" borderId="5" xfId="3" applyNumberFormat="1" applyFont="1" applyBorder="1"/>
    <xf numFmtId="2" fontId="0" fillId="0" borderId="0" xfId="3" applyNumberFormat="1" applyFont="1"/>
    <xf numFmtId="165" fontId="0" fillId="3" borderId="5" xfId="3" applyNumberFormat="1" applyFont="1" applyFill="1" applyBorder="1"/>
    <xf numFmtId="4" fontId="0" fillId="3" borderId="5" xfId="3" applyNumberFormat="1" applyFont="1" applyFill="1" applyBorder="1" applyAlignment="1" applyProtection="1">
      <alignment horizontal="right"/>
      <protection locked="0"/>
    </xf>
    <xf numFmtId="165" fontId="15" fillId="0" borderId="7" xfId="3" applyNumberFormat="1" applyFont="1" applyBorder="1"/>
    <xf numFmtId="165" fontId="10" fillId="0" borderId="0" xfId="3" applyNumberFormat="1" applyFont="1"/>
    <xf numFmtId="165" fontId="7" fillId="0" borderId="0" xfId="3" applyNumberFormat="1" applyFont="1"/>
    <xf numFmtId="165" fontId="9" fillId="0" borderId="0" xfId="3" applyNumberFormat="1" applyFont="1"/>
    <xf numFmtId="165" fontId="12" fillId="0" borderId="8" xfId="3" applyNumberFormat="1" applyFont="1" applyBorder="1"/>
    <xf numFmtId="165" fontId="6" fillId="0" borderId="4" xfId="3" applyNumberFormat="1" applyFont="1" applyBorder="1"/>
    <xf numFmtId="2" fontId="0" fillId="7" borderId="5" xfId="3" applyNumberFormat="1" applyFont="1" applyFill="1" applyBorder="1" applyAlignment="1" applyProtection="1">
      <alignment horizontal="right"/>
      <protection locked="0"/>
    </xf>
    <xf numFmtId="2" fontId="38" fillId="6" borderId="5" xfId="2" applyNumberFormat="1" applyFont="1" applyFill="1" applyBorder="1"/>
    <xf numFmtId="0" fontId="36" fillId="4" borderId="0" xfId="0" applyFont="1" applyFill="1"/>
    <xf numFmtId="165" fontId="0" fillId="0" borderId="0" xfId="0" applyNumberFormat="1"/>
    <xf numFmtId="0" fontId="5" fillId="0" borderId="0" xfId="0" applyFont="1"/>
    <xf numFmtId="165" fontId="5" fillId="0" borderId="0" xfId="3" applyNumberFormat="1" applyFont="1"/>
    <xf numFmtId="165" fontId="42" fillId="0" borderId="5" xfId="3" applyNumberFormat="1" applyFont="1" applyBorder="1"/>
    <xf numFmtId="0" fontId="0" fillId="0" borderId="10" xfId="0" applyBorder="1"/>
    <xf numFmtId="165" fontId="15" fillId="0" borderId="12" xfId="3" applyNumberFormat="1" applyFont="1" applyBorder="1"/>
    <xf numFmtId="0" fontId="0" fillId="0" borderId="12" xfId="0" applyBorder="1"/>
    <xf numFmtId="166" fontId="0" fillId="0" borderId="0" xfId="0" applyNumberFormat="1"/>
    <xf numFmtId="0" fontId="5" fillId="0" borderId="5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/>
    <xf numFmtId="165" fontId="12" fillId="0" borderId="7" xfId="3" applyNumberFormat="1" applyFont="1" applyBorder="1"/>
    <xf numFmtId="165" fontId="12" fillId="0" borderId="1" xfId="3" quotePrefix="1" applyNumberFormat="1" applyFont="1" applyBorder="1" applyAlignment="1">
      <alignment horizontal="right"/>
    </xf>
    <xf numFmtId="165" fontId="6" fillId="0" borderId="1" xfId="3" applyNumberFormat="1" applyFont="1" applyBorder="1" applyAlignment="1">
      <alignment horizontal="right"/>
    </xf>
    <xf numFmtId="165" fontId="11" fillId="0" borderId="1" xfId="3" applyNumberFormat="1" applyFont="1" applyBorder="1" applyAlignment="1">
      <alignment horizontal="right"/>
    </xf>
    <xf numFmtId="165" fontId="5" fillId="0" borderId="1" xfId="3" applyNumberFormat="1" applyFont="1" applyBorder="1" applyAlignment="1">
      <alignment horizontal="right"/>
    </xf>
    <xf numFmtId="165" fontId="6" fillId="0" borderId="0" xfId="3" applyNumberFormat="1" applyFont="1" applyAlignment="1">
      <alignment horizontal="right"/>
    </xf>
    <xf numFmtId="165" fontId="0" fillId="0" borderId="0" xfId="3" applyNumberFormat="1" applyFont="1" applyAlignment="1">
      <alignment horizontal="right"/>
    </xf>
    <xf numFmtId="0" fontId="48" fillId="0" borderId="0" xfId="0" applyFont="1"/>
    <xf numFmtId="165" fontId="20" fillId="0" borderId="5" xfId="3" applyNumberFormat="1" applyFont="1" applyBorder="1" applyAlignment="1">
      <alignment wrapText="1"/>
    </xf>
    <xf numFmtId="0" fontId="0" fillId="0" borderId="11" xfId="0" applyBorder="1"/>
    <xf numFmtId="0" fontId="4" fillId="6" borderId="0" xfId="3" applyFill="1"/>
    <xf numFmtId="2" fontId="0" fillId="4" borderId="5" xfId="3" applyNumberFormat="1" applyFont="1" applyFill="1" applyBorder="1"/>
    <xf numFmtId="0" fontId="0" fillId="4" borderId="0" xfId="0" applyFill="1"/>
    <xf numFmtId="0" fontId="0" fillId="4" borderId="1" xfId="0" applyFill="1" applyBorder="1"/>
    <xf numFmtId="2" fontId="4" fillId="4" borderId="5" xfId="3" applyNumberFormat="1" applyFill="1" applyBorder="1"/>
    <xf numFmtId="0" fontId="4" fillId="9" borderId="0" xfId="0" applyFont="1" applyFill="1"/>
    <xf numFmtId="0" fontId="4" fillId="10" borderId="0" xfId="3" applyFill="1"/>
    <xf numFmtId="0" fontId="4" fillId="4" borderId="0" xfId="3" applyFill="1"/>
    <xf numFmtId="0" fontId="0" fillId="4" borderId="0" xfId="3" applyFont="1" applyFill="1"/>
    <xf numFmtId="2" fontId="39" fillId="4" borderId="5" xfId="2" applyNumberFormat="1" applyFont="1" applyFill="1" applyBorder="1"/>
    <xf numFmtId="2" fontId="46" fillId="10" borderId="5" xfId="2" applyNumberFormat="1" applyFont="1" applyFill="1" applyBorder="1"/>
    <xf numFmtId="0" fontId="4" fillId="11" borderId="0" xfId="3" applyFill="1"/>
    <xf numFmtId="0" fontId="0" fillId="11" borderId="0" xfId="3" applyFont="1" applyFill="1"/>
    <xf numFmtId="2" fontId="38" fillId="11" borderId="5" xfId="2" applyNumberFormat="1" applyFont="1" applyFill="1" applyBorder="1"/>
    <xf numFmtId="0" fontId="4" fillId="12" borderId="0" xfId="3" applyFill="1"/>
    <xf numFmtId="0" fontId="0" fillId="12" borderId="0" xfId="3" applyFont="1" applyFill="1"/>
    <xf numFmtId="2" fontId="38" fillId="12" borderId="5" xfId="2" applyNumberFormat="1" applyFont="1" applyFill="1" applyBorder="1"/>
    <xf numFmtId="2" fontId="0" fillId="0" borderId="0" xfId="3" applyNumberFormat="1" applyFont="1" applyAlignment="1">
      <alignment horizontal="right"/>
    </xf>
    <xf numFmtId="0" fontId="0" fillId="4" borderId="0" xfId="3" applyFont="1" applyFill="1" applyAlignment="1" applyProtection="1">
      <alignment horizontal="left"/>
      <protection locked="0"/>
    </xf>
    <xf numFmtId="0" fontId="53" fillId="4" borderId="0" xfId="3" applyFont="1" applyFill="1" applyAlignment="1" applyProtection="1">
      <alignment horizontal="left"/>
      <protection locked="0"/>
    </xf>
    <xf numFmtId="0" fontId="40" fillId="4" borderId="0" xfId="3" applyFont="1" applyFill="1" applyAlignment="1" applyProtection="1">
      <alignment horizontal="left"/>
      <protection locked="0"/>
    </xf>
    <xf numFmtId="165" fontId="37" fillId="0" borderId="27" xfId="0" applyNumberFormat="1" applyFont="1" applyBorder="1"/>
    <xf numFmtId="165" fontId="37" fillId="0" borderId="28" xfId="0" applyNumberFormat="1" applyFont="1" applyBorder="1"/>
    <xf numFmtId="0" fontId="4" fillId="0" borderId="18" xfId="0" applyFont="1" applyBorder="1" applyProtection="1">
      <protection locked="0"/>
    </xf>
    <xf numFmtId="0" fontId="0" fillId="0" borderId="5" xfId="0" applyBorder="1" applyAlignment="1" applyProtection="1">
      <alignment horizontal="right"/>
      <protection locked="0"/>
    </xf>
    <xf numFmtId="0" fontId="0" fillId="0" borderId="18" xfId="0" applyBorder="1" applyProtection="1">
      <protection locked="0"/>
    </xf>
    <xf numFmtId="0" fontId="0" fillId="0" borderId="20" xfId="0" applyBorder="1" applyAlignment="1" applyProtection="1">
      <alignment horizontal="right"/>
      <protection locked="0"/>
    </xf>
    <xf numFmtId="165" fontId="17" fillId="0" borderId="1" xfId="3" applyNumberFormat="1" applyFont="1" applyBorder="1"/>
    <xf numFmtId="43" fontId="0" fillId="0" borderId="0" xfId="1" applyFont="1"/>
    <xf numFmtId="0" fontId="50" fillId="0" borderId="0" xfId="0" applyFont="1"/>
    <xf numFmtId="0" fontId="49" fillId="0" borderId="0" xfId="0" applyFont="1"/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43" fontId="5" fillId="0" borderId="5" xfId="1" applyFont="1" applyBorder="1" applyAlignment="1">
      <alignment wrapText="1"/>
    </xf>
    <xf numFmtId="43" fontId="4" fillId="5" borderId="0" xfId="1" applyFont="1" applyFill="1"/>
    <xf numFmtId="43" fontId="0" fillId="5" borderId="0" xfId="1" applyFont="1" applyFill="1"/>
    <xf numFmtId="43" fontId="0" fillId="5" borderId="5" xfId="1" applyFont="1" applyFill="1" applyBorder="1"/>
    <xf numFmtId="2" fontId="6" fillId="0" borderId="5" xfId="3" applyNumberFormat="1" applyFont="1" applyBorder="1" applyAlignment="1">
      <alignment horizontal="center" vertical="justify" wrapText="1"/>
    </xf>
    <xf numFmtId="0" fontId="41" fillId="0" borderId="0" xfId="0" applyFont="1"/>
    <xf numFmtId="0" fontId="0" fillId="0" borderId="5" xfId="0" applyBorder="1" applyAlignment="1" applyProtection="1">
      <alignment horizontal="center"/>
      <protection locked="0"/>
    </xf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165" fontId="0" fillId="4" borderId="0" xfId="0" applyNumberFormat="1" applyFill="1"/>
    <xf numFmtId="165" fontId="14" fillId="4" borderId="0" xfId="3" applyNumberFormat="1" applyFont="1" applyFill="1" applyAlignment="1">
      <alignment horizontal="right"/>
    </xf>
    <xf numFmtId="165" fontId="12" fillId="4" borderId="0" xfId="3" applyNumberFormat="1" applyFont="1" applyFill="1"/>
    <xf numFmtId="165" fontId="6" fillId="4" borderId="0" xfId="3" applyNumberFormat="1" applyFont="1" applyFill="1"/>
    <xf numFmtId="165" fontId="14" fillId="2" borderId="5" xfId="3" applyNumberFormat="1" applyFont="1" applyFill="1" applyBorder="1" applyAlignment="1">
      <alignment horizontal="right"/>
    </xf>
    <xf numFmtId="165" fontId="15" fillId="4" borderId="7" xfId="3" applyNumberFormat="1" applyFont="1" applyFill="1" applyBorder="1"/>
    <xf numFmtId="165" fontId="4" fillId="4" borderId="0" xfId="3" applyNumberFormat="1" applyFill="1"/>
    <xf numFmtId="165" fontId="10" fillId="4" borderId="5" xfId="3" applyNumberFormat="1" applyFont="1" applyFill="1" applyBorder="1" applyAlignment="1">
      <alignment horizontal="right"/>
    </xf>
    <xf numFmtId="165" fontId="15" fillId="4" borderId="8" xfId="3" applyNumberFormat="1" applyFont="1" applyFill="1" applyBorder="1"/>
    <xf numFmtId="165" fontId="4" fillId="4" borderId="4" xfId="3" applyNumberFormat="1" applyFill="1" applyBorder="1"/>
    <xf numFmtId="0" fontId="4" fillId="4" borderId="0" xfId="0" applyFont="1" applyFill="1"/>
    <xf numFmtId="0" fontId="12" fillId="0" borderId="0" xfId="0" applyFont="1"/>
    <xf numFmtId="165" fontId="12" fillId="0" borderId="8" xfId="0" applyNumberFormat="1" applyFont="1" applyBorder="1"/>
    <xf numFmtId="0" fontId="12" fillId="0" borderId="4" xfId="0" applyFont="1" applyBorder="1"/>
    <xf numFmtId="165" fontId="12" fillId="2" borderId="5" xfId="3" applyNumberFormat="1" applyFont="1" applyFill="1" applyBorder="1" applyAlignment="1">
      <alignment horizontal="right"/>
    </xf>
    <xf numFmtId="0" fontId="4" fillId="9" borderId="0" xfId="0" applyFont="1" applyFill="1" applyAlignment="1">
      <alignment horizontal="right"/>
    </xf>
    <xf numFmtId="0" fontId="4" fillId="0" borderId="5" xfId="0" applyFont="1" applyBorder="1" applyProtection="1">
      <protection locked="0"/>
    </xf>
    <xf numFmtId="43" fontId="4" fillId="0" borderId="5" xfId="1" applyFont="1" applyBorder="1" applyProtection="1"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0" xfId="3"/>
    <xf numFmtId="167" fontId="49" fillId="0" borderId="0" xfId="0" applyNumberFormat="1" applyFont="1"/>
    <xf numFmtId="168" fontId="0" fillId="0" borderId="5" xfId="0" applyNumberFormat="1" applyBorder="1" applyAlignment="1" applyProtection="1">
      <alignment horizontal="center"/>
      <protection locked="0"/>
    </xf>
    <xf numFmtId="0" fontId="4" fillId="0" borderId="30" xfId="0" applyFont="1" applyBorder="1" applyProtection="1">
      <protection locked="0"/>
    </xf>
    <xf numFmtId="0" fontId="61" fillId="0" borderId="0" xfId="0" applyFont="1" applyAlignment="1">
      <alignment horizontal="center"/>
    </xf>
    <xf numFmtId="165" fontId="37" fillId="0" borderId="35" xfId="0" applyNumberFormat="1" applyFont="1" applyBorder="1"/>
    <xf numFmtId="43" fontId="0" fillId="0" borderId="0" xfId="0" applyNumberFormat="1"/>
    <xf numFmtId="49" fontId="49" fillId="0" borderId="0" xfId="0" applyNumberFormat="1" applyFont="1"/>
    <xf numFmtId="49" fontId="0" fillId="0" borderId="0" xfId="0" applyNumberFormat="1"/>
    <xf numFmtId="0" fontId="4" fillId="9" borderId="29" xfId="0" applyFont="1" applyFill="1" applyBorder="1" applyAlignment="1">
      <alignment horizontal="right"/>
    </xf>
    <xf numFmtId="0" fontId="4" fillId="9" borderId="29" xfId="0" applyFont="1" applyFill="1" applyBorder="1"/>
    <xf numFmtId="0" fontId="62" fillId="0" borderId="1" xfId="0" applyFont="1" applyBorder="1" applyAlignment="1">
      <alignment horizontal="right"/>
    </xf>
    <xf numFmtId="43" fontId="14" fillId="0" borderId="29" xfId="1" applyFont="1" applyBorder="1" applyAlignment="1">
      <alignment horizontal="right"/>
    </xf>
    <xf numFmtId="43" fontId="14" fillId="0" borderId="1" xfId="1" applyFont="1" applyBorder="1" applyAlignment="1">
      <alignment horizontal="right"/>
    </xf>
    <xf numFmtId="165" fontId="14" fillId="0" borderId="7" xfId="3" applyNumberFormat="1" applyFont="1" applyBorder="1"/>
    <xf numFmtId="165" fontId="14" fillId="0" borderId="0" xfId="3" applyNumberFormat="1" applyFont="1"/>
    <xf numFmtId="43" fontId="14" fillId="0" borderId="7" xfId="1" applyFont="1" applyBorder="1" applyProtection="1"/>
    <xf numFmtId="43" fontId="14" fillId="0" borderId="0" xfId="1" applyFont="1" applyBorder="1" applyProtection="1"/>
    <xf numFmtId="43" fontId="10" fillId="0" borderId="0" xfId="1" applyFont="1"/>
    <xf numFmtId="43" fontId="10" fillId="0" borderId="7" xfId="1" applyFont="1" applyBorder="1" applyProtection="1"/>
    <xf numFmtId="43" fontId="10" fillId="0" borderId="0" xfId="1" applyFont="1" applyBorder="1" applyProtection="1"/>
    <xf numFmtId="43" fontId="14" fillId="0" borderId="1" xfId="1" quotePrefix="1" applyFont="1" applyBorder="1" applyAlignment="1" applyProtection="1">
      <alignment horizontal="right"/>
    </xf>
    <xf numFmtId="165" fontId="14" fillId="0" borderId="29" xfId="3" applyNumberFormat="1" applyFont="1" applyBorder="1" applyAlignment="1">
      <alignment horizontal="right"/>
    </xf>
    <xf numFmtId="165" fontId="14" fillId="0" borderId="29" xfId="3" quotePrefix="1" applyNumberFormat="1" applyFont="1" applyBorder="1" applyAlignment="1">
      <alignment horizontal="right"/>
    </xf>
    <xf numFmtId="0" fontId="14" fillId="0" borderId="0" xfId="0" applyFont="1"/>
    <xf numFmtId="170" fontId="14" fillId="0" borderId="7" xfId="1" applyNumberFormat="1" applyFont="1" applyBorder="1" applyProtection="1"/>
    <xf numFmtId="170" fontId="14" fillId="0" borderId="7" xfId="1" applyNumberFormat="1" applyFont="1" applyBorder="1" applyAlignment="1" applyProtection="1">
      <alignment horizontal="left"/>
    </xf>
    <xf numFmtId="168" fontId="0" fillId="0" borderId="5" xfId="0" applyNumberFormat="1" applyBorder="1" applyAlignment="1" applyProtection="1">
      <alignment horizontal="left"/>
      <protection locked="0"/>
    </xf>
    <xf numFmtId="0" fontId="49" fillId="0" borderId="0" xfId="0" applyFont="1" applyAlignment="1">
      <alignment horizontal="left"/>
    </xf>
    <xf numFmtId="0" fontId="4" fillId="0" borderId="5" xfId="0" applyFon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5" fillId="0" borderId="5" xfId="0" applyFont="1" applyBorder="1"/>
    <xf numFmtId="0" fontId="31" fillId="0" borderId="5" xfId="0" applyFont="1" applyBorder="1" applyAlignment="1">
      <alignment horizontal="center"/>
    </xf>
    <xf numFmtId="165" fontId="31" fillId="0" borderId="5" xfId="0" applyNumberFormat="1" applyFont="1" applyBorder="1" applyAlignment="1">
      <alignment horizontal="center"/>
    </xf>
    <xf numFmtId="43" fontId="10" fillId="0" borderId="5" xfId="1" applyFont="1" applyBorder="1" applyAlignment="1">
      <alignment horizontal="center"/>
    </xf>
    <xf numFmtId="0" fontId="11" fillId="0" borderId="0" xfId="0" applyFont="1"/>
    <xf numFmtId="165" fontId="25" fillId="0" borderId="5" xfId="0" applyNumberFormat="1" applyFont="1" applyBorder="1" applyAlignment="1">
      <alignment horizontal="right"/>
    </xf>
    <xf numFmtId="165" fontId="29" fillId="0" borderId="5" xfId="0" applyNumberFormat="1" applyFont="1" applyBorder="1" applyAlignment="1">
      <alignment horizontal="right"/>
    </xf>
    <xf numFmtId="165" fontId="47" fillId="0" borderId="5" xfId="0" applyNumberFormat="1" applyFont="1" applyBorder="1" applyAlignment="1">
      <alignment horizontal="right"/>
    </xf>
    <xf numFmtId="43" fontId="47" fillId="0" borderId="5" xfId="0" applyNumberFormat="1" applyFont="1" applyBorder="1"/>
    <xf numFmtId="0" fontId="44" fillId="0" borderId="0" xfId="0" applyFont="1"/>
    <xf numFmtId="165" fontId="44" fillId="4" borderId="0" xfId="0" applyNumberFormat="1" applyFont="1" applyFill="1"/>
    <xf numFmtId="0" fontId="44" fillId="4" borderId="0" xfId="0" applyFont="1" applyFill="1"/>
    <xf numFmtId="165" fontId="54" fillId="4" borderId="0" xfId="3" applyNumberFormat="1" applyFont="1" applyFill="1" applyAlignment="1">
      <alignment horizontal="right"/>
    </xf>
    <xf numFmtId="43" fontId="65" fillId="0" borderId="38" xfId="1" applyFont="1" applyBorder="1"/>
    <xf numFmtId="43" fontId="64" fillId="0" borderId="38" xfId="0" applyNumberFormat="1" applyFont="1" applyBorder="1"/>
    <xf numFmtId="0" fontId="64" fillId="0" borderId="36" xfId="0" applyFont="1" applyBorder="1"/>
    <xf numFmtId="0" fontId="64" fillId="0" borderId="37" xfId="0" applyFont="1" applyBorder="1" applyAlignment="1">
      <alignment horizontal="center"/>
    </xf>
    <xf numFmtId="0" fontId="64" fillId="0" borderId="37" xfId="0" applyFont="1" applyBorder="1"/>
    <xf numFmtId="0" fontId="64" fillId="0" borderId="38" xfId="0" applyFont="1" applyBorder="1"/>
    <xf numFmtId="14" fontId="49" fillId="0" borderId="0" xfId="0" applyNumberFormat="1" applyFont="1"/>
    <xf numFmtId="14" fontId="5" fillId="0" borderId="5" xfId="0" applyNumberFormat="1" applyFont="1" applyBorder="1" applyAlignment="1">
      <alignment horizontal="center" wrapText="1"/>
    </xf>
    <xf numFmtId="14" fontId="4" fillId="0" borderId="5" xfId="0" applyNumberFormat="1" applyFont="1" applyBorder="1" applyAlignment="1" applyProtection="1">
      <alignment horizontal="center"/>
      <protection locked="0"/>
    </xf>
    <xf numFmtId="14" fontId="4" fillId="0" borderId="0" xfId="0" applyNumberFormat="1" applyFont="1"/>
    <xf numFmtId="14" fontId="0" fillId="0" borderId="5" xfId="0" applyNumberFormat="1" applyBorder="1" applyAlignment="1" applyProtection="1">
      <alignment horizontal="center"/>
      <protection locked="0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0" xfId="1" applyNumberFormat="1" applyFont="1"/>
    <xf numFmtId="165" fontId="4" fillId="0" borderId="0" xfId="0" applyNumberFormat="1" applyFont="1"/>
    <xf numFmtId="0" fontId="67" fillId="0" borderId="0" xfId="0" applyFont="1" applyAlignment="1">
      <alignment horizontal="left"/>
    </xf>
    <xf numFmtId="165" fontId="24" fillId="0" borderId="0" xfId="0" applyNumberFormat="1" applyFont="1"/>
    <xf numFmtId="43" fontId="24" fillId="0" borderId="0" xfId="0" applyNumberFormat="1" applyFont="1"/>
    <xf numFmtId="165" fontId="8" fillId="0" borderId="0" xfId="0" applyNumberFormat="1" applyFont="1"/>
    <xf numFmtId="43" fontId="8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 applyAlignment="1">
      <alignment horizontal="left"/>
    </xf>
    <xf numFmtId="0" fontId="71" fillId="0" borderId="0" xfId="0" applyFont="1" applyAlignment="1">
      <alignment horizontal="left" vertical="center"/>
    </xf>
    <xf numFmtId="43" fontId="15" fillId="0" borderId="7" xfId="1" applyFont="1" applyBorder="1" applyAlignment="1" applyProtection="1"/>
    <xf numFmtId="43" fontId="0" fillId="0" borderId="0" xfId="1" applyFont="1" applyBorder="1" applyAlignment="1"/>
    <xf numFmtId="43" fontId="4" fillId="4" borderId="5" xfId="1" applyFont="1" applyFill="1" applyBorder="1" applyProtection="1">
      <protection locked="0"/>
    </xf>
    <xf numFmtId="43" fontId="4" fillId="0" borderId="5" xfId="14" applyFont="1" applyFill="1" applyBorder="1" applyProtection="1">
      <protection locked="0"/>
    </xf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horizontal="center" wrapText="1"/>
    </xf>
    <xf numFmtId="43" fontId="4" fillId="0" borderId="5" xfId="14" applyFont="1" applyBorder="1" applyProtection="1">
      <protection locked="0"/>
    </xf>
    <xf numFmtId="43" fontId="4" fillId="4" borderId="5" xfId="14" applyFont="1" applyFill="1" applyBorder="1" applyProtection="1">
      <protection locked="0"/>
    </xf>
    <xf numFmtId="0" fontId="41" fillId="4" borderId="0" xfId="3" applyFont="1" applyFill="1" applyAlignment="1" applyProtection="1">
      <alignment horizontal="left"/>
      <protection locked="0"/>
    </xf>
    <xf numFmtId="0" fontId="33" fillId="4" borderId="0" xfId="3" applyFont="1" applyFill="1" applyAlignment="1" applyProtection="1">
      <alignment horizontal="left"/>
      <protection locked="0"/>
    </xf>
    <xf numFmtId="43" fontId="0" fillId="0" borderId="5" xfId="1" applyFont="1" applyBorder="1" applyProtection="1">
      <protection locked="0"/>
    </xf>
    <xf numFmtId="43" fontId="0" fillId="0" borderId="31" xfId="1" applyFont="1" applyBorder="1" applyProtection="1">
      <protection locked="0"/>
    </xf>
    <xf numFmtId="43" fontId="0" fillId="0" borderId="20" xfId="1" applyFont="1" applyBorder="1" applyProtection="1">
      <protection locked="0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4" fontId="0" fillId="13" borderId="5" xfId="3" applyNumberFormat="1" applyFont="1" applyFill="1" applyBorder="1" applyAlignment="1" applyProtection="1">
      <alignment horizontal="right"/>
      <protection locked="0"/>
    </xf>
    <xf numFmtId="4" fontId="0" fillId="8" borderId="5" xfId="3" applyNumberFormat="1" applyFont="1" applyFill="1" applyBorder="1" applyAlignment="1" applyProtection="1">
      <alignment horizontal="right"/>
      <protection locked="0"/>
    </xf>
    <xf numFmtId="4" fontId="0" fillId="5" borderId="5" xfId="3" applyNumberFormat="1" applyFont="1" applyFill="1" applyBorder="1" applyAlignment="1">
      <alignment horizontal="right"/>
    </xf>
    <xf numFmtId="165" fontId="12" fillId="0" borderId="1" xfId="3" quotePrefix="1" applyNumberFormat="1" applyFont="1" applyBorder="1" applyAlignment="1">
      <alignment horizontal="left"/>
    </xf>
    <xf numFmtId="0" fontId="0" fillId="0" borderId="13" xfId="0" applyBorder="1"/>
    <xf numFmtId="0" fontId="4" fillId="0" borderId="12" xfId="0" applyFont="1" applyBorder="1"/>
    <xf numFmtId="0" fontId="4" fillId="0" borderId="9" xfId="0" applyFont="1" applyBorder="1"/>
    <xf numFmtId="0" fontId="33" fillId="4" borderId="0" xfId="0" applyFont="1" applyFill="1"/>
    <xf numFmtId="0" fontId="66" fillId="0" borderId="0" xfId="0" applyFont="1"/>
    <xf numFmtId="0" fontId="12" fillId="0" borderId="1" xfId="3" quotePrefix="1" applyFont="1" applyBorder="1" applyAlignment="1">
      <alignment horizontal="right"/>
    </xf>
    <xf numFmtId="165" fontId="14" fillId="0" borderId="1" xfId="3" applyNumberFormat="1" applyFont="1" applyBorder="1" applyAlignment="1">
      <alignment horizontal="right"/>
    </xf>
    <xf numFmtId="165" fontId="35" fillId="0" borderId="1" xfId="3" applyNumberFormat="1" applyFont="1" applyBorder="1"/>
    <xf numFmtId="165" fontId="5" fillId="0" borderId="4" xfId="3" applyNumberFormat="1" applyFont="1" applyBorder="1"/>
    <xf numFmtId="165" fontId="15" fillId="4" borderId="0" xfId="3" applyNumberFormat="1" applyFont="1" applyFill="1"/>
    <xf numFmtId="165" fontId="4" fillId="0" borderId="1" xfId="3" applyNumberFormat="1" applyBorder="1" applyAlignment="1">
      <alignment horizontal="right"/>
    </xf>
    <xf numFmtId="165" fontId="4" fillId="0" borderId="0" xfId="3" applyNumberFormat="1"/>
    <xf numFmtId="165" fontId="0" fillId="4" borderId="0" xfId="3" applyNumberFormat="1" applyFont="1" applyFill="1"/>
    <xf numFmtId="0" fontId="4" fillId="0" borderId="0" xfId="0" applyFont="1" applyAlignment="1">
      <alignment horizontal="right"/>
    </xf>
    <xf numFmtId="165" fontId="19" fillId="0" borderId="32" xfId="3" applyNumberFormat="1" applyFont="1" applyBorder="1" applyAlignment="1">
      <alignment horizontal="right" wrapText="1"/>
    </xf>
    <xf numFmtId="165" fontId="19" fillId="0" borderId="33" xfId="3" applyNumberFormat="1" applyFont="1" applyBorder="1" applyAlignment="1">
      <alignment horizontal="right" wrapText="1"/>
    </xf>
    <xf numFmtId="165" fontId="19" fillId="0" borderId="34" xfId="3" applyNumberFormat="1" applyFont="1" applyBorder="1" applyAlignment="1">
      <alignment horizontal="right" wrapText="1"/>
    </xf>
    <xf numFmtId="165" fontId="6" fillId="0" borderId="13" xfId="3" applyNumberFormat="1" applyFont="1" applyBorder="1" applyAlignment="1">
      <alignment horizontal="right"/>
    </xf>
    <xf numFmtId="164" fontId="6" fillId="0" borderId="0" xfId="3" applyNumberFormat="1" applyFont="1"/>
    <xf numFmtId="165" fontId="18" fillId="0" borderId="13" xfId="3" applyNumberFormat="1" applyFont="1" applyBorder="1" applyAlignment="1">
      <alignment horizontal="right"/>
    </xf>
    <xf numFmtId="165" fontId="35" fillId="0" borderId="0" xfId="3" applyNumberFormat="1" applyFont="1"/>
    <xf numFmtId="165" fontId="35" fillId="4" borderId="13" xfId="3" applyNumberFormat="1" applyFont="1" applyFill="1" applyBorder="1" applyAlignment="1">
      <alignment horizontal="right"/>
    </xf>
    <xf numFmtId="0" fontId="55" fillId="9" borderId="16" xfId="0" applyFont="1" applyFill="1" applyBorder="1"/>
    <xf numFmtId="165" fontId="60" fillId="9" borderId="29" xfId="3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165" fontId="12" fillId="0" borderId="12" xfId="3" applyNumberFormat="1" applyFont="1" applyBorder="1"/>
    <xf numFmtId="0" fontId="5" fillId="0" borderId="0" xfId="0" applyFont="1" applyAlignment="1">
      <alignment horizontal="right"/>
    </xf>
    <xf numFmtId="0" fontId="5" fillId="0" borderId="15" xfId="0" applyFont="1" applyBorder="1"/>
    <xf numFmtId="0" fontId="5" fillId="0" borderId="16" xfId="0" applyFont="1" applyBorder="1"/>
    <xf numFmtId="0" fontId="5" fillId="0" borderId="16" xfId="0" applyFon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3" xfId="0" applyBorder="1" applyAlignment="1">
      <alignment wrapText="1"/>
    </xf>
    <xf numFmtId="165" fontId="5" fillId="0" borderId="13" xfId="3" applyNumberFormat="1" applyFont="1" applyBorder="1" applyAlignment="1">
      <alignment horizontal="right" wrapText="1"/>
    </xf>
    <xf numFmtId="165" fontId="12" fillId="0" borderId="13" xfId="3" quotePrefix="1" applyNumberFormat="1" applyFont="1" applyBorder="1" applyAlignment="1">
      <alignment horizontal="right"/>
    </xf>
    <xf numFmtId="165" fontId="13" fillId="0" borderId="13" xfId="3" applyNumberFormat="1" applyFont="1" applyBorder="1" applyAlignment="1">
      <alignment horizontal="right"/>
    </xf>
    <xf numFmtId="165" fontId="4" fillId="0" borderId="13" xfId="3" applyNumberFormat="1" applyBorder="1"/>
    <xf numFmtId="165" fontId="17" fillId="0" borderId="13" xfId="3" applyNumberFormat="1" applyFont="1" applyBorder="1"/>
    <xf numFmtId="0" fontId="0" fillId="0" borderId="13" xfId="0" applyBorder="1" applyAlignment="1">
      <alignment horizontal="right"/>
    </xf>
    <xf numFmtId="43" fontId="7" fillId="0" borderId="13" xfId="1" applyFont="1" applyBorder="1" applyAlignment="1" applyProtection="1">
      <alignment horizontal="right"/>
    </xf>
    <xf numFmtId="0" fontId="0" fillId="0" borderId="17" xfId="0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43" fontId="77" fillId="0" borderId="29" xfId="0" applyNumberFormat="1" applyFont="1" applyBorder="1"/>
    <xf numFmtId="0" fontId="37" fillId="0" borderId="31" xfId="0" applyFont="1" applyBorder="1" applyAlignment="1">
      <alignment horizontal="right"/>
    </xf>
    <xf numFmtId="0" fontId="17" fillId="0" borderId="0" xfId="0" applyFont="1"/>
    <xf numFmtId="0" fontId="37" fillId="0" borderId="0" xfId="0" applyFont="1" applyAlignment="1">
      <alignment horizontal="right"/>
    </xf>
    <xf numFmtId="43" fontId="77" fillId="0" borderId="0" xfId="0" applyNumberFormat="1" applyFont="1"/>
    <xf numFmtId="165" fontId="14" fillId="0" borderId="0" xfId="0" applyNumberFormat="1" applyFont="1"/>
    <xf numFmtId="43" fontId="14" fillId="0" borderId="39" xfId="0" applyNumberFormat="1" applyFont="1" applyBorder="1"/>
    <xf numFmtId="0" fontId="9" fillId="0" borderId="36" xfId="0" applyFont="1" applyBorder="1"/>
    <xf numFmtId="0" fontId="9" fillId="0" borderId="37" xfId="0" applyFont="1" applyBorder="1" applyAlignment="1">
      <alignment horizontal="right"/>
    </xf>
    <xf numFmtId="0" fontId="9" fillId="0" borderId="38" xfId="0" applyFont="1" applyBorder="1"/>
    <xf numFmtId="43" fontId="49" fillId="0" borderId="0" xfId="1" applyFont="1"/>
    <xf numFmtId="43" fontId="67" fillId="0" borderId="0" xfId="1" applyFont="1" applyAlignment="1">
      <alignment horizontal="left"/>
    </xf>
    <xf numFmtId="43" fontId="14" fillId="0" borderId="39" xfId="1" applyFont="1" applyBorder="1"/>
    <xf numFmtId="43" fontId="78" fillId="0" borderId="29" xfId="1" applyFont="1" applyBorder="1"/>
    <xf numFmtId="43" fontId="30" fillId="0" borderId="0" xfId="1" applyFont="1"/>
    <xf numFmtId="43" fontId="79" fillId="0" borderId="0" xfId="1" applyFont="1"/>
    <xf numFmtId="43" fontId="80" fillId="0" borderId="0" xfId="1" applyFont="1"/>
    <xf numFmtId="4" fontId="4" fillId="0" borderId="0" xfId="0" applyNumberFormat="1" applyFont="1"/>
    <xf numFmtId="165" fontId="19" fillId="0" borderId="41" xfId="3" applyNumberFormat="1" applyFont="1" applyBorder="1" applyAlignment="1">
      <alignment horizontal="center" wrapText="1"/>
    </xf>
    <xf numFmtId="165" fontId="19" fillId="0" borderId="5" xfId="3" applyNumberFormat="1" applyFont="1" applyBorder="1" applyAlignment="1">
      <alignment horizontal="center" wrapText="1"/>
    </xf>
    <xf numFmtId="0" fontId="19" fillId="0" borderId="5" xfId="0" applyFont="1" applyBorder="1" applyAlignment="1">
      <alignment horizontal="center"/>
    </xf>
    <xf numFmtId="0" fontId="0" fillId="0" borderId="44" xfId="0" applyBorder="1"/>
    <xf numFmtId="165" fontId="19" fillId="0" borderId="18" xfId="3" applyNumberFormat="1" applyFont="1" applyBorder="1" applyAlignment="1">
      <alignment horizontal="center" wrapText="1"/>
    </xf>
    <xf numFmtId="0" fontId="19" fillId="0" borderId="14" xfId="0" applyFont="1" applyBorder="1"/>
    <xf numFmtId="43" fontId="4" fillId="0" borderId="0" xfId="1" applyFont="1"/>
    <xf numFmtId="43" fontId="9" fillId="0" borderId="0" xfId="1" applyFont="1"/>
    <xf numFmtId="43" fontId="37" fillId="0" borderId="39" xfId="1" applyFont="1" applyBorder="1"/>
    <xf numFmtId="165" fontId="30" fillId="0" borderId="5" xfId="0" applyNumberFormat="1" applyFont="1" applyBorder="1"/>
    <xf numFmtId="9" fontId="0" fillId="10" borderId="0" xfId="0" applyNumberFormat="1" applyFill="1"/>
    <xf numFmtId="165" fontId="43" fillId="0" borderId="9" xfId="3" applyNumberFormat="1" applyFont="1" applyBorder="1" applyAlignment="1">
      <alignment horizontal="left"/>
    </xf>
    <xf numFmtId="0" fontId="44" fillId="0" borderId="10" xfId="0" applyFont="1" applyBorder="1" applyAlignment="1">
      <alignment horizontal="left"/>
    </xf>
    <xf numFmtId="165" fontId="35" fillId="0" borderId="12" xfId="3" applyNumberFormat="1" applyFont="1" applyBorder="1"/>
    <xf numFmtId="165" fontId="60" fillId="9" borderId="15" xfId="3" applyNumberFormat="1" applyFont="1" applyFill="1" applyBorder="1"/>
    <xf numFmtId="43" fontId="37" fillId="0" borderId="27" xfId="1" applyFont="1" applyBorder="1"/>
    <xf numFmtId="43" fontId="37" fillId="0" borderId="35" xfId="1" applyFont="1" applyBorder="1"/>
    <xf numFmtId="43" fontId="37" fillId="0" borderId="28" xfId="1" applyFont="1" applyBorder="1"/>
    <xf numFmtId="0" fontId="75" fillId="19" borderId="27" xfId="0" applyFont="1" applyFill="1" applyBorder="1"/>
    <xf numFmtId="0" fontId="75" fillId="19" borderId="28" xfId="0" applyFont="1" applyFill="1" applyBorder="1"/>
    <xf numFmtId="0" fontId="82" fillId="0" borderId="0" xfId="0" applyFont="1" applyAlignment="1">
      <alignment horizontal="center"/>
    </xf>
    <xf numFmtId="0" fontId="83" fillId="0" borderId="0" xfId="0" applyFont="1"/>
    <xf numFmtId="0" fontId="5" fillId="0" borderId="36" xfId="0" applyFont="1" applyBorder="1"/>
    <xf numFmtId="165" fontId="19" fillId="0" borderId="36" xfId="3" applyNumberFormat="1" applyFont="1" applyBorder="1"/>
    <xf numFmtId="165" fontId="19" fillId="0" borderId="42" xfId="3" applyNumberFormat="1" applyFont="1" applyBorder="1" applyAlignment="1">
      <alignment horizontal="center" wrapText="1"/>
    </xf>
    <xf numFmtId="165" fontId="19" fillId="0" borderId="43" xfId="3" applyNumberFormat="1" applyFont="1" applyBorder="1" applyAlignment="1">
      <alignment horizontal="center" wrapText="1"/>
    </xf>
    <xf numFmtId="0" fontId="19" fillId="0" borderId="43" xfId="0" applyFont="1" applyBorder="1" applyAlignment="1">
      <alignment horizontal="center"/>
    </xf>
    <xf numFmtId="0" fontId="15" fillId="0" borderId="23" xfId="0" applyFont="1" applyBorder="1"/>
    <xf numFmtId="0" fontId="15" fillId="0" borderId="18" xfId="0" applyFont="1" applyBorder="1"/>
    <xf numFmtId="0" fontId="15" fillId="0" borderId="19" xfId="0" applyFont="1" applyBorder="1"/>
    <xf numFmtId="0" fontId="0" fillId="0" borderId="48" xfId="0" applyBorder="1" applyAlignment="1">
      <alignment horizontal="left"/>
    </xf>
    <xf numFmtId="43" fontId="33" fillId="0" borderId="0" xfId="0" applyNumberFormat="1" applyFont="1" applyProtection="1">
      <protection locked="0"/>
    </xf>
    <xf numFmtId="43" fontId="33" fillId="0" borderId="16" xfId="0" applyNumberFormat="1" applyFont="1" applyBorder="1" applyProtection="1">
      <protection locked="0"/>
    </xf>
    <xf numFmtId="165" fontId="12" fillId="0" borderId="0" xfId="0" applyNumberFormat="1" applyFont="1"/>
    <xf numFmtId="165" fontId="12" fillId="4" borderId="0" xfId="3" applyNumberFormat="1" applyFont="1" applyFill="1" applyAlignment="1">
      <alignment horizontal="right"/>
    </xf>
    <xf numFmtId="0" fontId="12" fillId="4" borderId="0" xfId="0" applyFont="1" applyFill="1"/>
    <xf numFmtId="165" fontId="12" fillId="4" borderId="0" xfId="0" applyNumberFormat="1" applyFont="1" applyFill="1"/>
    <xf numFmtId="0" fontId="0" fillId="0" borderId="21" xfId="0" applyBorder="1" applyAlignment="1" applyProtection="1">
      <alignment horizontal="left"/>
      <protection locked="0"/>
    </xf>
    <xf numFmtId="0" fontId="0" fillId="0" borderId="26" xfId="0" applyBorder="1" applyAlignment="1" applyProtection="1">
      <alignment horizontal="left"/>
      <protection locked="0"/>
    </xf>
    <xf numFmtId="0" fontId="0" fillId="0" borderId="25" xfId="0" applyBorder="1" applyAlignment="1" applyProtection="1">
      <alignment horizontal="left"/>
      <protection locked="0"/>
    </xf>
    <xf numFmtId="0" fontId="0" fillId="0" borderId="49" xfId="0" applyBorder="1" applyAlignment="1">
      <alignment horizontal="left"/>
    </xf>
    <xf numFmtId="0" fontId="9" fillId="0" borderId="0" xfId="0" applyFont="1" applyAlignment="1">
      <alignment horizontal="right"/>
    </xf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31" xfId="0" applyFont="1" applyBorder="1" applyAlignment="1">
      <alignment horizontal="center"/>
    </xf>
    <xf numFmtId="43" fontId="84" fillId="4" borderId="0" xfId="0" applyNumberFormat="1" applyFont="1" applyFill="1"/>
    <xf numFmtId="169" fontId="4" fillId="0" borderId="0" xfId="1" applyNumberFormat="1"/>
    <xf numFmtId="169" fontId="0" fillId="0" borderId="0" xfId="1" applyNumberFormat="1" applyFont="1"/>
    <xf numFmtId="169" fontId="0" fillId="0" borderId="0" xfId="0" applyNumberFormat="1"/>
    <xf numFmtId="43" fontId="0" fillId="0" borderId="0" xfId="0" applyNumberFormat="1" applyAlignment="1">
      <alignment horizontal="right"/>
    </xf>
    <xf numFmtId="169" fontId="31" fillId="14" borderId="5" xfId="1" applyNumberFormat="1" applyFont="1" applyFill="1" applyBorder="1" applyAlignment="1">
      <alignment horizontal="right"/>
    </xf>
    <xf numFmtId="9" fontId="31" fillId="14" borderId="5" xfId="21" applyFont="1" applyFill="1" applyBorder="1"/>
    <xf numFmtId="0" fontId="91" fillId="14" borderId="36" xfId="0" applyFont="1" applyFill="1" applyBorder="1"/>
    <xf numFmtId="0" fontId="90" fillId="14" borderId="37" xfId="0" applyFont="1" applyFill="1" applyBorder="1" applyAlignment="1">
      <alignment horizontal="left"/>
    </xf>
    <xf numFmtId="0" fontId="90" fillId="14" borderId="37" xfId="0" applyFont="1" applyFill="1" applyBorder="1"/>
    <xf numFmtId="14" fontId="90" fillId="14" borderId="38" xfId="0" applyNumberFormat="1" applyFont="1" applyFill="1" applyBorder="1"/>
    <xf numFmtId="169" fontId="31" fillId="14" borderId="42" xfId="1" applyNumberFormat="1" applyFont="1" applyFill="1" applyBorder="1" applyAlignment="1">
      <alignment horizontal="right"/>
    </xf>
    <xf numFmtId="169" fontId="31" fillId="14" borderId="43" xfId="1" applyNumberFormat="1" applyFont="1" applyFill="1" applyBorder="1" applyAlignment="1">
      <alignment horizontal="right"/>
    </xf>
    <xf numFmtId="9" fontId="31" fillId="14" borderId="43" xfId="21" applyFont="1" applyFill="1" applyBorder="1"/>
    <xf numFmtId="0" fontId="31" fillId="14" borderId="44" xfId="0" applyFont="1" applyFill="1" applyBorder="1"/>
    <xf numFmtId="169" fontId="31" fillId="14" borderId="18" xfId="1" applyNumberFormat="1" applyFont="1" applyFill="1" applyBorder="1" applyAlignment="1">
      <alignment horizontal="right"/>
    </xf>
    <xf numFmtId="0" fontId="31" fillId="14" borderId="14" xfId="0" applyFont="1" applyFill="1" applyBorder="1"/>
    <xf numFmtId="169" fontId="31" fillId="14" borderId="19" xfId="1" applyNumberFormat="1" applyFont="1" applyFill="1" applyBorder="1" applyAlignment="1">
      <alignment horizontal="right"/>
    </xf>
    <xf numFmtId="169" fontId="31" fillId="14" borderId="20" xfId="1" applyNumberFormat="1" applyFont="1" applyFill="1" applyBorder="1" applyAlignment="1">
      <alignment horizontal="right"/>
    </xf>
    <xf numFmtId="9" fontId="31" fillId="14" borderId="20" xfId="21" applyFont="1" applyFill="1" applyBorder="1"/>
    <xf numFmtId="0" fontId="31" fillId="14" borderId="40" xfId="0" applyFont="1" applyFill="1" applyBorder="1"/>
    <xf numFmtId="43" fontId="4" fillId="0" borderId="0" xfId="0" applyNumberFormat="1" applyFont="1"/>
    <xf numFmtId="165" fontId="0" fillId="14" borderId="0" xfId="0" applyNumberFormat="1" applyFill="1"/>
    <xf numFmtId="165" fontId="4" fillId="14" borderId="18" xfId="0" applyNumberFormat="1" applyFont="1" applyFill="1" applyBorder="1"/>
    <xf numFmtId="43" fontId="0" fillId="14" borderId="5" xfId="1" applyFont="1" applyFill="1" applyBorder="1" applyProtection="1"/>
    <xf numFmtId="165" fontId="0" fillId="6" borderId="0" xfId="0" applyNumberFormat="1" applyFill="1"/>
    <xf numFmtId="165" fontId="4" fillId="6" borderId="18" xfId="0" applyNumberFormat="1" applyFont="1" applyFill="1" applyBorder="1"/>
    <xf numFmtId="43" fontId="0" fillId="6" borderId="5" xfId="1" applyFont="1" applyFill="1" applyBorder="1" applyProtection="1"/>
    <xf numFmtId="165" fontId="0" fillId="6" borderId="5" xfId="0" applyNumberFormat="1" applyFill="1" applyBorder="1" applyAlignment="1">
      <alignment horizontal="right"/>
    </xf>
    <xf numFmtId="4" fontId="0" fillId="6" borderId="14" xfId="0" applyNumberFormat="1" applyFill="1" applyBorder="1"/>
    <xf numFmtId="165" fontId="0" fillId="10" borderId="0" xfId="0" applyNumberFormat="1" applyFill="1"/>
    <xf numFmtId="165" fontId="0" fillId="10" borderId="18" xfId="0" applyNumberFormat="1" applyFill="1" applyBorder="1"/>
    <xf numFmtId="43" fontId="0" fillId="10" borderId="5" xfId="1" applyFont="1" applyFill="1" applyBorder="1" applyProtection="1"/>
    <xf numFmtId="165" fontId="0" fillId="10" borderId="5" xfId="0" applyNumberFormat="1" applyFill="1" applyBorder="1" applyAlignment="1">
      <alignment horizontal="right"/>
    </xf>
    <xf numFmtId="4" fontId="0" fillId="10" borderId="14" xfId="0" applyNumberFormat="1" applyFill="1" applyBorder="1"/>
    <xf numFmtId="165" fontId="0" fillId="14" borderId="5" xfId="0" applyNumberFormat="1" applyFill="1" applyBorder="1" applyAlignment="1">
      <alignment horizontal="right"/>
    </xf>
    <xf numFmtId="4" fontId="0" fillId="14" borderId="14" xfId="0" applyNumberFormat="1" applyFill="1" applyBorder="1"/>
    <xf numFmtId="165" fontId="0" fillId="20" borderId="0" xfId="0" applyNumberFormat="1" applyFill="1"/>
    <xf numFmtId="165" fontId="4" fillId="20" borderId="18" xfId="0" applyNumberFormat="1" applyFont="1" applyFill="1" applyBorder="1"/>
    <xf numFmtId="43" fontId="0" fillId="20" borderId="5" xfId="1" applyFont="1" applyFill="1" applyBorder="1" applyProtection="1"/>
    <xf numFmtId="165" fontId="0" fillId="20" borderId="5" xfId="0" applyNumberFormat="1" applyFill="1" applyBorder="1" applyAlignment="1">
      <alignment horizontal="right"/>
    </xf>
    <xf numFmtId="4" fontId="0" fillId="20" borderId="14" xfId="0" applyNumberFormat="1" applyFill="1" applyBorder="1"/>
    <xf numFmtId="165" fontId="0" fillId="21" borderId="0" xfId="0" applyNumberFormat="1" applyFill="1"/>
    <xf numFmtId="165" fontId="4" fillId="21" borderId="18" xfId="0" applyNumberFormat="1" applyFont="1" applyFill="1" applyBorder="1"/>
    <xf numFmtId="43" fontId="0" fillId="21" borderId="5" xfId="1" applyFont="1" applyFill="1" applyBorder="1" applyProtection="1"/>
    <xf numFmtId="165" fontId="0" fillId="21" borderId="5" xfId="0" applyNumberFormat="1" applyFill="1" applyBorder="1" applyAlignment="1">
      <alignment horizontal="right"/>
    </xf>
    <xf numFmtId="4" fontId="0" fillId="21" borderId="14" xfId="0" applyNumberFormat="1" applyFill="1" applyBorder="1"/>
    <xf numFmtId="43" fontId="0" fillId="21" borderId="20" xfId="1" applyFont="1" applyFill="1" applyBorder="1" applyProtection="1"/>
    <xf numFmtId="165" fontId="0" fillId="21" borderId="20" xfId="0" applyNumberFormat="1" applyFill="1" applyBorder="1" applyAlignment="1">
      <alignment horizontal="right"/>
    </xf>
    <xf numFmtId="4" fontId="0" fillId="21" borderId="40" xfId="0" applyNumberFormat="1" applyFill="1" applyBorder="1"/>
    <xf numFmtId="0" fontId="65" fillId="0" borderId="9" xfId="0" applyFont="1" applyBorder="1"/>
    <xf numFmtId="0" fontId="65" fillId="0" borderId="12" xfId="0" applyFont="1" applyBorder="1"/>
    <xf numFmtId="0" fontId="85" fillId="0" borderId="21" xfId="0" applyFont="1" applyBorder="1"/>
    <xf numFmtId="0" fontId="0" fillId="0" borderId="25" xfId="0" applyBorder="1"/>
    <xf numFmtId="43" fontId="85" fillId="0" borderId="50" xfId="0" applyNumberFormat="1" applyFont="1" applyBorder="1"/>
    <xf numFmtId="0" fontId="0" fillId="0" borderId="6" xfId="0" applyBorder="1"/>
    <xf numFmtId="0" fontId="44" fillId="0" borderId="2" xfId="0" applyFont="1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right"/>
    </xf>
    <xf numFmtId="165" fontId="43" fillId="0" borderId="51" xfId="3" applyNumberFormat="1" applyFont="1" applyBorder="1" applyAlignment="1">
      <alignment horizontal="left"/>
    </xf>
    <xf numFmtId="165" fontId="16" fillId="0" borderId="0" xfId="3" applyNumberFormat="1" applyFont="1" applyAlignment="1">
      <alignment wrapText="1"/>
    </xf>
    <xf numFmtId="165" fontId="16" fillId="0" borderId="1" xfId="3" applyNumberFormat="1" applyFont="1" applyBorder="1" applyAlignment="1">
      <alignment wrapText="1"/>
    </xf>
    <xf numFmtId="165" fontId="5" fillId="0" borderId="1" xfId="3" applyNumberFormat="1" applyFont="1" applyBorder="1" applyAlignment="1">
      <alignment horizontal="right" wrapText="1"/>
    </xf>
    <xf numFmtId="169" fontId="12" fillId="0" borderId="1" xfId="1" quotePrefix="1" applyNumberFormat="1" applyFont="1" applyBorder="1" applyAlignment="1" applyProtection="1">
      <alignment horizontal="right"/>
    </xf>
    <xf numFmtId="165" fontId="4" fillId="0" borderId="1" xfId="3" applyNumberFormat="1" applyBorder="1"/>
    <xf numFmtId="43" fontId="7" fillId="0" borderId="1" xfId="1" applyFont="1" applyBorder="1" applyAlignment="1" applyProtection="1">
      <alignment horizontal="right"/>
    </xf>
    <xf numFmtId="0" fontId="0" fillId="0" borderId="7" xfId="0" applyBorder="1"/>
    <xf numFmtId="0" fontId="0" fillId="0" borderId="1" xfId="0" applyBorder="1"/>
    <xf numFmtId="0" fontId="5" fillId="0" borderId="8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0" fillId="0" borderId="52" xfId="0" applyBorder="1" applyAlignment="1">
      <alignment horizontal="right"/>
    </xf>
    <xf numFmtId="165" fontId="0" fillId="0" borderId="9" xfId="0" applyNumberFormat="1" applyBorder="1"/>
    <xf numFmtId="165" fontId="12" fillId="0" borderId="13" xfId="3" applyNumberFormat="1" applyFont="1" applyBorder="1" applyAlignment="1">
      <alignment horizontal="right" wrapText="1"/>
    </xf>
    <xf numFmtId="165" fontId="12" fillId="16" borderId="13" xfId="3" applyNumberFormat="1" applyFont="1" applyFill="1" applyBorder="1" applyAlignment="1">
      <alignment horizontal="right" wrapText="1"/>
    </xf>
    <xf numFmtId="165" fontId="93" fillId="0" borderId="13" xfId="3" applyNumberFormat="1" applyFont="1" applyBorder="1" applyAlignment="1">
      <alignment horizontal="right"/>
    </xf>
    <xf numFmtId="14" fontId="12" fillId="0" borderId="13" xfId="3" applyNumberFormat="1" applyFont="1" applyBorder="1" applyAlignment="1">
      <alignment horizontal="right" wrapText="1"/>
    </xf>
    <xf numFmtId="0" fontId="49" fillId="0" borderId="0" xfId="0" applyFont="1" applyAlignment="1">
      <alignment horizontal="center"/>
    </xf>
    <xf numFmtId="14" fontId="49" fillId="0" borderId="0" xfId="0" applyNumberFormat="1" applyFont="1" applyAlignment="1">
      <alignment horizontal="center"/>
    </xf>
    <xf numFmtId="0" fontId="88" fillId="0" borderId="0" xfId="0" applyFont="1" applyAlignment="1">
      <alignment horizontal="center"/>
    </xf>
    <xf numFmtId="0" fontId="94" fillId="0" borderId="0" xfId="0" applyFont="1"/>
    <xf numFmtId="0" fontId="95" fillId="0" borderId="0" xfId="0" applyFont="1"/>
    <xf numFmtId="43" fontId="84" fillId="0" borderId="0" xfId="0" applyNumberFormat="1" applyFont="1"/>
    <xf numFmtId="43" fontId="65" fillId="0" borderId="39" xfId="0" applyNumberFormat="1" applyFont="1" applyBorder="1"/>
    <xf numFmtId="43" fontId="65" fillId="0" borderId="5" xfId="1" applyFont="1" applyBorder="1"/>
    <xf numFmtId="0" fontId="65" fillId="0" borderId="0" xfId="0" applyFont="1"/>
    <xf numFmtId="0" fontId="98" fillId="0" borderId="0" xfId="0" applyFont="1"/>
    <xf numFmtId="165" fontId="5" fillId="0" borderId="0" xfId="0" applyNumberFormat="1" applyFont="1"/>
    <xf numFmtId="40" fontId="0" fillId="0" borderId="0" xfId="0" applyNumberFormat="1"/>
    <xf numFmtId="40" fontId="7" fillId="0" borderId="0" xfId="0" applyNumberFormat="1" applyFont="1"/>
    <xf numFmtId="2" fontId="6" fillId="0" borderId="24" xfId="1" applyNumberFormat="1" applyFont="1" applyBorder="1" applyAlignment="1" applyProtection="1">
      <alignment horizontal="right"/>
      <protection locked="0"/>
    </xf>
    <xf numFmtId="2" fontId="6" fillId="0" borderId="24" xfId="1" applyNumberFormat="1" applyFont="1" applyBorder="1" applyProtection="1">
      <protection locked="0"/>
    </xf>
    <xf numFmtId="2" fontId="6" fillId="0" borderId="5" xfId="1" applyNumberFormat="1" applyFont="1" applyBorder="1" applyProtection="1">
      <protection locked="0"/>
    </xf>
    <xf numFmtId="2" fontId="6" fillId="0" borderId="5" xfId="1" applyNumberFormat="1" applyFont="1" applyBorder="1" applyAlignment="1" applyProtection="1">
      <alignment horizontal="right"/>
      <protection locked="0"/>
    </xf>
    <xf numFmtId="2" fontId="6" fillId="0" borderId="20" xfId="1" applyNumberFormat="1" applyFont="1" applyBorder="1" applyProtection="1">
      <protection locked="0"/>
    </xf>
    <xf numFmtId="2" fontId="6" fillId="0" borderId="20" xfId="1" applyNumberFormat="1" applyFont="1" applyBorder="1" applyAlignment="1" applyProtection="1">
      <alignment horizontal="right"/>
      <protection locked="0"/>
    </xf>
    <xf numFmtId="171" fontId="49" fillId="0" borderId="0" xfId="0" applyNumberFormat="1" applyFont="1"/>
    <xf numFmtId="171" fontId="0" fillId="0" borderId="0" xfId="0" applyNumberFormat="1" applyAlignment="1">
      <alignment horizontal="center"/>
    </xf>
    <xf numFmtId="171" fontId="0" fillId="0" borderId="0" xfId="0" applyNumberFormat="1"/>
    <xf numFmtId="171" fontId="34" fillId="0" borderId="24" xfId="3" applyNumberFormat="1" applyFont="1" applyBorder="1" applyProtection="1">
      <protection locked="0"/>
    </xf>
    <xf numFmtId="164" fontId="12" fillId="0" borderId="13" xfId="3" applyNumberFormat="1" applyFont="1" applyBorder="1" applyAlignment="1">
      <alignment horizontal="right" wrapText="1"/>
    </xf>
    <xf numFmtId="171" fontId="34" fillId="0" borderId="23" xfId="3" applyNumberFormat="1" applyFont="1" applyBorder="1" applyAlignment="1" applyProtection="1">
      <alignment horizontal="right"/>
      <protection locked="0"/>
    </xf>
    <xf numFmtId="172" fontId="34" fillId="0" borderId="53" xfId="1" applyNumberFormat="1" applyFont="1" applyBorder="1" applyAlignment="1" applyProtection="1">
      <alignment horizontal="right"/>
      <protection locked="0"/>
    </xf>
    <xf numFmtId="171" fontId="34" fillId="0" borderId="54" xfId="3" applyNumberFormat="1" applyFont="1" applyBorder="1" applyAlignment="1" applyProtection="1">
      <alignment horizontal="right"/>
      <protection locked="0"/>
    </xf>
    <xf numFmtId="171" fontId="34" fillId="0" borderId="55" xfId="3" applyNumberFormat="1" applyFont="1" applyBorder="1" applyProtection="1">
      <protection locked="0"/>
    </xf>
    <xf numFmtId="165" fontId="19" fillId="0" borderId="36" xfId="3" applyNumberFormat="1" applyFont="1" applyBorder="1" applyAlignment="1">
      <alignment horizontal="right" wrapText="1"/>
    </xf>
    <xf numFmtId="165" fontId="19" fillId="0" borderId="38" xfId="3" applyNumberFormat="1" applyFont="1" applyBorder="1" applyAlignment="1">
      <alignment horizontal="right" wrapText="1"/>
    </xf>
    <xf numFmtId="165" fontId="19" fillId="0" borderId="29" xfId="3" applyNumberFormat="1" applyFont="1" applyBorder="1" applyAlignment="1">
      <alignment horizontal="right" wrapText="1"/>
    </xf>
    <xf numFmtId="0" fontId="74" fillId="3" borderId="11" xfId="0" applyFont="1" applyFill="1" applyBorder="1"/>
    <xf numFmtId="14" fontId="0" fillId="8" borderId="13" xfId="0" applyNumberFormat="1" applyFill="1" applyBorder="1"/>
    <xf numFmtId="0" fontId="12" fillId="14" borderId="13" xfId="1" quotePrefix="1" applyNumberFormat="1" applyFont="1" applyFill="1" applyBorder="1" applyAlignment="1" applyProtection="1">
      <alignment horizontal="right"/>
    </xf>
    <xf numFmtId="164" fontId="99" fillId="17" borderId="17" xfId="3" applyNumberFormat="1" applyFont="1" applyFill="1" applyBorder="1" applyAlignment="1">
      <alignment horizontal="right" vertical="center"/>
    </xf>
    <xf numFmtId="165" fontId="17" fillId="6" borderId="13" xfId="3" applyNumberFormat="1" applyFont="1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4" fillId="0" borderId="7" xfId="0" applyFont="1" applyBorder="1"/>
    <xf numFmtId="0" fontId="4" fillId="0" borderId="1" xfId="0" quotePrefix="1" applyFont="1" applyBorder="1"/>
    <xf numFmtId="0" fontId="0" fillId="0" borderId="8" xfId="0" applyBorder="1"/>
    <xf numFmtId="0" fontId="4" fillId="0" borderId="52" xfId="0" quotePrefix="1" applyFont="1" applyBorder="1"/>
    <xf numFmtId="43" fontId="0" fillId="0" borderId="0" xfId="1" applyFont="1" applyAlignment="1">
      <alignment horizontal="right"/>
    </xf>
    <xf numFmtId="0" fontId="5" fillId="0" borderId="7" xfId="0" applyFont="1" applyBorder="1"/>
    <xf numFmtId="0" fontId="5" fillId="22" borderId="57" xfId="0" applyFont="1" applyFill="1" applyBorder="1"/>
    <xf numFmtId="0" fontId="5" fillId="22" borderId="0" xfId="0" applyFont="1" applyFill="1"/>
    <xf numFmtId="0" fontId="5" fillId="0" borderId="6" xfId="0" applyFont="1" applyBorder="1"/>
    <xf numFmtId="0" fontId="5" fillId="0" borderId="3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43" fontId="5" fillId="0" borderId="58" xfId="1" applyFont="1" applyBorder="1"/>
    <xf numFmtId="0" fontId="4" fillId="14" borderId="27" xfId="0" applyFont="1" applyFill="1" applyBorder="1" applyProtection="1">
      <protection locked="0"/>
    </xf>
    <xf numFmtId="14" fontId="4" fillId="20" borderId="35" xfId="0" applyNumberFormat="1" applyFont="1" applyFill="1" applyBorder="1" applyProtection="1">
      <protection locked="0"/>
    </xf>
    <xf numFmtId="0" fontId="4" fillId="9" borderId="35" xfId="0" applyFont="1" applyFill="1" applyBorder="1" applyProtection="1">
      <protection locked="0"/>
    </xf>
    <xf numFmtId="0" fontId="0" fillId="6" borderId="35" xfId="0" applyFill="1" applyBorder="1" applyProtection="1">
      <protection locked="0"/>
    </xf>
    <xf numFmtId="1" fontId="4" fillId="3" borderId="28" xfId="0" applyNumberFormat="1" applyFont="1" applyFill="1" applyBorder="1" applyProtection="1">
      <protection locked="0"/>
    </xf>
    <xf numFmtId="0" fontId="9" fillId="0" borderId="27" xfId="0" applyFont="1" applyBorder="1"/>
    <xf numFmtId="0" fontId="9" fillId="0" borderId="35" xfId="0" applyFont="1" applyBorder="1"/>
    <xf numFmtId="0" fontId="9" fillId="0" borderId="28" xfId="0" applyFont="1" applyBorder="1"/>
    <xf numFmtId="0" fontId="4" fillId="4" borderId="0" xfId="0" applyFont="1" applyFill="1" applyProtection="1">
      <protection locked="0"/>
    </xf>
    <xf numFmtId="0" fontId="0" fillId="4" borderId="0" xfId="0" applyFill="1" applyProtection="1">
      <protection locked="0"/>
    </xf>
    <xf numFmtId="0" fontId="100" fillId="23" borderId="5" xfId="0" applyFont="1" applyFill="1" applyBorder="1" applyProtection="1">
      <protection locked="0"/>
    </xf>
    <xf numFmtId="0" fontId="40" fillId="0" borderId="0" xfId="0" applyFont="1"/>
    <xf numFmtId="0" fontId="100" fillId="16" borderId="5" xfId="0" applyFont="1" applyFill="1" applyBorder="1" applyProtection="1">
      <protection locked="0"/>
    </xf>
    <xf numFmtId="0" fontId="100" fillId="23" borderId="0" xfId="0" applyFont="1" applyFill="1"/>
    <xf numFmtId="0" fontId="100" fillId="16" borderId="0" xfId="0" applyFont="1" applyFill="1"/>
    <xf numFmtId="0" fontId="34" fillId="0" borderId="0" xfId="0" applyFont="1"/>
    <xf numFmtId="43" fontId="34" fillId="0" borderId="0" xfId="1" applyFont="1"/>
    <xf numFmtId="43" fontId="4" fillId="0" borderId="5" xfId="14" applyFont="1" applyBorder="1" applyAlignment="1" applyProtection="1">
      <alignment wrapText="1"/>
      <protection locked="0"/>
    </xf>
    <xf numFmtId="0" fontId="5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3" fontId="0" fillId="0" borderId="0" xfId="0" applyNumberFormat="1" applyAlignment="1">
      <alignment horizontal="center"/>
    </xf>
    <xf numFmtId="0" fontId="5" fillId="0" borderId="5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 wrapText="1"/>
    </xf>
    <xf numFmtId="171" fontId="5" fillId="0" borderId="5" xfId="0" applyNumberFormat="1" applyFont="1" applyBorder="1" applyAlignment="1">
      <alignment horizontal="center" wrapText="1"/>
    </xf>
    <xf numFmtId="49" fontId="5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71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168" fontId="0" fillId="0" borderId="5" xfId="0" applyNumberFormat="1" applyBorder="1" applyAlignment="1">
      <alignment horizontal="left"/>
    </xf>
    <xf numFmtId="168" fontId="0" fillId="0" borderId="5" xfId="0" applyNumberFormat="1" applyBorder="1" applyAlignment="1">
      <alignment horizontal="center"/>
    </xf>
    <xf numFmtId="171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171" fontId="4" fillId="0" borderId="0" xfId="0" applyNumberFormat="1" applyFont="1"/>
    <xf numFmtId="14" fontId="4" fillId="0" borderId="0" xfId="0" applyNumberFormat="1" applyFont="1" applyAlignment="1">
      <alignment horizontal="center"/>
    </xf>
    <xf numFmtId="49" fontId="4" fillId="0" borderId="0" xfId="0" applyNumberFormat="1" applyFont="1"/>
    <xf numFmtId="168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 wrapText="1"/>
    </xf>
    <xf numFmtId="171" fontId="4" fillId="0" borderId="5" xfId="0" applyNumberFormat="1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1" fillId="24" borderId="36" xfId="0" applyFont="1" applyFill="1" applyBorder="1"/>
    <xf numFmtId="0" fontId="49" fillId="24" borderId="37" xfId="0" applyFont="1" applyFill="1" applyBorder="1"/>
    <xf numFmtId="0" fontId="49" fillId="24" borderId="11" xfId="0" applyFont="1" applyFill="1" applyBorder="1"/>
    <xf numFmtId="0" fontId="101" fillId="25" borderId="12" xfId="0" applyFont="1" applyFill="1" applyBorder="1"/>
    <xf numFmtId="0" fontId="34" fillId="25" borderId="0" xfId="0" applyFont="1" applyFill="1"/>
    <xf numFmtId="0" fontId="34" fillId="26" borderId="12" xfId="0" applyFont="1" applyFill="1" applyBorder="1"/>
    <xf numFmtId="0" fontId="34" fillId="26" borderId="0" xfId="0" applyFont="1" applyFill="1"/>
    <xf numFmtId="0" fontId="34" fillId="27" borderId="12" xfId="0" applyFont="1" applyFill="1" applyBorder="1"/>
    <xf numFmtId="0" fontId="34" fillId="27" borderId="0" xfId="0" applyFont="1" applyFill="1"/>
    <xf numFmtId="0" fontId="34" fillId="28" borderId="15" xfId="0" applyFont="1" applyFill="1" applyBorder="1"/>
    <xf numFmtId="0" fontId="34" fillId="28" borderId="16" xfId="0" applyFont="1" applyFill="1" applyBorder="1"/>
    <xf numFmtId="0" fontId="34" fillId="19" borderId="5" xfId="0" applyFont="1" applyFill="1" applyBorder="1"/>
    <xf numFmtId="0" fontId="34" fillId="14" borderId="5" xfId="0" applyFont="1" applyFill="1" applyBorder="1"/>
    <xf numFmtId="0" fontId="34" fillId="9" borderId="5" xfId="0" applyFont="1" applyFill="1" applyBorder="1"/>
    <xf numFmtId="0" fontId="34" fillId="20" borderId="5" xfId="0" applyFont="1" applyFill="1" applyBorder="1"/>
    <xf numFmtId="14" fontId="34" fillId="0" borderId="0" xfId="0" applyNumberFormat="1" applyFo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1" fontId="0" fillId="9" borderId="13" xfId="0" applyNumberFormat="1" applyFill="1" applyBorder="1" applyAlignment="1">
      <alignment horizontal="right"/>
    </xf>
    <xf numFmtId="165" fontId="99" fillId="4" borderId="0" xfId="3" applyNumberFormat="1" applyFont="1" applyFill="1" applyAlignment="1">
      <alignment horizontal="right" vertical="center"/>
    </xf>
    <xf numFmtId="168" fontId="4" fillId="0" borderId="5" xfId="0" applyNumberFormat="1" applyFont="1" applyBorder="1" applyAlignment="1" applyProtection="1">
      <alignment horizontal="left"/>
      <protection locked="0"/>
    </xf>
    <xf numFmtId="165" fontId="8" fillId="0" borderId="5" xfId="0" applyNumberFormat="1" applyFont="1" applyBorder="1"/>
    <xf numFmtId="0" fontId="8" fillId="0" borderId="5" xfId="0" applyFont="1" applyBorder="1"/>
    <xf numFmtId="4" fontId="81" fillId="0" borderId="21" xfId="0" applyNumberFormat="1" applyFont="1" applyBorder="1" applyAlignment="1">
      <alignment horizontal="right"/>
    </xf>
    <xf numFmtId="4" fontId="81" fillId="0" borderId="25" xfId="0" applyNumberFormat="1" applyFont="1" applyBorder="1" applyAlignment="1">
      <alignment horizontal="right"/>
    </xf>
    <xf numFmtId="43" fontId="5" fillId="0" borderId="0" xfId="1" applyFont="1" applyAlignment="1">
      <alignment wrapText="1"/>
    </xf>
    <xf numFmtId="14" fontId="5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14" fontId="5" fillId="0" borderId="0" xfId="0" applyNumberFormat="1" applyFont="1" applyAlignment="1">
      <alignment horizontal="center" wrapText="1"/>
    </xf>
    <xf numFmtId="171" fontId="5" fillId="0" borderId="0" xfId="0" applyNumberFormat="1" applyFont="1" applyAlignment="1">
      <alignment wrapText="1"/>
    </xf>
    <xf numFmtId="49" fontId="5" fillId="0" borderId="31" xfId="0" applyNumberFormat="1" applyFont="1" applyBorder="1" applyAlignment="1">
      <alignment horizontal="center" wrapText="1"/>
    </xf>
    <xf numFmtId="0" fontId="0" fillId="0" borderId="5" xfId="0" applyBorder="1"/>
    <xf numFmtId="43" fontId="0" fillId="0" borderId="5" xfId="1" applyFont="1" applyBorder="1"/>
    <xf numFmtId="14" fontId="0" fillId="0" borderId="5" xfId="0" applyNumberFormat="1" applyBorder="1"/>
    <xf numFmtId="171" fontId="0" fillId="0" borderId="5" xfId="0" applyNumberFormat="1" applyBorder="1"/>
    <xf numFmtId="2" fontId="6" fillId="0" borderId="59" xfId="1" applyNumberFormat="1" applyFont="1" applyBorder="1" applyAlignment="1" applyProtection="1">
      <alignment horizontal="right"/>
      <protection locked="0"/>
    </xf>
    <xf numFmtId="0" fontId="4" fillId="0" borderId="5" xfId="0" applyFont="1" applyBorder="1"/>
    <xf numFmtId="165" fontId="12" fillId="0" borderId="0" xfId="3" applyNumberFormat="1" applyFont="1"/>
    <xf numFmtId="0" fontId="15" fillId="0" borderId="24" xfId="0" applyFont="1" applyBorder="1"/>
    <xf numFmtId="2" fontId="6" fillId="0" borderId="59" xfId="1" applyNumberFormat="1" applyFont="1" applyBorder="1" applyProtection="1">
      <protection locked="0"/>
    </xf>
    <xf numFmtId="0" fontId="4" fillId="0" borderId="60" xfId="0" applyFont="1" applyBorder="1" applyProtection="1">
      <protection locked="0"/>
    </xf>
    <xf numFmtId="43" fontId="0" fillId="0" borderId="59" xfId="1" applyFont="1" applyBorder="1" applyProtection="1">
      <protection locked="0"/>
    </xf>
    <xf numFmtId="0" fontId="0" fillId="0" borderId="59" xfId="0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7" xfId="0" applyBorder="1" applyAlignment="1">
      <alignment horizontal="left"/>
    </xf>
    <xf numFmtId="0" fontId="0" fillId="0" borderId="13" xfId="0" applyBorder="1" applyAlignment="1">
      <alignment horizontal="left"/>
    </xf>
    <xf numFmtId="0" fontId="15" fillId="0" borderId="41" xfId="0" applyFont="1" applyBorder="1"/>
    <xf numFmtId="0" fontId="15" fillId="0" borderId="63" xfId="0" applyFont="1" applyBorder="1"/>
    <xf numFmtId="0" fontId="15" fillId="0" borderId="64" xfId="0" applyFont="1" applyBorder="1"/>
    <xf numFmtId="2" fontId="6" fillId="0" borderId="55" xfId="1" applyNumberFormat="1" applyFont="1" applyBorder="1" applyAlignment="1" applyProtection="1">
      <alignment horizontal="right"/>
      <protection locked="0"/>
    </xf>
    <xf numFmtId="0" fontId="4" fillId="0" borderId="19" xfId="0" applyFont="1" applyBorder="1" applyProtection="1">
      <protection locked="0"/>
    </xf>
    <xf numFmtId="0" fontId="0" fillId="0" borderId="16" xfId="0" applyBorder="1"/>
    <xf numFmtId="172" fontId="34" fillId="0" borderId="65" xfId="1" applyNumberFormat="1" applyFont="1" applyBorder="1" applyAlignment="1" applyProtection="1">
      <alignment horizontal="right"/>
      <protection locked="0"/>
    </xf>
    <xf numFmtId="165" fontId="0" fillId="6" borderId="5" xfId="0" applyNumberFormat="1" applyFill="1" applyBorder="1"/>
    <xf numFmtId="0" fontId="0" fillId="6" borderId="5" xfId="0" applyFill="1" applyBorder="1"/>
    <xf numFmtId="4" fontId="0" fillId="6" borderId="5" xfId="0" applyNumberFormat="1" applyFill="1" applyBorder="1"/>
    <xf numFmtId="165" fontId="0" fillId="6" borderId="5" xfId="0" quotePrefix="1" applyNumberFormat="1" applyFill="1" applyBorder="1" applyAlignment="1">
      <alignment horizontal="right"/>
    </xf>
    <xf numFmtId="165" fontId="12" fillId="0" borderId="1" xfId="3" applyNumberFormat="1" applyFont="1" applyBorder="1"/>
    <xf numFmtId="43" fontId="14" fillId="0" borderId="1" xfId="1" applyFont="1" applyBorder="1"/>
    <xf numFmtId="165" fontId="42" fillId="0" borderId="0" xfId="3" applyNumberFormat="1" applyFont="1"/>
    <xf numFmtId="165" fontId="10" fillId="0" borderId="5" xfId="3" applyNumberFormat="1" applyFont="1" applyBorder="1"/>
    <xf numFmtId="43" fontId="10" fillId="0" borderId="5" xfId="1" applyFont="1" applyBorder="1"/>
    <xf numFmtId="43" fontId="14" fillId="14" borderId="5" xfId="1" applyFont="1" applyFill="1" applyBorder="1"/>
    <xf numFmtId="165" fontId="12" fillId="0" borderId="1" xfId="3" applyNumberFormat="1" applyFont="1" applyBorder="1" applyAlignment="1">
      <alignment horizontal="right"/>
    </xf>
    <xf numFmtId="0" fontId="102" fillId="0" borderId="1" xfId="0" applyFont="1" applyBorder="1" applyAlignment="1">
      <alignment horizontal="right"/>
    </xf>
    <xf numFmtId="43" fontId="102" fillId="0" borderId="39" xfId="1" applyFont="1" applyBorder="1"/>
    <xf numFmtId="165" fontId="11" fillId="0" borderId="0" xfId="3" applyNumberFormat="1" applyFont="1" applyAlignment="1">
      <alignment horizontal="right"/>
    </xf>
    <xf numFmtId="165" fontId="10" fillId="4" borderId="1" xfId="3" applyNumberFormat="1" applyFont="1" applyFill="1" applyBorder="1" applyAlignment="1">
      <alignment horizontal="right"/>
    </xf>
    <xf numFmtId="165" fontId="12" fillId="2" borderId="52" xfId="3" applyNumberFormat="1" applyFont="1" applyFill="1" applyBorder="1" applyAlignment="1">
      <alignment horizontal="right"/>
    </xf>
    <xf numFmtId="165" fontId="14" fillId="14" borderId="5" xfId="3" applyNumberFormat="1" applyFont="1" applyFill="1" applyBorder="1"/>
    <xf numFmtId="43" fontId="10" fillId="4" borderId="5" xfId="1" applyFont="1" applyFill="1" applyBorder="1"/>
    <xf numFmtId="43" fontId="10" fillId="0" borderId="5" xfId="1" applyFont="1" applyBorder="1" applyAlignment="1">
      <alignment horizontal="right"/>
    </xf>
    <xf numFmtId="43" fontId="14" fillId="14" borderId="5" xfId="1" applyFont="1" applyFill="1" applyBorder="1" applyAlignment="1">
      <alignment horizontal="right"/>
    </xf>
    <xf numFmtId="43" fontId="57" fillId="0" borderId="29" xfId="0" applyNumberFormat="1" applyFont="1" applyBorder="1"/>
    <xf numFmtId="0" fontId="0" fillId="29" borderId="0" xfId="0" applyFill="1"/>
    <xf numFmtId="165" fontId="0" fillId="29" borderId="0" xfId="0" applyNumberFormat="1" applyFill="1"/>
    <xf numFmtId="165" fontId="5" fillId="29" borderId="0" xfId="0" applyNumberFormat="1" applyFont="1" applyFill="1"/>
    <xf numFmtId="0" fontId="85" fillId="29" borderId="0" xfId="0" applyFont="1" applyFill="1"/>
    <xf numFmtId="165" fontId="0" fillId="3" borderId="0" xfId="0" applyNumberFormat="1" applyFill="1"/>
    <xf numFmtId="165" fontId="0" fillId="3" borderId="5" xfId="0" applyNumberFormat="1" applyFill="1" applyBorder="1"/>
    <xf numFmtId="0" fontId="0" fillId="3" borderId="5" xfId="0" applyFill="1" applyBorder="1"/>
    <xf numFmtId="4" fontId="0" fillId="3" borderId="5" xfId="0" applyNumberFormat="1" applyFill="1" applyBorder="1"/>
    <xf numFmtId="165" fontId="0" fillId="30" borderId="0" xfId="0" applyNumberFormat="1" applyFill="1"/>
    <xf numFmtId="165" fontId="4" fillId="30" borderId="18" xfId="0" applyNumberFormat="1" applyFont="1" applyFill="1" applyBorder="1"/>
    <xf numFmtId="43" fontId="0" fillId="30" borderId="5" xfId="1" applyFont="1" applyFill="1" applyBorder="1" applyProtection="1"/>
    <xf numFmtId="165" fontId="0" fillId="30" borderId="5" xfId="0" applyNumberFormat="1" applyFill="1" applyBorder="1" applyAlignment="1">
      <alignment horizontal="right"/>
    </xf>
    <xf numFmtId="4" fontId="0" fillId="30" borderId="14" xfId="0" applyNumberFormat="1" applyFill="1" applyBorder="1"/>
    <xf numFmtId="165" fontId="0" fillId="31" borderId="0" xfId="0" applyNumberFormat="1" applyFill="1"/>
    <xf numFmtId="165" fontId="0" fillId="31" borderId="18" xfId="0" applyNumberFormat="1" applyFill="1" applyBorder="1"/>
    <xf numFmtId="43" fontId="0" fillId="31" borderId="5" xfId="1" applyFont="1" applyFill="1" applyBorder="1" applyProtection="1"/>
    <xf numFmtId="165" fontId="0" fillId="31" borderId="5" xfId="0" applyNumberFormat="1" applyFill="1" applyBorder="1" applyAlignment="1">
      <alignment horizontal="right"/>
    </xf>
    <xf numFmtId="4" fontId="0" fillId="31" borderId="14" xfId="0" applyNumberFormat="1" applyFill="1" applyBorder="1"/>
    <xf numFmtId="0" fontId="65" fillId="28" borderId="9" xfId="0" applyFont="1" applyFill="1" applyBorder="1"/>
    <xf numFmtId="165" fontId="0" fillId="28" borderId="0" xfId="0" applyNumberFormat="1" applyFill="1"/>
    <xf numFmtId="0" fontId="65" fillId="28" borderId="12" xfId="0" applyFont="1" applyFill="1" applyBorder="1"/>
    <xf numFmtId="0" fontId="19" fillId="0" borderId="0" xfId="0" applyFont="1"/>
    <xf numFmtId="43" fontId="104" fillId="0" borderId="0" xfId="1" applyFont="1"/>
    <xf numFmtId="14" fontId="0" fillId="0" borderId="1" xfId="0" applyNumberFormat="1" applyBorder="1" applyAlignment="1">
      <alignment horizontal="right"/>
    </xf>
    <xf numFmtId="43" fontId="0" fillId="0" borderId="1" xfId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43" fontId="0" fillId="0" borderId="1" xfId="1" applyFont="1" applyBorder="1" applyAlignment="1">
      <alignment horizontal="right" wrapText="1"/>
    </xf>
    <xf numFmtId="43" fontId="5" fillId="0" borderId="56" xfId="1" applyFont="1" applyBorder="1" applyAlignment="1">
      <alignment horizontal="right"/>
    </xf>
    <xf numFmtId="43" fontId="4" fillId="0" borderId="1" xfId="1" applyFont="1" applyBorder="1" applyAlignment="1">
      <alignment horizontal="right"/>
    </xf>
    <xf numFmtId="43" fontId="5" fillId="22" borderId="56" xfId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43" fontId="0" fillId="0" borderId="0" xfId="1" applyFont="1" applyAlignment="1">
      <alignment horizontal="right" wrapText="1"/>
    </xf>
    <xf numFmtId="43" fontId="5" fillId="0" borderId="58" xfId="1" applyFont="1" applyBorder="1" applyAlignment="1">
      <alignment horizontal="right"/>
    </xf>
    <xf numFmtId="43" fontId="5" fillId="22" borderId="58" xfId="1" applyFont="1" applyFill="1" applyBorder="1" applyAlignment="1">
      <alignment horizontal="right"/>
    </xf>
    <xf numFmtId="0" fontId="12" fillId="18" borderId="0" xfId="0" applyFont="1" applyFill="1"/>
    <xf numFmtId="164" fontId="16" fillId="0" borderId="13" xfId="3" applyNumberFormat="1" applyFont="1" applyBorder="1" applyAlignment="1">
      <alignment horizontal="right" vertical="center"/>
    </xf>
    <xf numFmtId="165" fontId="12" fillId="18" borderId="6" xfId="3" applyNumberFormat="1" applyFont="1" applyFill="1" applyBorder="1"/>
    <xf numFmtId="165" fontId="14" fillId="18" borderId="7" xfId="3" applyNumberFormat="1" applyFont="1" applyFill="1" applyBorder="1"/>
    <xf numFmtId="165" fontId="14" fillId="18" borderId="0" xfId="3" applyNumberFormat="1" applyFont="1" applyFill="1"/>
    <xf numFmtId="165" fontId="16" fillId="0" borderId="1" xfId="3" applyNumberFormat="1" applyFont="1" applyBorder="1" applyAlignment="1">
      <alignment horizontal="right" vertical="center"/>
    </xf>
    <xf numFmtId="165" fontId="15" fillId="18" borderId="7" xfId="3" applyNumberFormat="1" applyFont="1" applyFill="1" applyBorder="1"/>
    <xf numFmtId="0" fontId="0" fillId="18" borderId="0" xfId="0" applyFill="1"/>
    <xf numFmtId="165" fontId="12" fillId="18" borderId="7" xfId="3" applyNumberFormat="1" applyFont="1" applyFill="1" applyBorder="1"/>
    <xf numFmtId="165" fontId="4" fillId="18" borderId="0" xfId="3" applyNumberFormat="1" applyFill="1"/>
    <xf numFmtId="43" fontId="104" fillId="0" borderId="0" xfId="1" applyFont="1" applyAlignment="1">
      <alignment wrapText="1"/>
    </xf>
    <xf numFmtId="43" fontId="12" fillId="32" borderId="52" xfId="1" quotePrefix="1" applyFont="1" applyFill="1" applyBorder="1" applyAlignment="1" applyProtection="1">
      <alignment horizontal="right"/>
    </xf>
    <xf numFmtId="43" fontId="19" fillId="0" borderId="0" xfId="1" applyFont="1" applyAlignment="1">
      <alignment wrapText="1"/>
    </xf>
    <xf numFmtId="167" fontId="0" fillId="0" borderId="0" xfId="0" applyNumberFormat="1"/>
    <xf numFmtId="43" fontId="4" fillId="0" borderId="5" xfId="1" applyFont="1" applyBorder="1"/>
    <xf numFmtId="14" fontId="4" fillId="0" borderId="5" xfId="0" applyNumberFormat="1" applyFont="1" applyBorder="1" applyAlignment="1">
      <alignment horizontal="center"/>
    </xf>
    <xf numFmtId="171" fontId="4" fillId="0" borderId="5" xfId="0" applyNumberFormat="1" applyFont="1" applyBorder="1"/>
    <xf numFmtId="167" fontId="0" fillId="0" borderId="5" xfId="0" applyNumberFormat="1" applyBorder="1"/>
    <xf numFmtId="0" fontId="51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 applyAlignment="1">
      <alignment horizontal="right"/>
    </xf>
    <xf numFmtId="43" fontId="65" fillId="0" borderId="0" xfId="1" applyFont="1"/>
    <xf numFmtId="43" fontId="107" fillId="0" borderId="39" xfId="1" applyFont="1" applyBorder="1"/>
    <xf numFmtId="173" fontId="19" fillId="0" borderId="0" xfId="0" applyNumberFormat="1" applyFont="1"/>
    <xf numFmtId="173" fontId="0" fillId="0" borderId="0" xfId="0" applyNumberFormat="1"/>
    <xf numFmtId="0" fontId="50" fillId="0" borderId="0" xfId="0" applyFont="1"/>
    <xf numFmtId="0" fontId="49" fillId="0" borderId="0" xfId="0" applyFont="1"/>
    <xf numFmtId="0" fontId="96" fillId="0" borderId="36" xfId="0" applyFont="1" applyBorder="1" applyAlignment="1">
      <alignment horizontal="center" wrapText="1"/>
    </xf>
    <xf numFmtId="0" fontId="97" fillId="0" borderId="37" xfId="0" applyFont="1" applyBorder="1" applyAlignment="1">
      <alignment horizontal="center" wrapText="1"/>
    </xf>
    <xf numFmtId="0" fontId="97" fillId="0" borderId="38" xfId="0" applyFont="1" applyBorder="1" applyAlignment="1">
      <alignment horizontal="center" wrapText="1"/>
    </xf>
    <xf numFmtId="0" fontId="83" fillId="0" borderId="0" xfId="0" applyFont="1" applyAlignment="1">
      <alignment horizontal="center"/>
    </xf>
    <xf numFmtId="0" fontId="96" fillId="0" borderId="36" xfId="0" applyFont="1" applyBorder="1" applyAlignment="1">
      <alignment horizontal="center" shrinkToFit="1"/>
    </xf>
    <xf numFmtId="0" fontId="97" fillId="0" borderId="37" xfId="0" applyFont="1" applyBorder="1" applyAlignment="1">
      <alignment horizontal="center" shrinkToFit="1"/>
    </xf>
    <xf numFmtId="0" fontId="97" fillId="0" borderId="38" xfId="0" applyFont="1" applyBorder="1" applyAlignment="1">
      <alignment horizontal="center" shrinkToFit="1"/>
    </xf>
    <xf numFmtId="0" fontId="53" fillId="0" borderId="0" xfId="0" applyFont="1" applyAlignment="1">
      <alignment horizontal="center"/>
    </xf>
    <xf numFmtId="0" fontId="0" fillId="0" borderId="49" xfId="0" applyBorder="1" applyAlignment="1" applyProtection="1">
      <alignment horizontal="left"/>
      <protection locked="0"/>
    </xf>
    <xf numFmtId="0" fontId="0" fillId="0" borderId="61" xfId="0" applyBorder="1" applyAlignment="1" applyProtection="1">
      <alignment horizontal="left"/>
      <protection locked="0"/>
    </xf>
    <xf numFmtId="0" fontId="0" fillId="0" borderId="62" xfId="0" applyBorder="1" applyAlignment="1" applyProtection="1">
      <alignment horizontal="left"/>
      <protection locked="0"/>
    </xf>
    <xf numFmtId="165" fontId="15" fillId="0" borderId="7" xfId="3" applyNumberFormat="1" applyFont="1" applyBorder="1"/>
    <xf numFmtId="0" fontId="0" fillId="0" borderId="0" xfId="0"/>
    <xf numFmtId="165" fontId="43" fillId="0" borderId="6" xfId="3" applyNumberFormat="1" applyFont="1" applyBorder="1" applyAlignment="1">
      <alignment horizontal="center"/>
    </xf>
    <xf numFmtId="0" fontId="44" fillId="0" borderId="2" xfId="0" applyFont="1" applyBorder="1"/>
    <xf numFmtId="0" fontId="44" fillId="0" borderId="3" xfId="0" applyFont="1" applyBorder="1"/>
    <xf numFmtId="165" fontId="16" fillId="0" borderId="0" xfId="3" applyNumberFormat="1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21" xfId="0" applyBorder="1" applyAlignment="1" applyProtection="1">
      <alignment horizontal="left"/>
      <protection locked="0"/>
    </xf>
    <xf numFmtId="0" fontId="0" fillId="0" borderId="26" xfId="0" applyBorder="1" applyAlignment="1" applyProtection="1">
      <alignment horizontal="left"/>
      <protection locked="0"/>
    </xf>
    <xf numFmtId="0" fontId="0" fillId="0" borderId="25" xfId="0" applyBorder="1" applyAlignment="1" applyProtection="1">
      <alignment horizontal="left"/>
      <protection locked="0"/>
    </xf>
    <xf numFmtId="165" fontId="16" fillId="0" borderId="1" xfId="3" applyNumberFormat="1" applyFont="1" applyBorder="1" applyAlignment="1">
      <alignment horizontal="right"/>
    </xf>
    <xf numFmtId="165" fontId="43" fillId="0" borderId="2" xfId="3" applyNumberFormat="1" applyFont="1" applyBorder="1" applyAlignment="1">
      <alignment horizontal="center"/>
    </xf>
    <xf numFmtId="165" fontId="43" fillId="0" borderId="3" xfId="3" applyNumberFormat="1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52" fillId="0" borderId="42" xfId="0" applyFont="1" applyBorder="1" applyAlignment="1">
      <alignment horizontal="center"/>
    </xf>
    <xf numFmtId="0" fontId="52" fillId="0" borderId="43" xfId="0" applyFont="1" applyBorder="1" applyAlignment="1">
      <alignment horizontal="center"/>
    </xf>
    <xf numFmtId="165" fontId="15" fillId="0" borderId="0" xfId="3" applyNumberFormat="1" applyFont="1"/>
    <xf numFmtId="0" fontId="51" fillId="0" borderId="9" xfId="0" applyFont="1" applyBorder="1" applyAlignment="1">
      <alignment horizontal="center"/>
    </xf>
    <xf numFmtId="0" fontId="51" fillId="0" borderId="10" xfId="0" applyFont="1" applyBorder="1" applyAlignment="1">
      <alignment horizontal="center"/>
    </xf>
    <xf numFmtId="0" fontId="51" fillId="0" borderId="11" xfId="0" applyFont="1" applyBorder="1" applyAlignment="1">
      <alignment horizontal="center"/>
    </xf>
    <xf numFmtId="165" fontId="92" fillId="0" borderId="0" xfId="3" applyNumberFormat="1" applyFont="1" applyAlignment="1">
      <alignment horizontal="right" wrapText="1"/>
    </xf>
    <xf numFmtId="0" fontId="4" fillId="0" borderId="13" xfId="0" applyFont="1" applyBorder="1" applyAlignment="1">
      <alignment horizontal="right" wrapText="1"/>
    </xf>
    <xf numFmtId="0" fontId="52" fillId="0" borderId="9" xfId="0" applyFont="1" applyBorder="1" applyAlignment="1">
      <alignment horizontal="center"/>
    </xf>
    <xf numFmtId="0" fontId="52" fillId="0" borderId="1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9" fillId="0" borderId="43" xfId="0" applyFont="1" applyBorder="1"/>
    <xf numFmtId="0" fontId="19" fillId="0" borderId="44" xfId="0" applyFont="1" applyBorder="1"/>
    <xf numFmtId="0" fontId="5" fillId="0" borderId="21" xfId="0" applyFont="1" applyBorder="1" applyAlignment="1" applyProtection="1">
      <alignment horizontal="left"/>
      <protection locked="0"/>
    </xf>
    <xf numFmtId="0" fontId="19" fillId="0" borderId="45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/>
    <xf numFmtId="165" fontId="16" fillId="0" borderId="0" xfId="3" applyNumberFormat="1" applyFont="1" applyAlignment="1">
      <alignment wrapText="1"/>
    </xf>
    <xf numFmtId="0" fontId="0" fillId="0" borderId="13" xfId="0" applyBorder="1" applyAlignment="1">
      <alignment wrapText="1"/>
    </xf>
    <xf numFmtId="165" fontId="45" fillId="0" borderId="0" xfId="3" applyNumberFormat="1" applyFont="1" applyAlignment="1">
      <alignment horizontal="right"/>
    </xf>
    <xf numFmtId="0" fontId="46" fillId="0" borderId="1" xfId="0" applyFont="1" applyBorder="1" applyAlignment="1">
      <alignment horizontal="right"/>
    </xf>
    <xf numFmtId="0" fontId="105" fillId="18" borderId="8" xfId="0" applyFont="1" applyFill="1" applyBorder="1"/>
    <xf numFmtId="0" fontId="105" fillId="18" borderId="4" xfId="0" applyFont="1" applyFill="1" applyBorder="1"/>
    <xf numFmtId="0" fontId="19" fillId="0" borderId="1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3" xfId="0" applyFont="1" applyBorder="1" applyAlignment="1">
      <alignment horizontal="center"/>
    </xf>
    <xf numFmtId="165" fontId="16" fillId="15" borderId="2" xfId="3" applyNumberFormat="1" applyFont="1" applyFill="1" applyBorder="1" applyAlignment="1">
      <alignment horizontal="right"/>
    </xf>
    <xf numFmtId="165" fontId="16" fillId="15" borderId="3" xfId="3" applyNumberFormat="1" applyFont="1" applyFill="1" applyBorder="1" applyAlignment="1">
      <alignment horizontal="right"/>
    </xf>
    <xf numFmtId="165" fontId="43" fillId="0" borderId="9" xfId="3" applyNumberFormat="1" applyFont="1" applyBorder="1" applyAlignment="1">
      <alignment horizontal="center"/>
    </xf>
    <xf numFmtId="0" fontId="44" fillId="0" borderId="10" xfId="0" applyFont="1" applyBorder="1"/>
    <xf numFmtId="0" fontId="44" fillId="0" borderId="11" xfId="0" applyFont="1" applyBorder="1"/>
    <xf numFmtId="2" fontId="6" fillId="0" borderId="7" xfId="3" applyNumberFormat="1" applyFont="1" applyBorder="1" applyAlignment="1">
      <alignment horizontal="center" vertical="justify"/>
    </xf>
    <xf numFmtId="2" fontId="0" fillId="0" borderId="0" xfId="3" applyNumberFormat="1" applyFont="1" applyAlignment="1">
      <alignment horizontal="center" vertical="justify"/>
    </xf>
    <xf numFmtId="0" fontId="4" fillId="4" borderId="0" xfId="3" applyFill="1"/>
    <xf numFmtId="0" fontId="4" fillId="4" borderId="0" xfId="0" applyFont="1" applyFill="1"/>
    <xf numFmtId="165" fontId="0" fillId="4" borderId="21" xfId="0" applyNumberFormat="1" applyFill="1" applyBorder="1" applyAlignment="1">
      <alignment horizontal="right"/>
    </xf>
    <xf numFmtId="165" fontId="0" fillId="4" borderId="25" xfId="0" applyNumberFormat="1" applyFill="1" applyBorder="1" applyAlignment="1">
      <alignment horizontal="right"/>
    </xf>
    <xf numFmtId="43" fontId="47" fillId="0" borderId="5" xfId="0" applyNumberFormat="1" applyFont="1" applyBorder="1" applyAlignment="1">
      <alignment horizontal="right"/>
    </xf>
    <xf numFmtId="0" fontId="47" fillId="0" borderId="21" xfId="0" applyFont="1" applyBorder="1"/>
    <xf numFmtId="0" fontId="47" fillId="0" borderId="26" xfId="0" applyFont="1" applyBorder="1"/>
    <xf numFmtId="0" fontId="47" fillId="0" borderId="25" xfId="0" applyFont="1" applyBorder="1"/>
    <xf numFmtId="43" fontId="65" fillId="0" borderId="36" xfId="1" applyFont="1" applyBorder="1"/>
    <xf numFmtId="43" fontId="65" fillId="0" borderId="37" xfId="1" applyFont="1" applyBorder="1"/>
    <xf numFmtId="165" fontId="8" fillId="0" borderId="5" xfId="0" applyNumberFormat="1" applyFont="1" applyBorder="1"/>
    <xf numFmtId="0" fontId="8" fillId="0" borderId="5" xfId="0" applyFont="1" applyBorder="1"/>
    <xf numFmtId="0" fontId="5" fillId="0" borderId="5" xfId="0" applyFont="1" applyBorder="1"/>
    <xf numFmtId="43" fontId="15" fillId="0" borderId="7" xfId="1" applyFont="1" applyBorder="1" applyAlignment="1" applyProtection="1"/>
    <xf numFmtId="43" fontId="0" fillId="0" borderId="0" xfId="1" applyFont="1" applyBorder="1" applyAlignment="1"/>
    <xf numFmtId="0" fontId="61" fillId="0" borderId="0" xfId="0" applyFont="1" applyAlignment="1">
      <alignment horizontal="center"/>
    </xf>
    <xf numFmtId="165" fontId="103" fillId="0" borderId="0" xfId="3" applyNumberFormat="1" applyFont="1" applyAlignment="1">
      <alignment horizontal="right"/>
    </xf>
    <xf numFmtId="165" fontId="103" fillId="0" borderId="1" xfId="3" applyNumberFormat="1" applyFont="1" applyBorder="1" applyAlignment="1">
      <alignment horizontal="right"/>
    </xf>
    <xf numFmtId="4" fontId="81" fillId="0" borderId="21" xfId="0" applyNumberFormat="1" applyFont="1" applyBorder="1" applyAlignment="1">
      <alignment horizontal="right"/>
    </xf>
    <xf numFmtId="4" fontId="81" fillId="0" borderId="25" xfId="0" applyNumberFormat="1" applyFont="1" applyBorder="1" applyAlignment="1">
      <alignment horizontal="right"/>
    </xf>
    <xf numFmtId="43" fontId="47" fillId="4" borderId="21" xfId="1" applyFont="1" applyFill="1" applyBorder="1" applyAlignment="1">
      <alignment horizontal="right"/>
    </xf>
    <xf numFmtId="43" fontId="47" fillId="4" borderId="25" xfId="1" applyFont="1" applyFill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47" fillId="0" borderId="5" xfId="0" applyFont="1" applyBorder="1"/>
    <xf numFmtId="165" fontId="8" fillId="0" borderId="21" xfId="0" applyNumberFormat="1" applyFont="1" applyBorder="1"/>
    <xf numFmtId="0" fontId="0" fillId="0" borderId="25" xfId="0" applyBorder="1"/>
    <xf numFmtId="0" fontId="63" fillId="0" borderId="0" xfId="0" applyFont="1" applyAlignment="1">
      <alignment horizontal="center"/>
    </xf>
    <xf numFmtId="165" fontId="16" fillId="0" borderId="0" xfId="3" applyNumberFormat="1" applyFont="1" applyAlignment="1">
      <alignment horizontal="right" wrapText="1"/>
    </xf>
    <xf numFmtId="165" fontId="16" fillId="0" borderId="1" xfId="3" applyNumberFormat="1" applyFont="1" applyBorder="1" applyAlignment="1">
      <alignment horizontal="right" wrapText="1"/>
    </xf>
    <xf numFmtId="165" fontId="45" fillId="0" borderId="1" xfId="3" applyNumberFormat="1" applyFont="1" applyBorder="1" applyAlignment="1">
      <alignment horizontal="right"/>
    </xf>
  </cellXfs>
  <cellStyles count="22">
    <cellStyle name="Bold text" xfId="3"/>
    <cellStyle name="Col header" xfId="8"/>
    <cellStyle name="Comma" xfId="1" builtinId="3"/>
    <cellStyle name="Comma 2" xfId="13"/>
    <cellStyle name="Comma 2 2" xfId="16"/>
    <cellStyle name="Comma 2 2 2" xfId="20"/>
    <cellStyle name="Comma 2 3" xfId="18"/>
    <cellStyle name="Comma 3" xfId="14"/>
    <cellStyle name="Date" xfId="9"/>
    <cellStyle name="Date &amp; time" xfId="11"/>
    <cellStyle name="Hyperlink" xfId="2" builtinId="8"/>
    <cellStyle name="Money" xfId="6"/>
    <cellStyle name="Normal" xfId="0" builtinId="0"/>
    <cellStyle name="Normal 2" xfId="12"/>
    <cellStyle name="Normal 2 2" xfId="15"/>
    <cellStyle name="Normal 2 2 2" xfId="19"/>
    <cellStyle name="Normal 2 3" xfId="17"/>
    <cellStyle name="Number" xfId="5"/>
    <cellStyle name="Percent" xfId="21" builtinId="5"/>
    <cellStyle name="Percentage" xfId="7"/>
    <cellStyle name="Text" xfId="4"/>
    <cellStyle name="Time" xfId="10"/>
  </cellStyles>
  <dxfs count="0"/>
  <tableStyles count="0" defaultTableStyle="TableStyleMedium9" defaultPivotStyle="PivotStyleLight16"/>
  <colors>
    <mruColors>
      <color rgb="FFFF00FF"/>
      <color rgb="FF66FFFF"/>
      <color rgb="FF33CCCC"/>
      <color rgb="FFFF66CC"/>
      <color rgb="FF00FF00"/>
      <color rgb="FFCCECFF"/>
      <color rgb="FF969696"/>
      <color rgb="FF0066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107950</xdr:rowOff>
    </xdr:from>
    <xdr:to>
      <xdr:col>1</xdr:col>
      <xdr:colOff>222250</xdr:colOff>
      <xdr:row>1</xdr:row>
      <xdr:rowOff>675005</xdr:rowOff>
    </xdr:to>
    <xdr:grpSp>
      <xdr:nvGrpSpPr>
        <xdr:cNvPr id="2" name="Canvas 6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3500" y="555625"/>
          <a:ext cx="768350" cy="567055"/>
          <a:chOff x="0" y="0"/>
          <a:chExt cx="768350" cy="567055"/>
        </a:xfrm>
      </xdr:grpSpPr>
      <xdr:sp macro="" textlink="">
        <xdr:nvSpPr>
          <xdr:cNvPr id="3" name="Rectangle 2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768350" cy="567055"/>
          </a:xfrm>
          <a:prstGeom prst="rect">
            <a:avLst/>
          </a:prstGeom>
          <a:noFill/>
        </xdr:spPr>
      </xdr:sp>
      <xdr:sp macro="" textlink="">
        <xdr:nvSpPr>
          <xdr:cNvPr id="4" name="Freeform 65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103502" y="0"/>
            <a:ext cx="570805" cy="567055"/>
          </a:xfrm>
          <a:custGeom>
            <a:avLst/>
            <a:gdLst>
              <a:gd name="T0" fmla="*/ 3927 w 7125"/>
              <a:gd name="T1" fmla="*/ 7057 h 7084"/>
              <a:gd name="T2" fmla="*/ 4618 w 7125"/>
              <a:gd name="T3" fmla="*/ 6911 h 7084"/>
              <a:gd name="T4" fmla="*/ 5254 w 7125"/>
              <a:gd name="T5" fmla="*/ 6645 h 7084"/>
              <a:gd name="T6" fmla="*/ 5816 w 7125"/>
              <a:gd name="T7" fmla="*/ 6262 h 7084"/>
              <a:gd name="T8" fmla="*/ 6305 w 7125"/>
              <a:gd name="T9" fmla="*/ 5777 h 7084"/>
              <a:gd name="T10" fmla="*/ 6692 w 7125"/>
              <a:gd name="T11" fmla="*/ 5219 h 7084"/>
              <a:gd name="T12" fmla="*/ 6959 w 7125"/>
              <a:gd name="T13" fmla="*/ 4589 h 7084"/>
              <a:gd name="T14" fmla="*/ 7107 w 7125"/>
              <a:gd name="T15" fmla="*/ 3894 h 7084"/>
              <a:gd name="T16" fmla="*/ 7107 w 7125"/>
              <a:gd name="T17" fmla="*/ 3181 h 7084"/>
              <a:gd name="T18" fmla="*/ 6959 w 7125"/>
              <a:gd name="T19" fmla="*/ 2486 h 7084"/>
              <a:gd name="T20" fmla="*/ 6692 w 7125"/>
              <a:gd name="T21" fmla="*/ 1847 h 7084"/>
              <a:gd name="T22" fmla="*/ 6305 w 7125"/>
              <a:gd name="T23" fmla="*/ 1289 h 7084"/>
              <a:gd name="T24" fmla="*/ 5816 w 7125"/>
              <a:gd name="T25" fmla="*/ 805 h 7084"/>
              <a:gd name="T26" fmla="*/ 5254 w 7125"/>
              <a:gd name="T27" fmla="*/ 421 h 7084"/>
              <a:gd name="T28" fmla="*/ 4618 w 7125"/>
              <a:gd name="T29" fmla="*/ 156 h 7084"/>
              <a:gd name="T30" fmla="*/ 3927 w 7125"/>
              <a:gd name="T31" fmla="*/ 9 h 7084"/>
              <a:gd name="T32" fmla="*/ 3189 w 7125"/>
              <a:gd name="T33" fmla="*/ 9 h 7084"/>
              <a:gd name="T34" fmla="*/ 2489 w 7125"/>
              <a:gd name="T35" fmla="*/ 156 h 7084"/>
              <a:gd name="T36" fmla="*/ 1853 w 7125"/>
              <a:gd name="T37" fmla="*/ 421 h 7084"/>
              <a:gd name="T38" fmla="*/ 1290 w 7125"/>
              <a:gd name="T39" fmla="*/ 805 h 7084"/>
              <a:gd name="T40" fmla="*/ 811 w 7125"/>
              <a:gd name="T41" fmla="*/ 1289 h 7084"/>
              <a:gd name="T42" fmla="*/ 415 w 7125"/>
              <a:gd name="T43" fmla="*/ 1847 h 7084"/>
              <a:gd name="T44" fmla="*/ 157 w 7125"/>
              <a:gd name="T45" fmla="*/ 2486 h 7084"/>
              <a:gd name="T46" fmla="*/ 9 w 7125"/>
              <a:gd name="T47" fmla="*/ 3181 h 7084"/>
              <a:gd name="T48" fmla="*/ 9 w 7125"/>
              <a:gd name="T49" fmla="*/ 3894 h 7084"/>
              <a:gd name="T50" fmla="*/ 157 w 7125"/>
              <a:gd name="T51" fmla="*/ 4589 h 7084"/>
              <a:gd name="T52" fmla="*/ 415 w 7125"/>
              <a:gd name="T53" fmla="*/ 5219 h 7084"/>
              <a:gd name="T54" fmla="*/ 811 w 7125"/>
              <a:gd name="T55" fmla="*/ 5777 h 7084"/>
              <a:gd name="T56" fmla="*/ 1290 w 7125"/>
              <a:gd name="T57" fmla="*/ 6262 h 7084"/>
              <a:gd name="T58" fmla="*/ 1853 w 7125"/>
              <a:gd name="T59" fmla="*/ 6645 h 7084"/>
              <a:gd name="T60" fmla="*/ 2489 w 7125"/>
              <a:gd name="T61" fmla="*/ 6911 h 7084"/>
              <a:gd name="T62" fmla="*/ 3189 w 7125"/>
              <a:gd name="T63" fmla="*/ 7057 h 7084"/>
              <a:gd name="T64" fmla="*/ 3558 w 7125"/>
              <a:gd name="T65" fmla="*/ 7084 h 70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125" h="7084">
                <a:moveTo>
                  <a:pt x="3558" y="7084"/>
                </a:moveTo>
                <a:lnTo>
                  <a:pt x="3927" y="7057"/>
                </a:lnTo>
                <a:lnTo>
                  <a:pt x="4277" y="7002"/>
                </a:lnTo>
                <a:lnTo>
                  <a:pt x="4618" y="6911"/>
                </a:lnTo>
                <a:lnTo>
                  <a:pt x="4950" y="6801"/>
                </a:lnTo>
                <a:lnTo>
                  <a:pt x="5254" y="6645"/>
                </a:lnTo>
                <a:lnTo>
                  <a:pt x="5549" y="6472"/>
                </a:lnTo>
                <a:lnTo>
                  <a:pt x="5816" y="6262"/>
                </a:lnTo>
                <a:lnTo>
                  <a:pt x="6084" y="6042"/>
                </a:lnTo>
                <a:lnTo>
                  <a:pt x="6305" y="5777"/>
                </a:lnTo>
                <a:lnTo>
                  <a:pt x="6517" y="5512"/>
                </a:lnTo>
                <a:lnTo>
                  <a:pt x="6692" y="5219"/>
                </a:lnTo>
                <a:lnTo>
                  <a:pt x="6840" y="4909"/>
                </a:lnTo>
                <a:lnTo>
                  <a:pt x="6959" y="4589"/>
                </a:lnTo>
                <a:lnTo>
                  <a:pt x="7052" y="4241"/>
                </a:lnTo>
                <a:lnTo>
                  <a:pt x="7107" y="3894"/>
                </a:lnTo>
                <a:lnTo>
                  <a:pt x="7125" y="3547"/>
                </a:lnTo>
                <a:lnTo>
                  <a:pt x="7107" y="3181"/>
                </a:lnTo>
                <a:lnTo>
                  <a:pt x="7052" y="2825"/>
                </a:lnTo>
                <a:lnTo>
                  <a:pt x="6959" y="2486"/>
                </a:lnTo>
                <a:lnTo>
                  <a:pt x="6840" y="2157"/>
                </a:lnTo>
                <a:lnTo>
                  <a:pt x="6692" y="1847"/>
                </a:lnTo>
                <a:lnTo>
                  <a:pt x="6517" y="1554"/>
                </a:lnTo>
                <a:lnTo>
                  <a:pt x="6305" y="1289"/>
                </a:lnTo>
                <a:lnTo>
                  <a:pt x="6084" y="1033"/>
                </a:lnTo>
                <a:lnTo>
                  <a:pt x="5816" y="805"/>
                </a:lnTo>
                <a:lnTo>
                  <a:pt x="5549" y="594"/>
                </a:lnTo>
                <a:lnTo>
                  <a:pt x="5254" y="421"/>
                </a:lnTo>
                <a:lnTo>
                  <a:pt x="4950" y="274"/>
                </a:lnTo>
                <a:lnTo>
                  <a:pt x="4618" y="156"/>
                </a:lnTo>
                <a:lnTo>
                  <a:pt x="4277" y="73"/>
                </a:lnTo>
                <a:lnTo>
                  <a:pt x="3927" y="9"/>
                </a:lnTo>
                <a:lnTo>
                  <a:pt x="3558" y="0"/>
                </a:lnTo>
                <a:lnTo>
                  <a:pt x="3189" y="9"/>
                </a:lnTo>
                <a:lnTo>
                  <a:pt x="2839" y="73"/>
                </a:lnTo>
                <a:lnTo>
                  <a:pt x="2489" y="156"/>
                </a:lnTo>
                <a:lnTo>
                  <a:pt x="2175" y="274"/>
                </a:lnTo>
                <a:lnTo>
                  <a:pt x="1853" y="421"/>
                </a:lnTo>
                <a:lnTo>
                  <a:pt x="1567" y="594"/>
                </a:lnTo>
                <a:lnTo>
                  <a:pt x="1290" y="805"/>
                </a:lnTo>
                <a:lnTo>
                  <a:pt x="1041" y="1033"/>
                </a:lnTo>
                <a:lnTo>
                  <a:pt x="811" y="1289"/>
                </a:lnTo>
                <a:lnTo>
                  <a:pt x="599" y="1554"/>
                </a:lnTo>
                <a:lnTo>
                  <a:pt x="415" y="1847"/>
                </a:lnTo>
                <a:lnTo>
                  <a:pt x="276" y="2157"/>
                </a:lnTo>
                <a:lnTo>
                  <a:pt x="157" y="2486"/>
                </a:lnTo>
                <a:lnTo>
                  <a:pt x="74" y="2825"/>
                </a:lnTo>
                <a:lnTo>
                  <a:pt x="9" y="3181"/>
                </a:lnTo>
                <a:lnTo>
                  <a:pt x="0" y="3547"/>
                </a:lnTo>
                <a:lnTo>
                  <a:pt x="9" y="3894"/>
                </a:lnTo>
                <a:lnTo>
                  <a:pt x="74" y="4241"/>
                </a:lnTo>
                <a:lnTo>
                  <a:pt x="157" y="4589"/>
                </a:lnTo>
                <a:lnTo>
                  <a:pt x="276" y="4909"/>
                </a:lnTo>
                <a:lnTo>
                  <a:pt x="415" y="5219"/>
                </a:lnTo>
                <a:lnTo>
                  <a:pt x="599" y="5512"/>
                </a:lnTo>
                <a:lnTo>
                  <a:pt x="811" y="5777"/>
                </a:lnTo>
                <a:lnTo>
                  <a:pt x="1041" y="6042"/>
                </a:lnTo>
                <a:lnTo>
                  <a:pt x="1290" y="6262"/>
                </a:lnTo>
                <a:lnTo>
                  <a:pt x="1567" y="6472"/>
                </a:lnTo>
                <a:lnTo>
                  <a:pt x="1853" y="6645"/>
                </a:lnTo>
                <a:lnTo>
                  <a:pt x="2175" y="6801"/>
                </a:lnTo>
                <a:lnTo>
                  <a:pt x="2489" y="6911"/>
                </a:lnTo>
                <a:lnTo>
                  <a:pt x="2839" y="7002"/>
                </a:lnTo>
                <a:lnTo>
                  <a:pt x="3189" y="7057"/>
                </a:lnTo>
                <a:lnTo>
                  <a:pt x="3558" y="7084"/>
                </a:lnTo>
                <a:close/>
              </a:path>
            </a:pathLst>
          </a:custGeom>
          <a:solidFill>
            <a:srgbClr val="00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Freeform 66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SpPr>
            <a:spLocks/>
          </xdr:cNvSpPr>
        </xdr:nvSpPr>
        <xdr:spPr bwMode="auto">
          <a:xfrm>
            <a:off x="123429" y="19748"/>
            <a:ext cx="530297" cy="526071"/>
          </a:xfrm>
          <a:custGeom>
            <a:avLst/>
            <a:gdLst>
              <a:gd name="T0" fmla="*/ 3632 w 6618"/>
              <a:gd name="T1" fmla="*/ 6554 h 6572"/>
              <a:gd name="T2" fmla="*/ 4277 w 6618"/>
              <a:gd name="T3" fmla="*/ 6417 h 6572"/>
              <a:gd name="T4" fmla="*/ 4876 w 6618"/>
              <a:gd name="T5" fmla="*/ 6170 h 6572"/>
              <a:gd name="T6" fmla="*/ 5401 w 6618"/>
              <a:gd name="T7" fmla="*/ 5813 h 6572"/>
              <a:gd name="T8" fmla="*/ 5853 w 6618"/>
              <a:gd name="T9" fmla="*/ 5375 h 6572"/>
              <a:gd name="T10" fmla="*/ 6213 w 6618"/>
              <a:gd name="T11" fmla="*/ 4845 h 6572"/>
              <a:gd name="T12" fmla="*/ 6461 w 6618"/>
              <a:gd name="T13" fmla="*/ 4250 h 6572"/>
              <a:gd name="T14" fmla="*/ 6600 w 6618"/>
              <a:gd name="T15" fmla="*/ 3620 h 6572"/>
              <a:gd name="T16" fmla="*/ 6600 w 6618"/>
              <a:gd name="T17" fmla="*/ 2952 h 6572"/>
              <a:gd name="T18" fmla="*/ 6461 w 6618"/>
              <a:gd name="T19" fmla="*/ 2303 h 6572"/>
              <a:gd name="T20" fmla="*/ 6213 w 6618"/>
              <a:gd name="T21" fmla="*/ 1718 h 6572"/>
              <a:gd name="T22" fmla="*/ 5853 w 6618"/>
              <a:gd name="T23" fmla="*/ 1197 h 6572"/>
              <a:gd name="T24" fmla="*/ 5401 w 6618"/>
              <a:gd name="T25" fmla="*/ 749 h 6572"/>
              <a:gd name="T26" fmla="*/ 4876 w 6618"/>
              <a:gd name="T27" fmla="*/ 393 h 6572"/>
              <a:gd name="T28" fmla="*/ 4277 w 6618"/>
              <a:gd name="T29" fmla="*/ 146 h 6572"/>
              <a:gd name="T30" fmla="*/ 3632 w 6618"/>
              <a:gd name="T31" fmla="*/ 18 h 6572"/>
              <a:gd name="T32" fmla="*/ 2959 w 6618"/>
              <a:gd name="T33" fmla="*/ 18 h 6572"/>
              <a:gd name="T34" fmla="*/ 2313 w 6618"/>
              <a:gd name="T35" fmla="*/ 146 h 6572"/>
              <a:gd name="T36" fmla="*/ 1723 w 6618"/>
              <a:gd name="T37" fmla="*/ 393 h 6572"/>
              <a:gd name="T38" fmla="*/ 1198 w 6618"/>
              <a:gd name="T39" fmla="*/ 749 h 6572"/>
              <a:gd name="T40" fmla="*/ 746 w 6618"/>
              <a:gd name="T41" fmla="*/ 1197 h 6572"/>
              <a:gd name="T42" fmla="*/ 387 w 6618"/>
              <a:gd name="T43" fmla="*/ 1718 h 6572"/>
              <a:gd name="T44" fmla="*/ 138 w 6618"/>
              <a:gd name="T45" fmla="*/ 2303 h 6572"/>
              <a:gd name="T46" fmla="*/ 9 w 6618"/>
              <a:gd name="T47" fmla="*/ 2952 h 6572"/>
              <a:gd name="T48" fmla="*/ 9 w 6618"/>
              <a:gd name="T49" fmla="*/ 3620 h 6572"/>
              <a:gd name="T50" fmla="*/ 138 w 6618"/>
              <a:gd name="T51" fmla="*/ 4250 h 6572"/>
              <a:gd name="T52" fmla="*/ 387 w 6618"/>
              <a:gd name="T53" fmla="*/ 4845 h 6572"/>
              <a:gd name="T54" fmla="*/ 746 w 6618"/>
              <a:gd name="T55" fmla="*/ 5375 h 6572"/>
              <a:gd name="T56" fmla="*/ 1198 w 6618"/>
              <a:gd name="T57" fmla="*/ 5813 h 6572"/>
              <a:gd name="T58" fmla="*/ 1723 w 6618"/>
              <a:gd name="T59" fmla="*/ 6170 h 6572"/>
              <a:gd name="T60" fmla="*/ 2313 w 6618"/>
              <a:gd name="T61" fmla="*/ 6417 h 6572"/>
              <a:gd name="T62" fmla="*/ 2959 w 6618"/>
              <a:gd name="T63" fmla="*/ 6554 h 6572"/>
              <a:gd name="T64" fmla="*/ 3309 w 6618"/>
              <a:gd name="T65" fmla="*/ 6572 h 65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618" h="6572">
                <a:moveTo>
                  <a:pt x="3309" y="6572"/>
                </a:moveTo>
                <a:lnTo>
                  <a:pt x="3632" y="6554"/>
                </a:lnTo>
                <a:lnTo>
                  <a:pt x="3963" y="6508"/>
                </a:lnTo>
                <a:lnTo>
                  <a:pt x="4277" y="6417"/>
                </a:lnTo>
                <a:lnTo>
                  <a:pt x="4590" y="6316"/>
                </a:lnTo>
                <a:lnTo>
                  <a:pt x="4876" y="6170"/>
                </a:lnTo>
                <a:lnTo>
                  <a:pt x="5153" y="6015"/>
                </a:lnTo>
                <a:lnTo>
                  <a:pt x="5401" y="5813"/>
                </a:lnTo>
                <a:lnTo>
                  <a:pt x="5641" y="5612"/>
                </a:lnTo>
                <a:lnTo>
                  <a:pt x="5853" y="5375"/>
                </a:lnTo>
                <a:lnTo>
                  <a:pt x="6047" y="5119"/>
                </a:lnTo>
                <a:lnTo>
                  <a:pt x="6213" y="4845"/>
                </a:lnTo>
                <a:lnTo>
                  <a:pt x="6351" y="4561"/>
                </a:lnTo>
                <a:lnTo>
                  <a:pt x="6461" y="4250"/>
                </a:lnTo>
                <a:lnTo>
                  <a:pt x="6554" y="3949"/>
                </a:lnTo>
                <a:lnTo>
                  <a:pt x="6600" y="3620"/>
                </a:lnTo>
                <a:lnTo>
                  <a:pt x="6618" y="3291"/>
                </a:lnTo>
                <a:lnTo>
                  <a:pt x="6600" y="2952"/>
                </a:lnTo>
                <a:lnTo>
                  <a:pt x="6554" y="2623"/>
                </a:lnTo>
                <a:lnTo>
                  <a:pt x="6461" y="2303"/>
                </a:lnTo>
                <a:lnTo>
                  <a:pt x="6351" y="2011"/>
                </a:lnTo>
                <a:lnTo>
                  <a:pt x="6213" y="1718"/>
                </a:lnTo>
                <a:lnTo>
                  <a:pt x="6047" y="1444"/>
                </a:lnTo>
                <a:lnTo>
                  <a:pt x="5853" y="1197"/>
                </a:lnTo>
                <a:lnTo>
                  <a:pt x="5641" y="960"/>
                </a:lnTo>
                <a:lnTo>
                  <a:pt x="5401" y="749"/>
                </a:lnTo>
                <a:lnTo>
                  <a:pt x="5153" y="558"/>
                </a:lnTo>
                <a:lnTo>
                  <a:pt x="4876" y="393"/>
                </a:lnTo>
                <a:lnTo>
                  <a:pt x="4590" y="265"/>
                </a:lnTo>
                <a:lnTo>
                  <a:pt x="4277" y="146"/>
                </a:lnTo>
                <a:lnTo>
                  <a:pt x="3963" y="64"/>
                </a:lnTo>
                <a:lnTo>
                  <a:pt x="3632" y="18"/>
                </a:lnTo>
                <a:lnTo>
                  <a:pt x="3309" y="0"/>
                </a:lnTo>
                <a:lnTo>
                  <a:pt x="2959" y="18"/>
                </a:lnTo>
                <a:lnTo>
                  <a:pt x="2627" y="64"/>
                </a:lnTo>
                <a:lnTo>
                  <a:pt x="2313" y="146"/>
                </a:lnTo>
                <a:lnTo>
                  <a:pt x="2018" y="265"/>
                </a:lnTo>
                <a:lnTo>
                  <a:pt x="1723" y="393"/>
                </a:lnTo>
                <a:lnTo>
                  <a:pt x="1456" y="558"/>
                </a:lnTo>
                <a:lnTo>
                  <a:pt x="1198" y="749"/>
                </a:lnTo>
                <a:lnTo>
                  <a:pt x="968" y="960"/>
                </a:lnTo>
                <a:lnTo>
                  <a:pt x="746" y="1197"/>
                </a:lnTo>
                <a:lnTo>
                  <a:pt x="562" y="1444"/>
                </a:lnTo>
                <a:lnTo>
                  <a:pt x="387" y="1718"/>
                </a:lnTo>
                <a:lnTo>
                  <a:pt x="258" y="2011"/>
                </a:lnTo>
                <a:lnTo>
                  <a:pt x="138" y="2303"/>
                </a:lnTo>
                <a:lnTo>
                  <a:pt x="64" y="2623"/>
                </a:lnTo>
                <a:lnTo>
                  <a:pt x="9" y="2952"/>
                </a:lnTo>
                <a:lnTo>
                  <a:pt x="0" y="3291"/>
                </a:lnTo>
                <a:lnTo>
                  <a:pt x="9" y="3620"/>
                </a:lnTo>
                <a:lnTo>
                  <a:pt x="64" y="3949"/>
                </a:lnTo>
                <a:lnTo>
                  <a:pt x="138" y="4250"/>
                </a:lnTo>
                <a:lnTo>
                  <a:pt x="258" y="4561"/>
                </a:lnTo>
                <a:lnTo>
                  <a:pt x="387" y="4845"/>
                </a:lnTo>
                <a:lnTo>
                  <a:pt x="562" y="5119"/>
                </a:lnTo>
                <a:lnTo>
                  <a:pt x="746" y="5375"/>
                </a:lnTo>
                <a:lnTo>
                  <a:pt x="968" y="5612"/>
                </a:lnTo>
                <a:lnTo>
                  <a:pt x="1198" y="5813"/>
                </a:lnTo>
                <a:lnTo>
                  <a:pt x="1456" y="6015"/>
                </a:lnTo>
                <a:lnTo>
                  <a:pt x="1723" y="6170"/>
                </a:lnTo>
                <a:lnTo>
                  <a:pt x="2018" y="6316"/>
                </a:lnTo>
                <a:lnTo>
                  <a:pt x="2313" y="6417"/>
                </a:lnTo>
                <a:lnTo>
                  <a:pt x="2627" y="6508"/>
                </a:lnTo>
                <a:lnTo>
                  <a:pt x="2959" y="6554"/>
                </a:lnTo>
                <a:lnTo>
                  <a:pt x="3309" y="6572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6" name="Freeform 67">
            <a:extLst>
              <a:ext uri="{FF2B5EF4-FFF2-40B4-BE49-F238E27FC236}">
                <a16:creationId xmlns="" xmlns:a16="http://schemas.microsoft.com/office/drawing/2014/main" id="{00000000-0008-0000-0000-000006000000}"/>
              </a:ext>
            </a:extLst>
          </xdr:cNvPr>
          <xdr:cNvSpPr>
            <a:spLocks/>
          </xdr:cNvSpPr>
        </xdr:nvSpPr>
        <xdr:spPr bwMode="auto">
          <a:xfrm>
            <a:off x="142523" y="39556"/>
            <a:ext cx="490442" cy="485801"/>
          </a:xfrm>
          <a:custGeom>
            <a:avLst/>
            <a:gdLst>
              <a:gd name="T0" fmla="*/ 3365 w 6121"/>
              <a:gd name="T1" fmla="*/ 6051 h 6069"/>
              <a:gd name="T2" fmla="*/ 3955 w 6121"/>
              <a:gd name="T3" fmla="*/ 5923 h 6069"/>
              <a:gd name="T4" fmla="*/ 4508 w 6121"/>
              <a:gd name="T5" fmla="*/ 5694 h 6069"/>
              <a:gd name="T6" fmla="*/ 5006 w 6121"/>
              <a:gd name="T7" fmla="*/ 5374 h 6069"/>
              <a:gd name="T8" fmla="*/ 5421 w 6121"/>
              <a:gd name="T9" fmla="*/ 4963 h 6069"/>
              <a:gd name="T10" fmla="*/ 5743 w 6121"/>
              <a:gd name="T11" fmla="*/ 4470 h 6069"/>
              <a:gd name="T12" fmla="*/ 5974 w 6121"/>
              <a:gd name="T13" fmla="*/ 3930 h 6069"/>
              <a:gd name="T14" fmla="*/ 6103 w 6121"/>
              <a:gd name="T15" fmla="*/ 3336 h 6069"/>
              <a:gd name="T16" fmla="*/ 6103 w 6121"/>
              <a:gd name="T17" fmla="*/ 2724 h 6069"/>
              <a:gd name="T18" fmla="*/ 5974 w 6121"/>
              <a:gd name="T19" fmla="*/ 2130 h 6069"/>
              <a:gd name="T20" fmla="*/ 5743 w 6121"/>
              <a:gd name="T21" fmla="*/ 1581 h 6069"/>
              <a:gd name="T22" fmla="*/ 5421 w 6121"/>
              <a:gd name="T23" fmla="*/ 1097 h 6069"/>
              <a:gd name="T24" fmla="*/ 5006 w 6121"/>
              <a:gd name="T25" fmla="*/ 685 h 6069"/>
              <a:gd name="T26" fmla="*/ 4508 w 6121"/>
              <a:gd name="T27" fmla="*/ 365 h 6069"/>
              <a:gd name="T28" fmla="*/ 3955 w 6121"/>
              <a:gd name="T29" fmla="*/ 128 h 6069"/>
              <a:gd name="T30" fmla="*/ 3365 w 6121"/>
              <a:gd name="T31" fmla="*/ 18 h 6069"/>
              <a:gd name="T32" fmla="*/ 2738 w 6121"/>
              <a:gd name="T33" fmla="*/ 18 h 6069"/>
              <a:gd name="T34" fmla="*/ 2148 w 6121"/>
              <a:gd name="T35" fmla="*/ 128 h 6069"/>
              <a:gd name="T36" fmla="*/ 1595 w 6121"/>
              <a:gd name="T37" fmla="*/ 365 h 6069"/>
              <a:gd name="T38" fmla="*/ 1107 w 6121"/>
              <a:gd name="T39" fmla="*/ 685 h 6069"/>
              <a:gd name="T40" fmla="*/ 692 w 6121"/>
              <a:gd name="T41" fmla="*/ 1097 h 6069"/>
              <a:gd name="T42" fmla="*/ 369 w 6121"/>
              <a:gd name="T43" fmla="*/ 1581 h 6069"/>
              <a:gd name="T44" fmla="*/ 129 w 6121"/>
              <a:gd name="T45" fmla="*/ 2130 h 6069"/>
              <a:gd name="T46" fmla="*/ 19 w 6121"/>
              <a:gd name="T47" fmla="*/ 2724 h 6069"/>
              <a:gd name="T48" fmla="*/ 19 w 6121"/>
              <a:gd name="T49" fmla="*/ 3336 h 6069"/>
              <a:gd name="T50" fmla="*/ 129 w 6121"/>
              <a:gd name="T51" fmla="*/ 3930 h 6069"/>
              <a:gd name="T52" fmla="*/ 369 w 6121"/>
              <a:gd name="T53" fmla="*/ 4470 h 6069"/>
              <a:gd name="T54" fmla="*/ 692 w 6121"/>
              <a:gd name="T55" fmla="*/ 4963 h 6069"/>
              <a:gd name="T56" fmla="*/ 1107 w 6121"/>
              <a:gd name="T57" fmla="*/ 5374 h 6069"/>
              <a:gd name="T58" fmla="*/ 1595 w 6121"/>
              <a:gd name="T59" fmla="*/ 5694 h 6069"/>
              <a:gd name="T60" fmla="*/ 2148 w 6121"/>
              <a:gd name="T61" fmla="*/ 5923 h 6069"/>
              <a:gd name="T62" fmla="*/ 2738 w 6121"/>
              <a:gd name="T63" fmla="*/ 6051 h 6069"/>
              <a:gd name="T64" fmla="*/ 3061 w 6121"/>
              <a:gd name="T65" fmla="*/ 6069 h 60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121" h="6069">
                <a:moveTo>
                  <a:pt x="3061" y="6069"/>
                </a:moveTo>
                <a:lnTo>
                  <a:pt x="3365" y="6051"/>
                </a:lnTo>
                <a:lnTo>
                  <a:pt x="3669" y="6005"/>
                </a:lnTo>
                <a:lnTo>
                  <a:pt x="3955" y="5923"/>
                </a:lnTo>
                <a:lnTo>
                  <a:pt x="4241" y="5832"/>
                </a:lnTo>
                <a:lnTo>
                  <a:pt x="4508" y="5694"/>
                </a:lnTo>
                <a:lnTo>
                  <a:pt x="4766" y="5548"/>
                </a:lnTo>
                <a:lnTo>
                  <a:pt x="5006" y="5374"/>
                </a:lnTo>
                <a:lnTo>
                  <a:pt x="5218" y="5173"/>
                </a:lnTo>
                <a:lnTo>
                  <a:pt x="5421" y="4963"/>
                </a:lnTo>
                <a:lnTo>
                  <a:pt x="5596" y="4725"/>
                </a:lnTo>
                <a:lnTo>
                  <a:pt x="5743" y="4470"/>
                </a:lnTo>
                <a:lnTo>
                  <a:pt x="5881" y="4214"/>
                </a:lnTo>
                <a:lnTo>
                  <a:pt x="5974" y="3930"/>
                </a:lnTo>
                <a:lnTo>
                  <a:pt x="6057" y="3638"/>
                </a:lnTo>
                <a:lnTo>
                  <a:pt x="6103" y="3336"/>
                </a:lnTo>
                <a:lnTo>
                  <a:pt x="6121" y="3034"/>
                </a:lnTo>
                <a:lnTo>
                  <a:pt x="6103" y="2724"/>
                </a:lnTo>
                <a:lnTo>
                  <a:pt x="6057" y="2422"/>
                </a:lnTo>
                <a:lnTo>
                  <a:pt x="5974" y="2130"/>
                </a:lnTo>
                <a:lnTo>
                  <a:pt x="5881" y="1855"/>
                </a:lnTo>
                <a:lnTo>
                  <a:pt x="5743" y="1581"/>
                </a:lnTo>
                <a:lnTo>
                  <a:pt x="5596" y="1343"/>
                </a:lnTo>
                <a:lnTo>
                  <a:pt x="5421" y="1097"/>
                </a:lnTo>
                <a:lnTo>
                  <a:pt x="5218" y="886"/>
                </a:lnTo>
                <a:lnTo>
                  <a:pt x="5006" y="685"/>
                </a:lnTo>
                <a:lnTo>
                  <a:pt x="4766" y="512"/>
                </a:lnTo>
                <a:lnTo>
                  <a:pt x="4508" y="365"/>
                </a:lnTo>
                <a:lnTo>
                  <a:pt x="4241" y="237"/>
                </a:lnTo>
                <a:lnTo>
                  <a:pt x="3955" y="128"/>
                </a:lnTo>
                <a:lnTo>
                  <a:pt x="3669" y="55"/>
                </a:lnTo>
                <a:lnTo>
                  <a:pt x="3365" y="18"/>
                </a:lnTo>
                <a:lnTo>
                  <a:pt x="3061" y="0"/>
                </a:lnTo>
                <a:lnTo>
                  <a:pt x="2738" y="18"/>
                </a:lnTo>
                <a:lnTo>
                  <a:pt x="2443" y="55"/>
                </a:lnTo>
                <a:lnTo>
                  <a:pt x="2148" y="128"/>
                </a:lnTo>
                <a:lnTo>
                  <a:pt x="1872" y="237"/>
                </a:lnTo>
                <a:lnTo>
                  <a:pt x="1595" y="365"/>
                </a:lnTo>
                <a:lnTo>
                  <a:pt x="1346" y="512"/>
                </a:lnTo>
                <a:lnTo>
                  <a:pt x="1107" y="685"/>
                </a:lnTo>
                <a:lnTo>
                  <a:pt x="895" y="886"/>
                </a:lnTo>
                <a:lnTo>
                  <a:pt x="692" y="1097"/>
                </a:lnTo>
                <a:lnTo>
                  <a:pt x="517" y="1343"/>
                </a:lnTo>
                <a:lnTo>
                  <a:pt x="369" y="1581"/>
                </a:lnTo>
                <a:lnTo>
                  <a:pt x="240" y="1855"/>
                </a:lnTo>
                <a:lnTo>
                  <a:pt x="129" y="2130"/>
                </a:lnTo>
                <a:lnTo>
                  <a:pt x="56" y="2422"/>
                </a:lnTo>
                <a:lnTo>
                  <a:pt x="19" y="2724"/>
                </a:lnTo>
                <a:lnTo>
                  <a:pt x="0" y="3034"/>
                </a:lnTo>
                <a:lnTo>
                  <a:pt x="19" y="3336"/>
                </a:lnTo>
                <a:lnTo>
                  <a:pt x="56" y="3638"/>
                </a:lnTo>
                <a:lnTo>
                  <a:pt x="129" y="3930"/>
                </a:lnTo>
                <a:lnTo>
                  <a:pt x="240" y="4214"/>
                </a:lnTo>
                <a:lnTo>
                  <a:pt x="369" y="4470"/>
                </a:lnTo>
                <a:lnTo>
                  <a:pt x="517" y="4725"/>
                </a:lnTo>
                <a:lnTo>
                  <a:pt x="692" y="4963"/>
                </a:lnTo>
                <a:lnTo>
                  <a:pt x="895" y="5173"/>
                </a:lnTo>
                <a:lnTo>
                  <a:pt x="1107" y="5374"/>
                </a:lnTo>
                <a:lnTo>
                  <a:pt x="1346" y="5548"/>
                </a:lnTo>
                <a:lnTo>
                  <a:pt x="1595" y="5694"/>
                </a:lnTo>
                <a:lnTo>
                  <a:pt x="1872" y="5832"/>
                </a:lnTo>
                <a:lnTo>
                  <a:pt x="2148" y="5923"/>
                </a:lnTo>
                <a:lnTo>
                  <a:pt x="2443" y="6005"/>
                </a:lnTo>
                <a:lnTo>
                  <a:pt x="2738" y="6051"/>
                </a:lnTo>
                <a:lnTo>
                  <a:pt x="3061" y="6069"/>
                </a:lnTo>
                <a:close/>
              </a:path>
            </a:pathLst>
          </a:custGeom>
          <a:solidFill>
            <a:srgbClr val="00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" name="Freeform 68">
            <a:extLst>
              <a:ext uri="{FF2B5EF4-FFF2-40B4-BE49-F238E27FC236}">
                <a16:creationId xmlns="" xmlns:a16="http://schemas.microsoft.com/office/drawing/2014/main" id="{00000000-0008-0000-0000-000007000000}"/>
              </a:ext>
            </a:extLst>
          </xdr:cNvPr>
          <xdr:cNvSpPr>
            <a:spLocks/>
          </xdr:cNvSpPr>
        </xdr:nvSpPr>
        <xdr:spPr bwMode="auto">
          <a:xfrm>
            <a:off x="163342" y="59305"/>
            <a:ext cx="448269" cy="445530"/>
          </a:xfrm>
          <a:custGeom>
            <a:avLst/>
            <a:gdLst>
              <a:gd name="T0" fmla="*/ 3069 w 5595"/>
              <a:gd name="T1" fmla="*/ 5548 h 5566"/>
              <a:gd name="T2" fmla="*/ 3613 w 5595"/>
              <a:gd name="T3" fmla="*/ 5429 h 5566"/>
              <a:gd name="T4" fmla="*/ 4120 w 5595"/>
              <a:gd name="T5" fmla="*/ 5219 h 5566"/>
              <a:gd name="T6" fmla="*/ 4572 w 5595"/>
              <a:gd name="T7" fmla="*/ 4926 h 5566"/>
              <a:gd name="T8" fmla="*/ 4950 w 5595"/>
              <a:gd name="T9" fmla="*/ 4542 h 5566"/>
              <a:gd name="T10" fmla="*/ 5244 w 5595"/>
              <a:gd name="T11" fmla="*/ 4104 h 5566"/>
              <a:gd name="T12" fmla="*/ 5466 w 5595"/>
              <a:gd name="T13" fmla="*/ 3601 h 5566"/>
              <a:gd name="T14" fmla="*/ 5576 w 5595"/>
              <a:gd name="T15" fmla="*/ 3062 h 5566"/>
              <a:gd name="T16" fmla="*/ 5576 w 5595"/>
              <a:gd name="T17" fmla="*/ 2495 h 5566"/>
              <a:gd name="T18" fmla="*/ 5466 w 5595"/>
              <a:gd name="T19" fmla="*/ 1946 h 5566"/>
              <a:gd name="T20" fmla="*/ 5244 w 5595"/>
              <a:gd name="T21" fmla="*/ 1444 h 5566"/>
              <a:gd name="T22" fmla="*/ 4950 w 5595"/>
              <a:gd name="T23" fmla="*/ 1005 h 5566"/>
              <a:gd name="T24" fmla="*/ 4572 w 5595"/>
              <a:gd name="T25" fmla="*/ 621 h 5566"/>
              <a:gd name="T26" fmla="*/ 4120 w 5595"/>
              <a:gd name="T27" fmla="*/ 329 h 5566"/>
              <a:gd name="T28" fmla="*/ 3613 w 5595"/>
              <a:gd name="T29" fmla="*/ 118 h 5566"/>
              <a:gd name="T30" fmla="*/ 3069 w 5595"/>
              <a:gd name="T31" fmla="*/ 9 h 5566"/>
              <a:gd name="T32" fmla="*/ 2507 w 5595"/>
              <a:gd name="T33" fmla="*/ 9 h 5566"/>
              <a:gd name="T34" fmla="*/ 1954 w 5595"/>
              <a:gd name="T35" fmla="*/ 118 h 5566"/>
              <a:gd name="T36" fmla="*/ 1456 w 5595"/>
              <a:gd name="T37" fmla="*/ 329 h 5566"/>
              <a:gd name="T38" fmla="*/ 1004 w 5595"/>
              <a:gd name="T39" fmla="*/ 621 h 5566"/>
              <a:gd name="T40" fmla="*/ 626 w 5595"/>
              <a:gd name="T41" fmla="*/ 1005 h 5566"/>
              <a:gd name="T42" fmla="*/ 322 w 5595"/>
              <a:gd name="T43" fmla="*/ 1444 h 5566"/>
              <a:gd name="T44" fmla="*/ 110 w 5595"/>
              <a:gd name="T45" fmla="*/ 1946 h 5566"/>
              <a:gd name="T46" fmla="*/ 9 w 5595"/>
              <a:gd name="T47" fmla="*/ 2495 h 5566"/>
              <a:gd name="T48" fmla="*/ 9 w 5595"/>
              <a:gd name="T49" fmla="*/ 3062 h 5566"/>
              <a:gd name="T50" fmla="*/ 110 w 5595"/>
              <a:gd name="T51" fmla="*/ 3601 h 5566"/>
              <a:gd name="T52" fmla="*/ 322 w 5595"/>
              <a:gd name="T53" fmla="*/ 4104 h 5566"/>
              <a:gd name="T54" fmla="*/ 626 w 5595"/>
              <a:gd name="T55" fmla="*/ 4542 h 5566"/>
              <a:gd name="T56" fmla="*/ 1004 w 5595"/>
              <a:gd name="T57" fmla="*/ 4926 h 5566"/>
              <a:gd name="T58" fmla="*/ 1456 w 5595"/>
              <a:gd name="T59" fmla="*/ 5219 h 5566"/>
              <a:gd name="T60" fmla="*/ 1954 w 5595"/>
              <a:gd name="T61" fmla="*/ 5429 h 5566"/>
              <a:gd name="T62" fmla="*/ 2507 w 5595"/>
              <a:gd name="T63" fmla="*/ 5548 h 5566"/>
              <a:gd name="T64" fmla="*/ 2793 w 5595"/>
              <a:gd name="T65" fmla="*/ 5566 h 55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5595" h="5566">
                <a:moveTo>
                  <a:pt x="2793" y="5566"/>
                </a:moveTo>
                <a:lnTo>
                  <a:pt x="3069" y="5548"/>
                </a:lnTo>
                <a:lnTo>
                  <a:pt x="3355" y="5502"/>
                </a:lnTo>
                <a:lnTo>
                  <a:pt x="3613" y="5429"/>
                </a:lnTo>
                <a:lnTo>
                  <a:pt x="3880" y="5347"/>
                </a:lnTo>
                <a:lnTo>
                  <a:pt x="4120" y="5219"/>
                </a:lnTo>
                <a:lnTo>
                  <a:pt x="4350" y="5082"/>
                </a:lnTo>
                <a:lnTo>
                  <a:pt x="4572" y="4926"/>
                </a:lnTo>
                <a:lnTo>
                  <a:pt x="4774" y="4753"/>
                </a:lnTo>
                <a:lnTo>
                  <a:pt x="4950" y="4542"/>
                </a:lnTo>
                <a:lnTo>
                  <a:pt x="5115" y="4332"/>
                </a:lnTo>
                <a:lnTo>
                  <a:pt x="5244" y="4104"/>
                </a:lnTo>
                <a:lnTo>
                  <a:pt x="5374" y="3866"/>
                </a:lnTo>
                <a:lnTo>
                  <a:pt x="5466" y="3601"/>
                </a:lnTo>
                <a:lnTo>
                  <a:pt x="5530" y="3336"/>
                </a:lnTo>
                <a:lnTo>
                  <a:pt x="5576" y="3062"/>
                </a:lnTo>
                <a:lnTo>
                  <a:pt x="5595" y="2787"/>
                </a:lnTo>
                <a:lnTo>
                  <a:pt x="5576" y="2495"/>
                </a:lnTo>
                <a:lnTo>
                  <a:pt x="5530" y="2221"/>
                </a:lnTo>
                <a:lnTo>
                  <a:pt x="5466" y="1946"/>
                </a:lnTo>
                <a:lnTo>
                  <a:pt x="5374" y="1700"/>
                </a:lnTo>
                <a:lnTo>
                  <a:pt x="5244" y="1444"/>
                </a:lnTo>
                <a:lnTo>
                  <a:pt x="5115" y="1224"/>
                </a:lnTo>
                <a:lnTo>
                  <a:pt x="4950" y="1005"/>
                </a:lnTo>
                <a:lnTo>
                  <a:pt x="4774" y="813"/>
                </a:lnTo>
                <a:lnTo>
                  <a:pt x="4572" y="621"/>
                </a:lnTo>
                <a:lnTo>
                  <a:pt x="4350" y="466"/>
                </a:lnTo>
                <a:lnTo>
                  <a:pt x="4120" y="329"/>
                </a:lnTo>
                <a:lnTo>
                  <a:pt x="3880" y="210"/>
                </a:lnTo>
                <a:lnTo>
                  <a:pt x="3613" y="118"/>
                </a:lnTo>
                <a:lnTo>
                  <a:pt x="3355" y="54"/>
                </a:lnTo>
                <a:lnTo>
                  <a:pt x="3069" y="9"/>
                </a:lnTo>
                <a:lnTo>
                  <a:pt x="2793" y="0"/>
                </a:lnTo>
                <a:lnTo>
                  <a:pt x="2507" y="9"/>
                </a:lnTo>
                <a:lnTo>
                  <a:pt x="2221" y="54"/>
                </a:lnTo>
                <a:lnTo>
                  <a:pt x="1954" y="118"/>
                </a:lnTo>
                <a:lnTo>
                  <a:pt x="1705" y="210"/>
                </a:lnTo>
                <a:lnTo>
                  <a:pt x="1456" y="329"/>
                </a:lnTo>
                <a:lnTo>
                  <a:pt x="1225" y="466"/>
                </a:lnTo>
                <a:lnTo>
                  <a:pt x="1004" y="621"/>
                </a:lnTo>
                <a:lnTo>
                  <a:pt x="811" y="813"/>
                </a:lnTo>
                <a:lnTo>
                  <a:pt x="626" y="1005"/>
                </a:lnTo>
                <a:lnTo>
                  <a:pt x="470" y="1224"/>
                </a:lnTo>
                <a:lnTo>
                  <a:pt x="322" y="1444"/>
                </a:lnTo>
                <a:lnTo>
                  <a:pt x="212" y="1700"/>
                </a:lnTo>
                <a:lnTo>
                  <a:pt x="110" y="1946"/>
                </a:lnTo>
                <a:lnTo>
                  <a:pt x="46" y="2221"/>
                </a:lnTo>
                <a:lnTo>
                  <a:pt x="9" y="2495"/>
                </a:lnTo>
                <a:lnTo>
                  <a:pt x="0" y="2787"/>
                </a:lnTo>
                <a:lnTo>
                  <a:pt x="9" y="3062"/>
                </a:lnTo>
                <a:lnTo>
                  <a:pt x="46" y="3336"/>
                </a:lnTo>
                <a:lnTo>
                  <a:pt x="110" y="3601"/>
                </a:lnTo>
                <a:lnTo>
                  <a:pt x="212" y="3866"/>
                </a:lnTo>
                <a:lnTo>
                  <a:pt x="322" y="4104"/>
                </a:lnTo>
                <a:lnTo>
                  <a:pt x="470" y="4332"/>
                </a:lnTo>
                <a:lnTo>
                  <a:pt x="626" y="4542"/>
                </a:lnTo>
                <a:lnTo>
                  <a:pt x="811" y="4753"/>
                </a:lnTo>
                <a:lnTo>
                  <a:pt x="1004" y="4926"/>
                </a:lnTo>
                <a:lnTo>
                  <a:pt x="1225" y="5082"/>
                </a:lnTo>
                <a:lnTo>
                  <a:pt x="1456" y="5219"/>
                </a:lnTo>
                <a:lnTo>
                  <a:pt x="1705" y="5347"/>
                </a:lnTo>
                <a:lnTo>
                  <a:pt x="1954" y="5429"/>
                </a:lnTo>
                <a:lnTo>
                  <a:pt x="2221" y="5502"/>
                </a:lnTo>
                <a:lnTo>
                  <a:pt x="2507" y="5548"/>
                </a:lnTo>
                <a:lnTo>
                  <a:pt x="2793" y="5566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" name="Freeform 69">
            <a:extLst>
              <a:ext uri="{FF2B5EF4-FFF2-40B4-BE49-F238E27FC236}">
                <a16:creationId xmlns="" xmlns:a16="http://schemas.microsoft.com/office/drawing/2014/main" id="{00000000-0008-0000-0000-000008000000}"/>
              </a:ext>
            </a:extLst>
          </xdr:cNvPr>
          <xdr:cNvSpPr>
            <a:spLocks/>
          </xdr:cNvSpPr>
        </xdr:nvSpPr>
        <xdr:spPr bwMode="auto">
          <a:xfrm>
            <a:off x="182020" y="74949"/>
            <a:ext cx="206051" cy="405379"/>
          </a:xfrm>
          <a:custGeom>
            <a:avLst/>
            <a:gdLst>
              <a:gd name="T0" fmla="*/ 2268 w 2572"/>
              <a:gd name="T1" fmla="*/ 5028 h 5064"/>
              <a:gd name="T2" fmla="*/ 1733 w 2572"/>
              <a:gd name="T3" fmla="*/ 4918 h 5064"/>
              <a:gd name="T4" fmla="*/ 1263 w 2572"/>
              <a:gd name="T5" fmla="*/ 4726 h 5064"/>
              <a:gd name="T6" fmla="*/ 858 w 2572"/>
              <a:gd name="T7" fmla="*/ 4443 h 5064"/>
              <a:gd name="T8" fmla="*/ 507 w 2572"/>
              <a:gd name="T9" fmla="*/ 4095 h 5064"/>
              <a:gd name="T10" fmla="*/ 249 w 2572"/>
              <a:gd name="T11" fmla="*/ 3684 h 5064"/>
              <a:gd name="T12" fmla="*/ 74 w 2572"/>
              <a:gd name="T13" fmla="*/ 3218 h 5064"/>
              <a:gd name="T14" fmla="*/ 0 w 2572"/>
              <a:gd name="T15" fmla="*/ 2706 h 5064"/>
              <a:gd name="T16" fmla="*/ 19 w 2572"/>
              <a:gd name="T17" fmla="*/ 2148 h 5064"/>
              <a:gd name="T18" fmla="*/ 129 w 2572"/>
              <a:gd name="T19" fmla="*/ 1646 h 5064"/>
              <a:gd name="T20" fmla="*/ 332 w 2572"/>
              <a:gd name="T21" fmla="*/ 1189 h 5064"/>
              <a:gd name="T22" fmla="*/ 609 w 2572"/>
              <a:gd name="T23" fmla="*/ 805 h 5064"/>
              <a:gd name="T24" fmla="*/ 950 w 2572"/>
              <a:gd name="T25" fmla="*/ 476 h 5064"/>
              <a:gd name="T26" fmla="*/ 1355 w 2572"/>
              <a:gd name="T27" fmla="*/ 238 h 5064"/>
              <a:gd name="T28" fmla="*/ 1807 w 2572"/>
              <a:gd name="T29" fmla="*/ 64 h 5064"/>
              <a:gd name="T30" fmla="*/ 2305 w 2572"/>
              <a:gd name="T31" fmla="*/ 0 h 5064"/>
              <a:gd name="T32" fmla="*/ 2563 w 2572"/>
              <a:gd name="T33" fmla="*/ 265 h 5064"/>
              <a:gd name="T34" fmla="*/ 2084 w 2572"/>
              <a:gd name="T35" fmla="*/ 293 h 5064"/>
              <a:gd name="T36" fmla="*/ 1641 w 2572"/>
              <a:gd name="T37" fmla="*/ 412 h 5064"/>
              <a:gd name="T38" fmla="*/ 1236 w 2572"/>
              <a:gd name="T39" fmla="*/ 604 h 5064"/>
              <a:gd name="T40" fmla="*/ 904 w 2572"/>
              <a:gd name="T41" fmla="*/ 869 h 5064"/>
              <a:gd name="T42" fmla="*/ 609 w 2572"/>
              <a:gd name="T43" fmla="*/ 1189 h 5064"/>
              <a:gd name="T44" fmla="*/ 406 w 2572"/>
              <a:gd name="T45" fmla="*/ 1573 h 5064"/>
              <a:gd name="T46" fmla="*/ 277 w 2572"/>
              <a:gd name="T47" fmla="*/ 1993 h 5064"/>
              <a:gd name="T48" fmla="*/ 231 w 2572"/>
              <a:gd name="T49" fmla="*/ 2468 h 5064"/>
              <a:gd name="T50" fmla="*/ 277 w 2572"/>
              <a:gd name="T51" fmla="*/ 2925 h 5064"/>
              <a:gd name="T52" fmla="*/ 406 w 2572"/>
              <a:gd name="T53" fmla="*/ 3364 h 5064"/>
              <a:gd name="T54" fmla="*/ 600 w 2572"/>
              <a:gd name="T55" fmla="*/ 3766 h 5064"/>
              <a:gd name="T56" fmla="*/ 885 w 2572"/>
              <a:gd name="T57" fmla="*/ 4123 h 5064"/>
              <a:gd name="T58" fmla="*/ 1208 w 2572"/>
              <a:gd name="T59" fmla="*/ 4406 h 5064"/>
              <a:gd name="T60" fmla="*/ 1614 w 2572"/>
              <a:gd name="T61" fmla="*/ 4626 h 5064"/>
              <a:gd name="T62" fmla="*/ 2056 w 2572"/>
              <a:gd name="T63" fmla="*/ 4772 h 5064"/>
              <a:gd name="T64" fmla="*/ 2563 w 2572"/>
              <a:gd name="T65" fmla="*/ 4827 h 5064"/>
              <a:gd name="T66" fmla="*/ 2563 w 2572"/>
              <a:gd name="T67" fmla="*/ 5064 h 50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572" h="5064">
                <a:moveTo>
                  <a:pt x="2563" y="5064"/>
                </a:moveTo>
                <a:lnTo>
                  <a:pt x="2268" y="5028"/>
                </a:lnTo>
                <a:lnTo>
                  <a:pt x="1991" y="4991"/>
                </a:lnTo>
                <a:lnTo>
                  <a:pt x="1733" y="4918"/>
                </a:lnTo>
                <a:lnTo>
                  <a:pt x="1494" y="4836"/>
                </a:lnTo>
                <a:lnTo>
                  <a:pt x="1263" y="4726"/>
                </a:lnTo>
                <a:lnTo>
                  <a:pt x="1051" y="4598"/>
                </a:lnTo>
                <a:lnTo>
                  <a:pt x="858" y="4443"/>
                </a:lnTo>
                <a:lnTo>
                  <a:pt x="683" y="4287"/>
                </a:lnTo>
                <a:lnTo>
                  <a:pt x="507" y="4095"/>
                </a:lnTo>
                <a:lnTo>
                  <a:pt x="378" y="3903"/>
                </a:lnTo>
                <a:lnTo>
                  <a:pt x="249" y="3684"/>
                </a:lnTo>
                <a:lnTo>
                  <a:pt x="157" y="3474"/>
                </a:lnTo>
                <a:lnTo>
                  <a:pt x="74" y="3218"/>
                </a:lnTo>
                <a:lnTo>
                  <a:pt x="28" y="2971"/>
                </a:lnTo>
                <a:lnTo>
                  <a:pt x="0" y="2706"/>
                </a:lnTo>
                <a:lnTo>
                  <a:pt x="0" y="2432"/>
                </a:lnTo>
                <a:lnTo>
                  <a:pt x="19" y="2148"/>
                </a:lnTo>
                <a:lnTo>
                  <a:pt x="65" y="1892"/>
                </a:lnTo>
                <a:lnTo>
                  <a:pt x="129" y="1646"/>
                </a:lnTo>
                <a:lnTo>
                  <a:pt x="222" y="1408"/>
                </a:lnTo>
                <a:lnTo>
                  <a:pt x="332" y="1189"/>
                </a:lnTo>
                <a:lnTo>
                  <a:pt x="461" y="988"/>
                </a:lnTo>
                <a:lnTo>
                  <a:pt x="609" y="805"/>
                </a:lnTo>
                <a:lnTo>
                  <a:pt x="775" y="631"/>
                </a:lnTo>
                <a:lnTo>
                  <a:pt x="950" y="476"/>
                </a:lnTo>
                <a:lnTo>
                  <a:pt x="1143" y="348"/>
                </a:lnTo>
                <a:lnTo>
                  <a:pt x="1355" y="238"/>
                </a:lnTo>
                <a:lnTo>
                  <a:pt x="1577" y="147"/>
                </a:lnTo>
                <a:lnTo>
                  <a:pt x="1807" y="64"/>
                </a:lnTo>
                <a:lnTo>
                  <a:pt x="2056" y="19"/>
                </a:lnTo>
                <a:lnTo>
                  <a:pt x="2305" y="0"/>
                </a:lnTo>
                <a:lnTo>
                  <a:pt x="2572" y="0"/>
                </a:lnTo>
                <a:lnTo>
                  <a:pt x="2563" y="265"/>
                </a:lnTo>
                <a:lnTo>
                  <a:pt x="2305" y="265"/>
                </a:lnTo>
                <a:lnTo>
                  <a:pt x="2084" y="293"/>
                </a:lnTo>
                <a:lnTo>
                  <a:pt x="1844" y="339"/>
                </a:lnTo>
                <a:lnTo>
                  <a:pt x="1641" y="412"/>
                </a:lnTo>
                <a:lnTo>
                  <a:pt x="1429" y="494"/>
                </a:lnTo>
                <a:lnTo>
                  <a:pt x="1236" y="604"/>
                </a:lnTo>
                <a:lnTo>
                  <a:pt x="1051" y="722"/>
                </a:lnTo>
                <a:lnTo>
                  <a:pt x="904" y="869"/>
                </a:lnTo>
                <a:lnTo>
                  <a:pt x="747" y="1015"/>
                </a:lnTo>
                <a:lnTo>
                  <a:pt x="609" y="1189"/>
                </a:lnTo>
                <a:lnTo>
                  <a:pt x="489" y="1371"/>
                </a:lnTo>
                <a:lnTo>
                  <a:pt x="406" y="1573"/>
                </a:lnTo>
                <a:lnTo>
                  <a:pt x="323" y="1774"/>
                </a:lnTo>
                <a:lnTo>
                  <a:pt x="277" y="1993"/>
                </a:lnTo>
                <a:lnTo>
                  <a:pt x="231" y="2222"/>
                </a:lnTo>
                <a:lnTo>
                  <a:pt x="231" y="2468"/>
                </a:lnTo>
                <a:lnTo>
                  <a:pt x="240" y="2697"/>
                </a:lnTo>
                <a:lnTo>
                  <a:pt x="277" y="2925"/>
                </a:lnTo>
                <a:lnTo>
                  <a:pt x="323" y="3145"/>
                </a:lnTo>
                <a:lnTo>
                  <a:pt x="406" y="3364"/>
                </a:lnTo>
                <a:lnTo>
                  <a:pt x="489" y="3565"/>
                </a:lnTo>
                <a:lnTo>
                  <a:pt x="600" y="3766"/>
                </a:lnTo>
                <a:lnTo>
                  <a:pt x="729" y="3949"/>
                </a:lnTo>
                <a:lnTo>
                  <a:pt x="885" y="4123"/>
                </a:lnTo>
                <a:lnTo>
                  <a:pt x="1033" y="4269"/>
                </a:lnTo>
                <a:lnTo>
                  <a:pt x="1208" y="4406"/>
                </a:lnTo>
                <a:lnTo>
                  <a:pt x="1402" y="4525"/>
                </a:lnTo>
                <a:lnTo>
                  <a:pt x="1614" y="4626"/>
                </a:lnTo>
                <a:lnTo>
                  <a:pt x="1826" y="4708"/>
                </a:lnTo>
                <a:lnTo>
                  <a:pt x="2056" y="4772"/>
                </a:lnTo>
                <a:lnTo>
                  <a:pt x="2296" y="4808"/>
                </a:lnTo>
                <a:lnTo>
                  <a:pt x="2563" y="4827"/>
                </a:lnTo>
                <a:lnTo>
                  <a:pt x="2563" y="5064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" name="Freeform 70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SpPr>
            <a:spLocks/>
          </xdr:cNvSpPr>
        </xdr:nvSpPr>
        <xdr:spPr bwMode="auto">
          <a:xfrm>
            <a:off x="340544" y="87084"/>
            <a:ext cx="421739" cy="127235"/>
          </a:xfrm>
          <a:custGeom>
            <a:avLst/>
            <a:gdLst>
              <a:gd name="T0" fmla="*/ 451 w 5263"/>
              <a:gd name="T1" fmla="*/ 100 h 1590"/>
              <a:gd name="T2" fmla="*/ 507 w 5263"/>
              <a:gd name="T3" fmla="*/ 91 h 1590"/>
              <a:gd name="T4" fmla="*/ 581 w 5263"/>
              <a:gd name="T5" fmla="*/ 91 h 1590"/>
              <a:gd name="T6" fmla="*/ 663 w 5263"/>
              <a:gd name="T7" fmla="*/ 100 h 1590"/>
              <a:gd name="T8" fmla="*/ 756 w 5263"/>
              <a:gd name="T9" fmla="*/ 128 h 1590"/>
              <a:gd name="T10" fmla="*/ 866 w 5263"/>
              <a:gd name="T11" fmla="*/ 164 h 1590"/>
              <a:gd name="T12" fmla="*/ 977 w 5263"/>
              <a:gd name="T13" fmla="*/ 238 h 1590"/>
              <a:gd name="T14" fmla="*/ 1161 w 5263"/>
              <a:gd name="T15" fmla="*/ 393 h 1590"/>
              <a:gd name="T16" fmla="*/ 1364 w 5263"/>
              <a:gd name="T17" fmla="*/ 503 h 1590"/>
              <a:gd name="T18" fmla="*/ 1530 w 5263"/>
              <a:gd name="T19" fmla="*/ 512 h 1590"/>
              <a:gd name="T20" fmla="*/ 1659 w 5263"/>
              <a:gd name="T21" fmla="*/ 448 h 1590"/>
              <a:gd name="T22" fmla="*/ 1770 w 5263"/>
              <a:gd name="T23" fmla="*/ 338 h 1590"/>
              <a:gd name="T24" fmla="*/ 1899 w 5263"/>
              <a:gd name="T25" fmla="*/ 201 h 1590"/>
              <a:gd name="T26" fmla="*/ 2037 w 5263"/>
              <a:gd name="T27" fmla="*/ 91 h 1590"/>
              <a:gd name="T28" fmla="*/ 2231 w 5263"/>
              <a:gd name="T29" fmla="*/ 9 h 1590"/>
              <a:gd name="T30" fmla="*/ 2424 w 5263"/>
              <a:gd name="T31" fmla="*/ 0 h 1590"/>
              <a:gd name="T32" fmla="*/ 2562 w 5263"/>
              <a:gd name="T33" fmla="*/ 36 h 1590"/>
              <a:gd name="T34" fmla="*/ 2691 w 5263"/>
              <a:gd name="T35" fmla="*/ 110 h 1590"/>
              <a:gd name="T36" fmla="*/ 2793 w 5263"/>
              <a:gd name="T37" fmla="*/ 192 h 1590"/>
              <a:gd name="T38" fmla="*/ 2903 w 5263"/>
              <a:gd name="T39" fmla="*/ 292 h 1590"/>
              <a:gd name="T40" fmla="*/ 3005 w 5263"/>
              <a:gd name="T41" fmla="*/ 375 h 1590"/>
              <a:gd name="T42" fmla="*/ 3125 w 5263"/>
              <a:gd name="T43" fmla="*/ 439 h 1590"/>
              <a:gd name="T44" fmla="*/ 3254 w 5263"/>
              <a:gd name="T45" fmla="*/ 484 h 1590"/>
              <a:gd name="T46" fmla="*/ 3410 w 5263"/>
              <a:gd name="T47" fmla="*/ 484 h 1590"/>
              <a:gd name="T48" fmla="*/ 3530 w 5263"/>
              <a:gd name="T49" fmla="*/ 439 h 1590"/>
              <a:gd name="T50" fmla="*/ 3641 w 5263"/>
              <a:gd name="T51" fmla="*/ 375 h 1590"/>
              <a:gd name="T52" fmla="*/ 3733 w 5263"/>
              <a:gd name="T53" fmla="*/ 292 h 1590"/>
              <a:gd name="T54" fmla="*/ 3825 w 5263"/>
              <a:gd name="T55" fmla="*/ 201 h 1590"/>
              <a:gd name="T56" fmla="*/ 3927 w 5263"/>
              <a:gd name="T57" fmla="*/ 119 h 1590"/>
              <a:gd name="T58" fmla="*/ 4046 w 5263"/>
              <a:gd name="T59" fmla="*/ 46 h 1590"/>
              <a:gd name="T60" fmla="*/ 4194 w 5263"/>
              <a:gd name="T61" fmla="*/ 9 h 1590"/>
              <a:gd name="T62" fmla="*/ 4341 w 5263"/>
              <a:gd name="T63" fmla="*/ 18 h 1590"/>
              <a:gd name="T64" fmla="*/ 4470 w 5263"/>
              <a:gd name="T65" fmla="*/ 64 h 1590"/>
              <a:gd name="T66" fmla="*/ 4581 w 5263"/>
              <a:gd name="T67" fmla="*/ 137 h 1590"/>
              <a:gd name="T68" fmla="*/ 4673 w 5263"/>
              <a:gd name="T69" fmla="*/ 238 h 1590"/>
              <a:gd name="T70" fmla="*/ 4756 w 5263"/>
              <a:gd name="T71" fmla="*/ 329 h 1590"/>
              <a:gd name="T72" fmla="*/ 4858 w 5263"/>
              <a:gd name="T73" fmla="*/ 420 h 1590"/>
              <a:gd name="T74" fmla="*/ 4977 w 5263"/>
              <a:gd name="T75" fmla="*/ 484 h 1590"/>
              <a:gd name="T76" fmla="*/ 5143 w 5263"/>
              <a:gd name="T77" fmla="*/ 530 h 1590"/>
              <a:gd name="T78" fmla="*/ 5263 w 5263"/>
              <a:gd name="T79" fmla="*/ 1097 h 1590"/>
              <a:gd name="T80" fmla="*/ 0 w 5263"/>
              <a:gd name="T81" fmla="*/ 1563 h 1590"/>
              <a:gd name="T82" fmla="*/ 442 w 5263"/>
              <a:gd name="T83" fmla="*/ 110 h 15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590">
                <a:moveTo>
                  <a:pt x="442" y="110"/>
                </a:moveTo>
                <a:lnTo>
                  <a:pt x="451" y="100"/>
                </a:lnTo>
                <a:lnTo>
                  <a:pt x="488" y="91"/>
                </a:lnTo>
                <a:lnTo>
                  <a:pt x="507" y="91"/>
                </a:lnTo>
                <a:lnTo>
                  <a:pt x="553" y="91"/>
                </a:lnTo>
                <a:lnTo>
                  <a:pt x="581" y="91"/>
                </a:lnTo>
                <a:lnTo>
                  <a:pt x="627" y="100"/>
                </a:lnTo>
                <a:lnTo>
                  <a:pt x="663" y="100"/>
                </a:lnTo>
                <a:lnTo>
                  <a:pt x="710" y="119"/>
                </a:lnTo>
                <a:lnTo>
                  <a:pt x="756" y="128"/>
                </a:lnTo>
                <a:lnTo>
                  <a:pt x="811" y="146"/>
                </a:lnTo>
                <a:lnTo>
                  <a:pt x="866" y="164"/>
                </a:lnTo>
                <a:lnTo>
                  <a:pt x="922" y="201"/>
                </a:lnTo>
                <a:lnTo>
                  <a:pt x="977" y="238"/>
                </a:lnTo>
                <a:lnTo>
                  <a:pt x="1032" y="292"/>
                </a:lnTo>
                <a:lnTo>
                  <a:pt x="1161" y="393"/>
                </a:lnTo>
                <a:lnTo>
                  <a:pt x="1272" y="466"/>
                </a:lnTo>
                <a:lnTo>
                  <a:pt x="1364" y="503"/>
                </a:lnTo>
                <a:lnTo>
                  <a:pt x="1456" y="530"/>
                </a:lnTo>
                <a:lnTo>
                  <a:pt x="1530" y="512"/>
                </a:lnTo>
                <a:lnTo>
                  <a:pt x="1594" y="493"/>
                </a:lnTo>
                <a:lnTo>
                  <a:pt x="1659" y="448"/>
                </a:lnTo>
                <a:lnTo>
                  <a:pt x="1724" y="402"/>
                </a:lnTo>
                <a:lnTo>
                  <a:pt x="1770" y="338"/>
                </a:lnTo>
                <a:lnTo>
                  <a:pt x="1834" y="274"/>
                </a:lnTo>
                <a:lnTo>
                  <a:pt x="1899" y="201"/>
                </a:lnTo>
                <a:lnTo>
                  <a:pt x="1972" y="146"/>
                </a:lnTo>
                <a:lnTo>
                  <a:pt x="2037" y="91"/>
                </a:lnTo>
                <a:lnTo>
                  <a:pt x="2129" y="46"/>
                </a:lnTo>
                <a:lnTo>
                  <a:pt x="2231" y="9"/>
                </a:lnTo>
                <a:lnTo>
                  <a:pt x="2341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6"/>
                </a:lnTo>
                <a:lnTo>
                  <a:pt x="2636" y="73"/>
                </a:lnTo>
                <a:lnTo>
                  <a:pt x="2691" y="110"/>
                </a:lnTo>
                <a:lnTo>
                  <a:pt x="2747" y="146"/>
                </a:lnTo>
                <a:lnTo>
                  <a:pt x="2793" y="192"/>
                </a:lnTo>
                <a:lnTo>
                  <a:pt x="2857" y="247"/>
                </a:lnTo>
                <a:lnTo>
                  <a:pt x="2903" y="292"/>
                </a:lnTo>
                <a:lnTo>
                  <a:pt x="2950" y="329"/>
                </a:lnTo>
                <a:lnTo>
                  <a:pt x="3005" y="375"/>
                </a:lnTo>
                <a:lnTo>
                  <a:pt x="3060" y="420"/>
                </a:lnTo>
                <a:lnTo>
                  <a:pt x="3125" y="439"/>
                </a:lnTo>
                <a:lnTo>
                  <a:pt x="3189" y="466"/>
                </a:lnTo>
                <a:lnTo>
                  <a:pt x="3254" y="484"/>
                </a:lnTo>
                <a:lnTo>
                  <a:pt x="3337" y="493"/>
                </a:lnTo>
                <a:lnTo>
                  <a:pt x="3410" y="484"/>
                </a:lnTo>
                <a:lnTo>
                  <a:pt x="3466" y="466"/>
                </a:lnTo>
                <a:lnTo>
                  <a:pt x="3530" y="439"/>
                </a:lnTo>
                <a:lnTo>
                  <a:pt x="3586" y="411"/>
                </a:lnTo>
                <a:lnTo>
                  <a:pt x="3641" y="375"/>
                </a:lnTo>
                <a:lnTo>
                  <a:pt x="3687" y="329"/>
                </a:lnTo>
                <a:lnTo>
                  <a:pt x="3733" y="292"/>
                </a:lnTo>
                <a:lnTo>
                  <a:pt x="3788" y="247"/>
                </a:lnTo>
                <a:lnTo>
                  <a:pt x="3825" y="201"/>
                </a:lnTo>
                <a:lnTo>
                  <a:pt x="3881" y="155"/>
                </a:lnTo>
                <a:lnTo>
                  <a:pt x="3927" y="119"/>
                </a:lnTo>
                <a:lnTo>
                  <a:pt x="3991" y="82"/>
                </a:lnTo>
                <a:lnTo>
                  <a:pt x="4046" y="46"/>
                </a:lnTo>
                <a:lnTo>
                  <a:pt x="4111" y="27"/>
                </a:lnTo>
                <a:lnTo>
                  <a:pt x="4194" y="9"/>
                </a:lnTo>
                <a:lnTo>
                  <a:pt x="4277" y="18"/>
                </a:lnTo>
                <a:lnTo>
                  <a:pt x="4341" y="18"/>
                </a:lnTo>
                <a:lnTo>
                  <a:pt x="4415" y="36"/>
                </a:lnTo>
                <a:lnTo>
                  <a:pt x="4470" y="64"/>
                </a:lnTo>
                <a:lnTo>
                  <a:pt x="4535" y="100"/>
                </a:lnTo>
                <a:lnTo>
                  <a:pt x="4581" y="137"/>
                </a:lnTo>
                <a:lnTo>
                  <a:pt x="4627" y="183"/>
                </a:lnTo>
                <a:lnTo>
                  <a:pt x="4673" y="238"/>
                </a:lnTo>
                <a:lnTo>
                  <a:pt x="4719" y="292"/>
                </a:lnTo>
                <a:lnTo>
                  <a:pt x="4756" y="329"/>
                </a:lnTo>
                <a:lnTo>
                  <a:pt x="4812" y="375"/>
                </a:lnTo>
                <a:lnTo>
                  <a:pt x="4858" y="420"/>
                </a:lnTo>
                <a:lnTo>
                  <a:pt x="4922" y="466"/>
                </a:lnTo>
                <a:lnTo>
                  <a:pt x="4977" y="484"/>
                </a:lnTo>
                <a:lnTo>
                  <a:pt x="5060" y="512"/>
                </a:lnTo>
                <a:lnTo>
                  <a:pt x="5143" y="530"/>
                </a:lnTo>
                <a:lnTo>
                  <a:pt x="5254" y="530"/>
                </a:lnTo>
                <a:lnTo>
                  <a:pt x="5263" y="1097"/>
                </a:lnTo>
                <a:lnTo>
                  <a:pt x="3106" y="1590"/>
                </a:lnTo>
                <a:lnTo>
                  <a:pt x="0" y="1563"/>
                </a:lnTo>
                <a:lnTo>
                  <a:pt x="46" y="311"/>
                </a:lnTo>
                <a:lnTo>
                  <a:pt x="442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" name="Freeform 71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SpPr>
            <a:spLocks/>
          </xdr:cNvSpPr>
        </xdr:nvSpPr>
        <xdr:spPr bwMode="auto">
          <a:xfrm>
            <a:off x="340544" y="98088"/>
            <a:ext cx="422453" cy="112662"/>
          </a:xfrm>
          <a:custGeom>
            <a:avLst/>
            <a:gdLst>
              <a:gd name="T0" fmla="*/ 451 w 5272"/>
              <a:gd name="T1" fmla="*/ 91 h 1408"/>
              <a:gd name="T2" fmla="*/ 507 w 5272"/>
              <a:gd name="T3" fmla="*/ 82 h 1408"/>
              <a:gd name="T4" fmla="*/ 590 w 5272"/>
              <a:gd name="T5" fmla="*/ 82 h 1408"/>
              <a:gd name="T6" fmla="*/ 673 w 5272"/>
              <a:gd name="T7" fmla="*/ 91 h 1408"/>
              <a:gd name="T8" fmla="*/ 765 w 5272"/>
              <a:gd name="T9" fmla="*/ 110 h 1408"/>
              <a:gd name="T10" fmla="*/ 866 w 5272"/>
              <a:gd name="T11" fmla="*/ 155 h 1408"/>
              <a:gd name="T12" fmla="*/ 977 w 5272"/>
              <a:gd name="T13" fmla="*/ 219 h 1408"/>
              <a:gd name="T14" fmla="*/ 1161 w 5272"/>
              <a:gd name="T15" fmla="*/ 347 h 1408"/>
              <a:gd name="T16" fmla="*/ 1364 w 5272"/>
              <a:gd name="T17" fmla="*/ 457 h 1408"/>
              <a:gd name="T18" fmla="*/ 1530 w 5272"/>
              <a:gd name="T19" fmla="*/ 457 h 1408"/>
              <a:gd name="T20" fmla="*/ 1659 w 5272"/>
              <a:gd name="T21" fmla="*/ 402 h 1408"/>
              <a:gd name="T22" fmla="*/ 1770 w 5272"/>
              <a:gd name="T23" fmla="*/ 302 h 1408"/>
              <a:gd name="T24" fmla="*/ 1899 w 5272"/>
              <a:gd name="T25" fmla="*/ 192 h 1408"/>
              <a:gd name="T26" fmla="*/ 2037 w 5272"/>
              <a:gd name="T27" fmla="*/ 82 h 1408"/>
              <a:gd name="T28" fmla="*/ 2231 w 5272"/>
              <a:gd name="T29" fmla="*/ 18 h 1408"/>
              <a:gd name="T30" fmla="*/ 2424 w 5272"/>
              <a:gd name="T31" fmla="*/ 0 h 1408"/>
              <a:gd name="T32" fmla="*/ 2562 w 5272"/>
              <a:gd name="T33" fmla="*/ 37 h 1408"/>
              <a:gd name="T34" fmla="*/ 2691 w 5272"/>
              <a:gd name="T35" fmla="*/ 101 h 1408"/>
              <a:gd name="T36" fmla="*/ 2793 w 5272"/>
              <a:gd name="T37" fmla="*/ 174 h 1408"/>
              <a:gd name="T38" fmla="*/ 2903 w 5272"/>
              <a:gd name="T39" fmla="*/ 265 h 1408"/>
              <a:gd name="T40" fmla="*/ 3005 w 5272"/>
              <a:gd name="T41" fmla="*/ 329 h 1408"/>
              <a:gd name="T42" fmla="*/ 3125 w 5272"/>
              <a:gd name="T43" fmla="*/ 393 h 1408"/>
              <a:gd name="T44" fmla="*/ 3254 w 5272"/>
              <a:gd name="T45" fmla="*/ 439 h 1408"/>
              <a:gd name="T46" fmla="*/ 3410 w 5272"/>
              <a:gd name="T47" fmla="*/ 430 h 1408"/>
              <a:gd name="T48" fmla="*/ 3530 w 5272"/>
              <a:gd name="T49" fmla="*/ 393 h 1408"/>
              <a:gd name="T50" fmla="*/ 3641 w 5272"/>
              <a:gd name="T51" fmla="*/ 329 h 1408"/>
              <a:gd name="T52" fmla="*/ 3733 w 5272"/>
              <a:gd name="T53" fmla="*/ 256 h 1408"/>
              <a:gd name="T54" fmla="*/ 3834 w 5272"/>
              <a:gd name="T55" fmla="*/ 183 h 1408"/>
              <a:gd name="T56" fmla="*/ 3936 w 5272"/>
              <a:gd name="T57" fmla="*/ 110 h 1408"/>
              <a:gd name="T58" fmla="*/ 4056 w 5272"/>
              <a:gd name="T59" fmla="*/ 46 h 1408"/>
              <a:gd name="T60" fmla="*/ 4194 w 5272"/>
              <a:gd name="T61" fmla="*/ 18 h 1408"/>
              <a:gd name="T62" fmla="*/ 4351 w 5272"/>
              <a:gd name="T63" fmla="*/ 18 h 1408"/>
              <a:gd name="T64" fmla="*/ 4480 w 5272"/>
              <a:gd name="T65" fmla="*/ 55 h 1408"/>
              <a:gd name="T66" fmla="*/ 4581 w 5272"/>
              <a:gd name="T67" fmla="*/ 128 h 1408"/>
              <a:gd name="T68" fmla="*/ 4682 w 5272"/>
              <a:gd name="T69" fmla="*/ 210 h 1408"/>
              <a:gd name="T70" fmla="*/ 4765 w 5272"/>
              <a:gd name="T71" fmla="*/ 302 h 1408"/>
              <a:gd name="T72" fmla="*/ 4867 w 5272"/>
              <a:gd name="T73" fmla="*/ 375 h 1408"/>
              <a:gd name="T74" fmla="*/ 4987 w 5272"/>
              <a:gd name="T75" fmla="*/ 439 h 1408"/>
              <a:gd name="T76" fmla="*/ 5153 w 5272"/>
              <a:gd name="T77" fmla="*/ 475 h 1408"/>
              <a:gd name="T78" fmla="*/ 5272 w 5272"/>
              <a:gd name="T79" fmla="*/ 978 h 1408"/>
              <a:gd name="T80" fmla="*/ 0 w 5272"/>
              <a:gd name="T81" fmla="*/ 1389 h 1408"/>
              <a:gd name="T82" fmla="*/ 442 w 5272"/>
              <a:gd name="T83" fmla="*/ 101 h 14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2" h="1408">
                <a:moveTo>
                  <a:pt x="442" y="101"/>
                </a:moveTo>
                <a:lnTo>
                  <a:pt x="451" y="91"/>
                </a:lnTo>
                <a:lnTo>
                  <a:pt x="488" y="82"/>
                </a:lnTo>
                <a:lnTo>
                  <a:pt x="507" y="82"/>
                </a:lnTo>
                <a:lnTo>
                  <a:pt x="553" y="82"/>
                </a:lnTo>
                <a:lnTo>
                  <a:pt x="590" y="82"/>
                </a:lnTo>
                <a:lnTo>
                  <a:pt x="636" y="91"/>
                </a:lnTo>
                <a:lnTo>
                  <a:pt x="673" y="91"/>
                </a:lnTo>
                <a:lnTo>
                  <a:pt x="719" y="101"/>
                </a:lnTo>
                <a:lnTo>
                  <a:pt x="765" y="110"/>
                </a:lnTo>
                <a:lnTo>
                  <a:pt x="820" y="128"/>
                </a:lnTo>
                <a:lnTo>
                  <a:pt x="866" y="155"/>
                </a:lnTo>
                <a:lnTo>
                  <a:pt x="922" y="183"/>
                </a:lnTo>
                <a:lnTo>
                  <a:pt x="977" y="219"/>
                </a:lnTo>
                <a:lnTo>
                  <a:pt x="1032" y="265"/>
                </a:lnTo>
                <a:lnTo>
                  <a:pt x="1161" y="347"/>
                </a:lnTo>
                <a:lnTo>
                  <a:pt x="1272" y="411"/>
                </a:lnTo>
                <a:lnTo>
                  <a:pt x="1364" y="457"/>
                </a:lnTo>
                <a:lnTo>
                  <a:pt x="1456" y="475"/>
                </a:lnTo>
                <a:lnTo>
                  <a:pt x="1530" y="457"/>
                </a:lnTo>
                <a:lnTo>
                  <a:pt x="1594" y="439"/>
                </a:lnTo>
                <a:lnTo>
                  <a:pt x="1659" y="402"/>
                </a:lnTo>
                <a:lnTo>
                  <a:pt x="1724" y="366"/>
                </a:lnTo>
                <a:lnTo>
                  <a:pt x="1770" y="302"/>
                </a:lnTo>
                <a:lnTo>
                  <a:pt x="1834" y="247"/>
                </a:lnTo>
                <a:lnTo>
                  <a:pt x="1899" y="192"/>
                </a:lnTo>
                <a:lnTo>
                  <a:pt x="1972" y="137"/>
                </a:lnTo>
                <a:lnTo>
                  <a:pt x="2037" y="82"/>
                </a:lnTo>
                <a:lnTo>
                  <a:pt x="2129" y="46"/>
                </a:lnTo>
                <a:lnTo>
                  <a:pt x="2231" y="18"/>
                </a:lnTo>
                <a:lnTo>
                  <a:pt x="2350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7"/>
                </a:lnTo>
                <a:lnTo>
                  <a:pt x="2636" y="64"/>
                </a:lnTo>
                <a:lnTo>
                  <a:pt x="2691" y="101"/>
                </a:lnTo>
                <a:lnTo>
                  <a:pt x="2747" y="137"/>
                </a:lnTo>
                <a:lnTo>
                  <a:pt x="2793" y="174"/>
                </a:lnTo>
                <a:lnTo>
                  <a:pt x="2857" y="219"/>
                </a:lnTo>
                <a:lnTo>
                  <a:pt x="2903" y="265"/>
                </a:lnTo>
                <a:lnTo>
                  <a:pt x="2950" y="302"/>
                </a:lnTo>
                <a:lnTo>
                  <a:pt x="3005" y="329"/>
                </a:lnTo>
                <a:lnTo>
                  <a:pt x="3060" y="366"/>
                </a:lnTo>
                <a:lnTo>
                  <a:pt x="3125" y="393"/>
                </a:lnTo>
                <a:lnTo>
                  <a:pt x="3189" y="420"/>
                </a:lnTo>
                <a:lnTo>
                  <a:pt x="3254" y="439"/>
                </a:lnTo>
                <a:lnTo>
                  <a:pt x="3337" y="439"/>
                </a:lnTo>
                <a:lnTo>
                  <a:pt x="3410" y="430"/>
                </a:lnTo>
                <a:lnTo>
                  <a:pt x="3466" y="411"/>
                </a:lnTo>
                <a:lnTo>
                  <a:pt x="3530" y="393"/>
                </a:lnTo>
                <a:lnTo>
                  <a:pt x="3595" y="366"/>
                </a:lnTo>
                <a:lnTo>
                  <a:pt x="3641" y="329"/>
                </a:lnTo>
                <a:lnTo>
                  <a:pt x="3687" y="292"/>
                </a:lnTo>
                <a:lnTo>
                  <a:pt x="3733" y="256"/>
                </a:lnTo>
                <a:lnTo>
                  <a:pt x="3788" y="219"/>
                </a:lnTo>
                <a:lnTo>
                  <a:pt x="3834" y="183"/>
                </a:lnTo>
                <a:lnTo>
                  <a:pt x="3881" y="146"/>
                </a:lnTo>
                <a:lnTo>
                  <a:pt x="3936" y="110"/>
                </a:lnTo>
                <a:lnTo>
                  <a:pt x="3991" y="82"/>
                </a:lnTo>
                <a:lnTo>
                  <a:pt x="4056" y="46"/>
                </a:lnTo>
                <a:lnTo>
                  <a:pt x="4120" y="27"/>
                </a:lnTo>
                <a:lnTo>
                  <a:pt x="4194" y="18"/>
                </a:lnTo>
                <a:lnTo>
                  <a:pt x="4277" y="18"/>
                </a:lnTo>
                <a:lnTo>
                  <a:pt x="4351" y="18"/>
                </a:lnTo>
                <a:lnTo>
                  <a:pt x="4424" y="37"/>
                </a:lnTo>
                <a:lnTo>
                  <a:pt x="4480" y="55"/>
                </a:lnTo>
                <a:lnTo>
                  <a:pt x="4535" y="91"/>
                </a:lnTo>
                <a:lnTo>
                  <a:pt x="4581" y="128"/>
                </a:lnTo>
                <a:lnTo>
                  <a:pt x="4636" y="174"/>
                </a:lnTo>
                <a:lnTo>
                  <a:pt x="4682" y="210"/>
                </a:lnTo>
                <a:lnTo>
                  <a:pt x="4729" y="265"/>
                </a:lnTo>
                <a:lnTo>
                  <a:pt x="4765" y="302"/>
                </a:lnTo>
                <a:lnTo>
                  <a:pt x="4821" y="347"/>
                </a:lnTo>
                <a:lnTo>
                  <a:pt x="4867" y="375"/>
                </a:lnTo>
                <a:lnTo>
                  <a:pt x="4931" y="411"/>
                </a:lnTo>
                <a:lnTo>
                  <a:pt x="4987" y="439"/>
                </a:lnTo>
                <a:lnTo>
                  <a:pt x="5070" y="466"/>
                </a:lnTo>
                <a:lnTo>
                  <a:pt x="5153" y="475"/>
                </a:lnTo>
                <a:lnTo>
                  <a:pt x="5254" y="475"/>
                </a:lnTo>
                <a:lnTo>
                  <a:pt x="5272" y="978"/>
                </a:lnTo>
                <a:lnTo>
                  <a:pt x="3115" y="1408"/>
                </a:lnTo>
                <a:lnTo>
                  <a:pt x="0" y="1389"/>
                </a:lnTo>
                <a:lnTo>
                  <a:pt x="46" y="283"/>
                </a:lnTo>
                <a:lnTo>
                  <a:pt x="442" y="101"/>
                </a:lnTo>
                <a:close/>
              </a:path>
            </a:pathLst>
          </a:custGeom>
          <a:solidFill>
            <a:srgbClr val="FFCC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" name="Freeform 72">
            <a:extLst>
              <a:ext uri="{FF2B5EF4-FFF2-40B4-BE49-F238E27FC236}">
                <a16:creationId xmlns="" xmlns:a16="http://schemas.microsoft.com/office/drawing/2014/main" id="{00000000-0008-0000-0000-00000B000000}"/>
              </a:ext>
            </a:extLst>
          </xdr:cNvPr>
          <xdr:cNvSpPr>
            <a:spLocks/>
          </xdr:cNvSpPr>
        </xdr:nvSpPr>
        <xdr:spPr bwMode="auto">
          <a:xfrm>
            <a:off x="342685" y="107011"/>
            <a:ext cx="421679" cy="98088"/>
          </a:xfrm>
          <a:custGeom>
            <a:avLst/>
            <a:gdLst>
              <a:gd name="T0" fmla="*/ 452 w 5263"/>
              <a:gd name="T1" fmla="*/ 83 h 1225"/>
              <a:gd name="T2" fmla="*/ 507 w 5263"/>
              <a:gd name="T3" fmla="*/ 73 h 1225"/>
              <a:gd name="T4" fmla="*/ 581 w 5263"/>
              <a:gd name="T5" fmla="*/ 73 h 1225"/>
              <a:gd name="T6" fmla="*/ 664 w 5263"/>
              <a:gd name="T7" fmla="*/ 73 h 1225"/>
              <a:gd name="T8" fmla="*/ 756 w 5263"/>
              <a:gd name="T9" fmla="*/ 92 h 1225"/>
              <a:gd name="T10" fmla="*/ 866 w 5263"/>
              <a:gd name="T11" fmla="*/ 128 h 1225"/>
              <a:gd name="T12" fmla="*/ 977 w 5263"/>
              <a:gd name="T13" fmla="*/ 183 h 1225"/>
              <a:gd name="T14" fmla="*/ 1152 w 5263"/>
              <a:gd name="T15" fmla="*/ 293 h 1225"/>
              <a:gd name="T16" fmla="*/ 1364 w 5263"/>
              <a:gd name="T17" fmla="*/ 384 h 1225"/>
              <a:gd name="T18" fmla="*/ 1521 w 5263"/>
              <a:gd name="T19" fmla="*/ 393 h 1225"/>
              <a:gd name="T20" fmla="*/ 1650 w 5263"/>
              <a:gd name="T21" fmla="*/ 338 h 1225"/>
              <a:gd name="T22" fmla="*/ 1770 w 5263"/>
              <a:gd name="T23" fmla="*/ 256 h 1225"/>
              <a:gd name="T24" fmla="*/ 1890 w 5263"/>
              <a:gd name="T25" fmla="*/ 156 h 1225"/>
              <a:gd name="T26" fmla="*/ 2037 w 5263"/>
              <a:gd name="T27" fmla="*/ 64 h 1225"/>
              <a:gd name="T28" fmla="*/ 2222 w 5263"/>
              <a:gd name="T29" fmla="*/ 9 h 1225"/>
              <a:gd name="T30" fmla="*/ 2415 w 5263"/>
              <a:gd name="T31" fmla="*/ 0 h 1225"/>
              <a:gd name="T32" fmla="*/ 2563 w 5263"/>
              <a:gd name="T33" fmla="*/ 28 h 1225"/>
              <a:gd name="T34" fmla="*/ 2682 w 5263"/>
              <a:gd name="T35" fmla="*/ 83 h 1225"/>
              <a:gd name="T36" fmla="*/ 2793 w 5263"/>
              <a:gd name="T37" fmla="*/ 156 h 1225"/>
              <a:gd name="T38" fmla="*/ 2894 w 5263"/>
              <a:gd name="T39" fmla="*/ 220 h 1225"/>
              <a:gd name="T40" fmla="*/ 3005 w 5263"/>
              <a:gd name="T41" fmla="*/ 293 h 1225"/>
              <a:gd name="T42" fmla="*/ 3116 w 5263"/>
              <a:gd name="T43" fmla="*/ 338 h 1225"/>
              <a:gd name="T44" fmla="*/ 3245 w 5263"/>
              <a:gd name="T45" fmla="*/ 375 h 1225"/>
              <a:gd name="T46" fmla="*/ 3401 w 5263"/>
              <a:gd name="T47" fmla="*/ 375 h 1225"/>
              <a:gd name="T48" fmla="*/ 3530 w 5263"/>
              <a:gd name="T49" fmla="*/ 338 h 1225"/>
              <a:gd name="T50" fmla="*/ 3632 w 5263"/>
              <a:gd name="T51" fmla="*/ 293 h 1225"/>
              <a:gd name="T52" fmla="*/ 3733 w 5263"/>
              <a:gd name="T53" fmla="*/ 220 h 1225"/>
              <a:gd name="T54" fmla="*/ 3825 w 5263"/>
              <a:gd name="T55" fmla="*/ 156 h 1225"/>
              <a:gd name="T56" fmla="*/ 3927 w 5263"/>
              <a:gd name="T57" fmla="*/ 92 h 1225"/>
              <a:gd name="T58" fmla="*/ 4047 w 5263"/>
              <a:gd name="T59" fmla="*/ 37 h 1225"/>
              <a:gd name="T60" fmla="*/ 4185 w 5263"/>
              <a:gd name="T61" fmla="*/ 9 h 1225"/>
              <a:gd name="T62" fmla="*/ 4342 w 5263"/>
              <a:gd name="T63" fmla="*/ 19 h 1225"/>
              <a:gd name="T64" fmla="*/ 4471 w 5263"/>
              <a:gd name="T65" fmla="*/ 46 h 1225"/>
              <a:gd name="T66" fmla="*/ 4572 w 5263"/>
              <a:gd name="T67" fmla="*/ 110 h 1225"/>
              <a:gd name="T68" fmla="*/ 4673 w 5263"/>
              <a:gd name="T69" fmla="*/ 183 h 1225"/>
              <a:gd name="T70" fmla="*/ 4756 w 5263"/>
              <a:gd name="T71" fmla="*/ 256 h 1225"/>
              <a:gd name="T72" fmla="*/ 4858 w 5263"/>
              <a:gd name="T73" fmla="*/ 329 h 1225"/>
              <a:gd name="T74" fmla="*/ 4978 w 5263"/>
              <a:gd name="T75" fmla="*/ 375 h 1225"/>
              <a:gd name="T76" fmla="*/ 5144 w 5263"/>
              <a:gd name="T77" fmla="*/ 402 h 1225"/>
              <a:gd name="T78" fmla="*/ 5263 w 5263"/>
              <a:gd name="T79" fmla="*/ 841 h 1225"/>
              <a:gd name="T80" fmla="*/ 0 w 5263"/>
              <a:gd name="T81" fmla="*/ 1198 h 1225"/>
              <a:gd name="T82" fmla="*/ 442 w 5263"/>
              <a:gd name="T83" fmla="*/ 92 h 12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225">
                <a:moveTo>
                  <a:pt x="442" y="92"/>
                </a:moveTo>
                <a:lnTo>
                  <a:pt x="452" y="83"/>
                </a:lnTo>
                <a:lnTo>
                  <a:pt x="489" y="73"/>
                </a:lnTo>
                <a:lnTo>
                  <a:pt x="507" y="73"/>
                </a:lnTo>
                <a:lnTo>
                  <a:pt x="544" y="73"/>
                </a:lnTo>
                <a:lnTo>
                  <a:pt x="581" y="73"/>
                </a:lnTo>
                <a:lnTo>
                  <a:pt x="627" y="73"/>
                </a:lnTo>
                <a:lnTo>
                  <a:pt x="664" y="73"/>
                </a:lnTo>
                <a:lnTo>
                  <a:pt x="710" y="83"/>
                </a:lnTo>
                <a:lnTo>
                  <a:pt x="756" y="92"/>
                </a:lnTo>
                <a:lnTo>
                  <a:pt x="811" y="119"/>
                </a:lnTo>
                <a:lnTo>
                  <a:pt x="866" y="128"/>
                </a:lnTo>
                <a:lnTo>
                  <a:pt x="913" y="156"/>
                </a:lnTo>
                <a:lnTo>
                  <a:pt x="977" y="183"/>
                </a:lnTo>
                <a:lnTo>
                  <a:pt x="1032" y="220"/>
                </a:lnTo>
                <a:lnTo>
                  <a:pt x="1152" y="293"/>
                </a:lnTo>
                <a:lnTo>
                  <a:pt x="1263" y="357"/>
                </a:lnTo>
                <a:lnTo>
                  <a:pt x="1364" y="384"/>
                </a:lnTo>
                <a:lnTo>
                  <a:pt x="1447" y="393"/>
                </a:lnTo>
                <a:lnTo>
                  <a:pt x="1521" y="393"/>
                </a:lnTo>
                <a:lnTo>
                  <a:pt x="1585" y="375"/>
                </a:lnTo>
                <a:lnTo>
                  <a:pt x="1650" y="338"/>
                </a:lnTo>
                <a:lnTo>
                  <a:pt x="1715" y="311"/>
                </a:lnTo>
                <a:lnTo>
                  <a:pt x="1770" y="256"/>
                </a:lnTo>
                <a:lnTo>
                  <a:pt x="1825" y="210"/>
                </a:lnTo>
                <a:lnTo>
                  <a:pt x="1890" y="156"/>
                </a:lnTo>
                <a:lnTo>
                  <a:pt x="1963" y="119"/>
                </a:lnTo>
                <a:lnTo>
                  <a:pt x="2037" y="64"/>
                </a:lnTo>
                <a:lnTo>
                  <a:pt x="2129" y="28"/>
                </a:lnTo>
                <a:lnTo>
                  <a:pt x="2222" y="9"/>
                </a:lnTo>
                <a:lnTo>
                  <a:pt x="2341" y="9"/>
                </a:lnTo>
                <a:lnTo>
                  <a:pt x="2415" y="0"/>
                </a:lnTo>
                <a:lnTo>
                  <a:pt x="2498" y="9"/>
                </a:lnTo>
                <a:lnTo>
                  <a:pt x="2563" y="28"/>
                </a:lnTo>
                <a:lnTo>
                  <a:pt x="2636" y="55"/>
                </a:lnTo>
                <a:lnTo>
                  <a:pt x="2682" y="83"/>
                </a:lnTo>
                <a:lnTo>
                  <a:pt x="2738" y="119"/>
                </a:lnTo>
                <a:lnTo>
                  <a:pt x="2793" y="156"/>
                </a:lnTo>
                <a:lnTo>
                  <a:pt x="2848" y="192"/>
                </a:lnTo>
                <a:lnTo>
                  <a:pt x="2894" y="220"/>
                </a:lnTo>
                <a:lnTo>
                  <a:pt x="2950" y="256"/>
                </a:lnTo>
                <a:lnTo>
                  <a:pt x="3005" y="293"/>
                </a:lnTo>
                <a:lnTo>
                  <a:pt x="3060" y="320"/>
                </a:lnTo>
                <a:lnTo>
                  <a:pt x="3116" y="338"/>
                </a:lnTo>
                <a:lnTo>
                  <a:pt x="3180" y="366"/>
                </a:lnTo>
                <a:lnTo>
                  <a:pt x="3245" y="375"/>
                </a:lnTo>
                <a:lnTo>
                  <a:pt x="3328" y="384"/>
                </a:lnTo>
                <a:lnTo>
                  <a:pt x="3401" y="375"/>
                </a:lnTo>
                <a:lnTo>
                  <a:pt x="3466" y="357"/>
                </a:lnTo>
                <a:lnTo>
                  <a:pt x="3530" y="338"/>
                </a:lnTo>
                <a:lnTo>
                  <a:pt x="3586" y="320"/>
                </a:lnTo>
                <a:lnTo>
                  <a:pt x="3632" y="293"/>
                </a:lnTo>
                <a:lnTo>
                  <a:pt x="3687" y="256"/>
                </a:lnTo>
                <a:lnTo>
                  <a:pt x="3733" y="220"/>
                </a:lnTo>
                <a:lnTo>
                  <a:pt x="3789" y="192"/>
                </a:lnTo>
                <a:lnTo>
                  <a:pt x="3825" y="156"/>
                </a:lnTo>
                <a:lnTo>
                  <a:pt x="3872" y="119"/>
                </a:lnTo>
                <a:lnTo>
                  <a:pt x="3927" y="92"/>
                </a:lnTo>
                <a:lnTo>
                  <a:pt x="3982" y="64"/>
                </a:lnTo>
                <a:lnTo>
                  <a:pt x="4047" y="37"/>
                </a:lnTo>
                <a:lnTo>
                  <a:pt x="4111" y="28"/>
                </a:lnTo>
                <a:lnTo>
                  <a:pt x="4185" y="9"/>
                </a:lnTo>
                <a:lnTo>
                  <a:pt x="4268" y="19"/>
                </a:lnTo>
                <a:lnTo>
                  <a:pt x="4342" y="19"/>
                </a:lnTo>
                <a:lnTo>
                  <a:pt x="4415" y="28"/>
                </a:lnTo>
                <a:lnTo>
                  <a:pt x="4471" y="46"/>
                </a:lnTo>
                <a:lnTo>
                  <a:pt x="4526" y="83"/>
                </a:lnTo>
                <a:lnTo>
                  <a:pt x="4572" y="110"/>
                </a:lnTo>
                <a:lnTo>
                  <a:pt x="4627" y="146"/>
                </a:lnTo>
                <a:lnTo>
                  <a:pt x="4673" y="183"/>
                </a:lnTo>
                <a:lnTo>
                  <a:pt x="4720" y="220"/>
                </a:lnTo>
                <a:lnTo>
                  <a:pt x="4756" y="256"/>
                </a:lnTo>
                <a:lnTo>
                  <a:pt x="4812" y="293"/>
                </a:lnTo>
                <a:lnTo>
                  <a:pt x="4858" y="329"/>
                </a:lnTo>
                <a:lnTo>
                  <a:pt x="4922" y="357"/>
                </a:lnTo>
                <a:lnTo>
                  <a:pt x="4978" y="375"/>
                </a:lnTo>
                <a:lnTo>
                  <a:pt x="5061" y="393"/>
                </a:lnTo>
                <a:lnTo>
                  <a:pt x="5144" y="402"/>
                </a:lnTo>
                <a:lnTo>
                  <a:pt x="5245" y="412"/>
                </a:lnTo>
                <a:lnTo>
                  <a:pt x="5263" y="841"/>
                </a:lnTo>
                <a:lnTo>
                  <a:pt x="3106" y="1225"/>
                </a:lnTo>
                <a:lnTo>
                  <a:pt x="0" y="1198"/>
                </a:lnTo>
                <a:lnTo>
                  <a:pt x="46" y="247"/>
                </a:lnTo>
                <a:lnTo>
                  <a:pt x="442" y="92"/>
                </a:lnTo>
                <a:close/>
              </a:path>
            </a:pathLst>
          </a:custGeom>
          <a:solidFill>
            <a:srgbClr val="DBE8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2" name="Freeform 73">
            <a:extLst>
              <a:ext uri="{FF2B5EF4-FFF2-40B4-BE49-F238E27FC236}">
                <a16:creationId xmlns="" xmlns:a16="http://schemas.microsoft.com/office/drawing/2014/main" id="{00000000-0008-0000-0000-00000C000000}"/>
              </a:ext>
            </a:extLst>
          </xdr:cNvPr>
          <xdr:cNvSpPr>
            <a:spLocks/>
          </xdr:cNvSpPr>
        </xdr:nvSpPr>
        <xdr:spPr bwMode="auto">
          <a:xfrm>
            <a:off x="345838" y="123844"/>
            <a:ext cx="422512" cy="83396"/>
          </a:xfrm>
          <a:custGeom>
            <a:avLst/>
            <a:gdLst>
              <a:gd name="T0" fmla="*/ 452 w 5273"/>
              <a:gd name="T1" fmla="*/ 73 h 1042"/>
              <a:gd name="T2" fmla="*/ 507 w 5273"/>
              <a:gd name="T3" fmla="*/ 64 h 1042"/>
              <a:gd name="T4" fmla="*/ 590 w 5273"/>
              <a:gd name="T5" fmla="*/ 64 h 1042"/>
              <a:gd name="T6" fmla="*/ 673 w 5273"/>
              <a:gd name="T7" fmla="*/ 73 h 1042"/>
              <a:gd name="T8" fmla="*/ 765 w 5273"/>
              <a:gd name="T9" fmla="*/ 83 h 1042"/>
              <a:gd name="T10" fmla="*/ 866 w 5273"/>
              <a:gd name="T11" fmla="*/ 119 h 1042"/>
              <a:gd name="T12" fmla="*/ 977 w 5273"/>
              <a:gd name="T13" fmla="*/ 156 h 1042"/>
              <a:gd name="T14" fmla="*/ 1152 w 5273"/>
              <a:gd name="T15" fmla="*/ 256 h 1042"/>
              <a:gd name="T16" fmla="*/ 1364 w 5273"/>
              <a:gd name="T17" fmla="*/ 329 h 1042"/>
              <a:gd name="T18" fmla="*/ 1521 w 5273"/>
              <a:gd name="T19" fmla="*/ 339 h 1042"/>
              <a:gd name="T20" fmla="*/ 1650 w 5273"/>
              <a:gd name="T21" fmla="*/ 302 h 1042"/>
              <a:gd name="T22" fmla="*/ 1770 w 5273"/>
              <a:gd name="T23" fmla="*/ 220 h 1042"/>
              <a:gd name="T24" fmla="*/ 1899 w 5273"/>
              <a:gd name="T25" fmla="*/ 137 h 1042"/>
              <a:gd name="T26" fmla="*/ 2037 w 5273"/>
              <a:gd name="T27" fmla="*/ 64 h 1042"/>
              <a:gd name="T28" fmla="*/ 2222 w 5273"/>
              <a:gd name="T29" fmla="*/ 9 h 1042"/>
              <a:gd name="T30" fmla="*/ 2415 w 5273"/>
              <a:gd name="T31" fmla="*/ 0 h 1042"/>
              <a:gd name="T32" fmla="*/ 2563 w 5273"/>
              <a:gd name="T33" fmla="*/ 28 h 1042"/>
              <a:gd name="T34" fmla="*/ 2682 w 5273"/>
              <a:gd name="T35" fmla="*/ 73 h 1042"/>
              <a:gd name="T36" fmla="*/ 2793 w 5273"/>
              <a:gd name="T37" fmla="*/ 128 h 1042"/>
              <a:gd name="T38" fmla="*/ 2894 w 5273"/>
              <a:gd name="T39" fmla="*/ 192 h 1042"/>
              <a:gd name="T40" fmla="*/ 3005 w 5273"/>
              <a:gd name="T41" fmla="*/ 247 h 1042"/>
              <a:gd name="T42" fmla="*/ 3116 w 5273"/>
              <a:gd name="T43" fmla="*/ 293 h 1042"/>
              <a:gd name="T44" fmla="*/ 3245 w 5273"/>
              <a:gd name="T45" fmla="*/ 329 h 1042"/>
              <a:gd name="T46" fmla="*/ 3401 w 5273"/>
              <a:gd name="T47" fmla="*/ 320 h 1042"/>
              <a:gd name="T48" fmla="*/ 3530 w 5273"/>
              <a:gd name="T49" fmla="*/ 293 h 1042"/>
              <a:gd name="T50" fmla="*/ 3632 w 5273"/>
              <a:gd name="T51" fmla="*/ 247 h 1042"/>
              <a:gd name="T52" fmla="*/ 3733 w 5273"/>
              <a:gd name="T53" fmla="*/ 192 h 1042"/>
              <a:gd name="T54" fmla="*/ 3825 w 5273"/>
              <a:gd name="T55" fmla="*/ 137 h 1042"/>
              <a:gd name="T56" fmla="*/ 3927 w 5273"/>
              <a:gd name="T57" fmla="*/ 83 h 1042"/>
              <a:gd name="T58" fmla="*/ 4047 w 5273"/>
              <a:gd name="T59" fmla="*/ 46 h 1042"/>
              <a:gd name="T60" fmla="*/ 4185 w 5273"/>
              <a:gd name="T61" fmla="*/ 19 h 1042"/>
              <a:gd name="T62" fmla="*/ 4351 w 5273"/>
              <a:gd name="T63" fmla="*/ 19 h 1042"/>
              <a:gd name="T64" fmla="*/ 4480 w 5273"/>
              <a:gd name="T65" fmla="*/ 46 h 1042"/>
              <a:gd name="T66" fmla="*/ 4581 w 5273"/>
              <a:gd name="T67" fmla="*/ 92 h 1042"/>
              <a:gd name="T68" fmla="*/ 4683 w 5273"/>
              <a:gd name="T69" fmla="*/ 156 h 1042"/>
              <a:gd name="T70" fmla="*/ 4766 w 5273"/>
              <a:gd name="T71" fmla="*/ 220 h 1042"/>
              <a:gd name="T72" fmla="*/ 4858 w 5273"/>
              <a:gd name="T73" fmla="*/ 284 h 1042"/>
              <a:gd name="T74" fmla="*/ 4987 w 5273"/>
              <a:gd name="T75" fmla="*/ 320 h 1042"/>
              <a:gd name="T76" fmla="*/ 5153 w 5273"/>
              <a:gd name="T77" fmla="*/ 348 h 1042"/>
              <a:gd name="T78" fmla="*/ 5273 w 5273"/>
              <a:gd name="T79" fmla="*/ 713 h 1042"/>
              <a:gd name="T80" fmla="*/ 0 w 5273"/>
              <a:gd name="T81" fmla="*/ 1015 h 1042"/>
              <a:gd name="T82" fmla="*/ 442 w 5273"/>
              <a:gd name="T83" fmla="*/ 83 h 10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1042">
                <a:moveTo>
                  <a:pt x="442" y="83"/>
                </a:moveTo>
                <a:lnTo>
                  <a:pt x="452" y="73"/>
                </a:lnTo>
                <a:lnTo>
                  <a:pt x="489" y="73"/>
                </a:lnTo>
                <a:lnTo>
                  <a:pt x="507" y="64"/>
                </a:lnTo>
                <a:lnTo>
                  <a:pt x="544" y="64"/>
                </a:lnTo>
                <a:lnTo>
                  <a:pt x="590" y="64"/>
                </a:lnTo>
                <a:lnTo>
                  <a:pt x="627" y="73"/>
                </a:lnTo>
                <a:lnTo>
                  <a:pt x="673" y="73"/>
                </a:lnTo>
                <a:lnTo>
                  <a:pt x="719" y="83"/>
                </a:lnTo>
                <a:lnTo>
                  <a:pt x="765" y="83"/>
                </a:lnTo>
                <a:lnTo>
                  <a:pt x="820" y="110"/>
                </a:lnTo>
                <a:lnTo>
                  <a:pt x="866" y="119"/>
                </a:lnTo>
                <a:lnTo>
                  <a:pt x="922" y="137"/>
                </a:lnTo>
                <a:lnTo>
                  <a:pt x="977" y="156"/>
                </a:lnTo>
                <a:lnTo>
                  <a:pt x="1032" y="192"/>
                </a:lnTo>
                <a:lnTo>
                  <a:pt x="1152" y="256"/>
                </a:lnTo>
                <a:lnTo>
                  <a:pt x="1263" y="302"/>
                </a:lnTo>
                <a:lnTo>
                  <a:pt x="1364" y="329"/>
                </a:lnTo>
                <a:lnTo>
                  <a:pt x="1456" y="348"/>
                </a:lnTo>
                <a:lnTo>
                  <a:pt x="1521" y="339"/>
                </a:lnTo>
                <a:lnTo>
                  <a:pt x="1595" y="329"/>
                </a:lnTo>
                <a:lnTo>
                  <a:pt x="1650" y="302"/>
                </a:lnTo>
                <a:lnTo>
                  <a:pt x="1724" y="265"/>
                </a:lnTo>
                <a:lnTo>
                  <a:pt x="1770" y="220"/>
                </a:lnTo>
                <a:lnTo>
                  <a:pt x="1825" y="183"/>
                </a:lnTo>
                <a:lnTo>
                  <a:pt x="1899" y="137"/>
                </a:lnTo>
                <a:lnTo>
                  <a:pt x="1963" y="101"/>
                </a:lnTo>
                <a:lnTo>
                  <a:pt x="2037" y="64"/>
                </a:lnTo>
                <a:lnTo>
                  <a:pt x="2129" y="37"/>
                </a:lnTo>
                <a:lnTo>
                  <a:pt x="2222" y="9"/>
                </a:lnTo>
                <a:lnTo>
                  <a:pt x="2351" y="9"/>
                </a:lnTo>
                <a:lnTo>
                  <a:pt x="2415" y="0"/>
                </a:lnTo>
                <a:lnTo>
                  <a:pt x="2498" y="19"/>
                </a:lnTo>
                <a:lnTo>
                  <a:pt x="2563" y="28"/>
                </a:lnTo>
                <a:lnTo>
                  <a:pt x="2636" y="55"/>
                </a:lnTo>
                <a:lnTo>
                  <a:pt x="2682" y="73"/>
                </a:lnTo>
                <a:lnTo>
                  <a:pt x="2738" y="110"/>
                </a:lnTo>
                <a:lnTo>
                  <a:pt x="2793" y="128"/>
                </a:lnTo>
                <a:lnTo>
                  <a:pt x="2848" y="174"/>
                </a:lnTo>
                <a:lnTo>
                  <a:pt x="2894" y="192"/>
                </a:lnTo>
                <a:lnTo>
                  <a:pt x="2950" y="220"/>
                </a:lnTo>
                <a:lnTo>
                  <a:pt x="3005" y="247"/>
                </a:lnTo>
                <a:lnTo>
                  <a:pt x="3060" y="284"/>
                </a:lnTo>
                <a:lnTo>
                  <a:pt x="3116" y="293"/>
                </a:lnTo>
                <a:lnTo>
                  <a:pt x="3180" y="311"/>
                </a:lnTo>
                <a:lnTo>
                  <a:pt x="3245" y="329"/>
                </a:lnTo>
                <a:lnTo>
                  <a:pt x="3328" y="329"/>
                </a:lnTo>
                <a:lnTo>
                  <a:pt x="3401" y="320"/>
                </a:lnTo>
                <a:lnTo>
                  <a:pt x="3466" y="311"/>
                </a:lnTo>
                <a:lnTo>
                  <a:pt x="3530" y="293"/>
                </a:lnTo>
                <a:lnTo>
                  <a:pt x="3595" y="275"/>
                </a:lnTo>
                <a:lnTo>
                  <a:pt x="3632" y="247"/>
                </a:lnTo>
                <a:lnTo>
                  <a:pt x="3687" y="220"/>
                </a:lnTo>
                <a:lnTo>
                  <a:pt x="3733" y="192"/>
                </a:lnTo>
                <a:lnTo>
                  <a:pt x="3789" y="174"/>
                </a:lnTo>
                <a:lnTo>
                  <a:pt x="3825" y="137"/>
                </a:lnTo>
                <a:lnTo>
                  <a:pt x="3872" y="110"/>
                </a:lnTo>
                <a:lnTo>
                  <a:pt x="3927" y="83"/>
                </a:lnTo>
                <a:lnTo>
                  <a:pt x="3982" y="64"/>
                </a:lnTo>
                <a:lnTo>
                  <a:pt x="4047" y="46"/>
                </a:lnTo>
                <a:lnTo>
                  <a:pt x="4111" y="28"/>
                </a:lnTo>
                <a:lnTo>
                  <a:pt x="4185" y="19"/>
                </a:lnTo>
                <a:lnTo>
                  <a:pt x="4268" y="19"/>
                </a:lnTo>
                <a:lnTo>
                  <a:pt x="4351" y="19"/>
                </a:lnTo>
                <a:lnTo>
                  <a:pt x="4415" y="37"/>
                </a:lnTo>
                <a:lnTo>
                  <a:pt x="4480" y="46"/>
                </a:lnTo>
                <a:lnTo>
                  <a:pt x="4535" y="73"/>
                </a:lnTo>
                <a:lnTo>
                  <a:pt x="4581" y="92"/>
                </a:lnTo>
                <a:lnTo>
                  <a:pt x="4637" y="128"/>
                </a:lnTo>
                <a:lnTo>
                  <a:pt x="4683" y="156"/>
                </a:lnTo>
                <a:lnTo>
                  <a:pt x="4729" y="192"/>
                </a:lnTo>
                <a:lnTo>
                  <a:pt x="4766" y="220"/>
                </a:lnTo>
                <a:lnTo>
                  <a:pt x="4812" y="256"/>
                </a:lnTo>
                <a:lnTo>
                  <a:pt x="4858" y="284"/>
                </a:lnTo>
                <a:lnTo>
                  <a:pt x="4922" y="302"/>
                </a:lnTo>
                <a:lnTo>
                  <a:pt x="4987" y="320"/>
                </a:lnTo>
                <a:lnTo>
                  <a:pt x="5070" y="339"/>
                </a:lnTo>
                <a:lnTo>
                  <a:pt x="5153" y="348"/>
                </a:lnTo>
                <a:lnTo>
                  <a:pt x="5254" y="357"/>
                </a:lnTo>
                <a:lnTo>
                  <a:pt x="5273" y="713"/>
                </a:lnTo>
                <a:lnTo>
                  <a:pt x="3116" y="1042"/>
                </a:lnTo>
                <a:lnTo>
                  <a:pt x="0" y="1015"/>
                </a:lnTo>
                <a:lnTo>
                  <a:pt x="46" y="211"/>
                </a:lnTo>
                <a:lnTo>
                  <a:pt x="442" y="83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3" name="Freeform 74">
            <a:extLst>
              <a:ext uri="{FF2B5EF4-FFF2-40B4-BE49-F238E27FC236}">
                <a16:creationId xmlns="" xmlns:a16="http://schemas.microsoft.com/office/drawing/2014/main" id="{00000000-0008-0000-0000-00000D000000}"/>
              </a:ext>
            </a:extLst>
          </xdr:cNvPr>
          <xdr:cNvSpPr>
            <a:spLocks/>
          </xdr:cNvSpPr>
        </xdr:nvSpPr>
        <xdr:spPr bwMode="auto">
          <a:xfrm>
            <a:off x="341317" y="133183"/>
            <a:ext cx="422453" cy="67335"/>
          </a:xfrm>
          <a:custGeom>
            <a:avLst/>
            <a:gdLst>
              <a:gd name="T0" fmla="*/ 461 w 5273"/>
              <a:gd name="T1" fmla="*/ 45 h 841"/>
              <a:gd name="T2" fmla="*/ 516 w 5273"/>
              <a:gd name="T3" fmla="*/ 36 h 841"/>
              <a:gd name="T4" fmla="*/ 590 w 5273"/>
              <a:gd name="T5" fmla="*/ 36 h 841"/>
              <a:gd name="T6" fmla="*/ 673 w 5273"/>
              <a:gd name="T7" fmla="*/ 45 h 841"/>
              <a:gd name="T8" fmla="*/ 765 w 5273"/>
              <a:gd name="T9" fmla="*/ 55 h 841"/>
              <a:gd name="T10" fmla="*/ 866 w 5273"/>
              <a:gd name="T11" fmla="*/ 82 h 841"/>
              <a:gd name="T12" fmla="*/ 977 w 5273"/>
              <a:gd name="T13" fmla="*/ 119 h 841"/>
              <a:gd name="T14" fmla="*/ 1161 w 5273"/>
              <a:gd name="T15" fmla="*/ 201 h 841"/>
              <a:gd name="T16" fmla="*/ 1373 w 5273"/>
              <a:gd name="T17" fmla="*/ 256 h 841"/>
              <a:gd name="T18" fmla="*/ 1521 w 5273"/>
              <a:gd name="T19" fmla="*/ 265 h 841"/>
              <a:gd name="T20" fmla="*/ 1650 w 5273"/>
              <a:gd name="T21" fmla="*/ 228 h 841"/>
              <a:gd name="T22" fmla="*/ 1779 w 5273"/>
              <a:gd name="T23" fmla="*/ 173 h 841"/>
              <a:gd name="T24" fmla="*/ 1899 w 5273"/>
              <a:gd name="T25" fmla="*/ 100 h 841"/>
              <a:gd name="T26" fmla="*/ 2046 w 5273"/>
              <a:gd name="T27" fmla="*/ 36 h 841"/>
              <a:gd name="T28" fmla="*/ 2231 w 5273"/>
              <a:gd name="T29" fmla="*/ 0 h 841"/>
              <a:gd name="T30" fmla="*/ 2424 w 5273"/>
              <a:gd name="T31" fmla="*/ 0 h 841"/>
              <a:gd name="T32" fmla="*/ 2572 w 5273"/>
              <a:gd name="T33" fmla="*/ 18 h 841"/>
              <a:gd name="T34" fmla="*/ 2692 w 5273"/>
              <a:gd name="T35" fmla="*/ 55 h 841"/>
              <a:gd name="T36" fmla="*/ 2802 w 5273"/>
              <a:gd name="T37" fmla="*/ 100 h 841"/>
              <a:gd name="T38" fmla="*/ 2904 w 5273"/>
              <a:gd name="T39" fmla="*/ 146 h 841"/>
              <a:gd name="T40" fmla="*/ 3005 w 5273"/>
              <a:gd name="T41" fmla="*/ 192 h 841"/>
              <a:gd name="T42" fmla="*/ 3125 w 5273"/>
              <a:gd name="T43" fmla="*/ 228 h 841"/>
              <a:gd name="T44" fmla="*/ 3254 w 5273"/>
              <a:gd name="T45" fmla="*/ 256 h 841"/>
              <a:gd name="T46" fmla="*/ 3411 w 5273"/>
              <a:gd name="T47" fmla="*/ 247 h 841"/>
              <a:gd name="T48" fmla="*/ 3530 w 5273"/>
              <a:gd name="T49" fmla="*/ 219 h 841"/>
              <a:gd name="T50" fmla="*/ 3641 w 5273"/>
              <a:gd name="T51" fmla="*/ 192 h 841"/>
              <a:gd name="T52" fmla="*/ 3742 w 5273"/>
              <a:gd name="T53" fmla="*/ 146 h 841"/>
              <a:gd name="T54" fmla="*/ 3835 w 5273"/>
              <a:gd name="T55" fmla="*/ 100 h 841"/>
              <a:gd name="T56" fmla="*/ 3936 w 5273"/>
              <a:gd name="T57" fmla="*/ 55 h 841"/>
              <a:gd name="T58" fmla="*/ 4047 w 5273"/>
              <a:gd name="T59" fmla="*/ 18 h 841"/>
              <a:gd name="T60" fmla="*/ 4194 w 5273"/>
              <a:gd name="T61" fmla="*/ 0 h 841"/>
              <a:gd name="T62" fmla="*/ 4351 w 5273"/>
              <a:gd name="T63" fmla="*/ 9 h 841"/>
              <a:gd name="T64" fmla="*/ 4480 w 5273"/>
              <a:gd name="T65" fmla="*/ 27 h 841"/>
              <a:gd name="T66" fmla="*/ 4581 w 5273"/>
              <a:gd name="T67" fmla="*/ 64 h 841"/>
              <a:gd name="T68" fmla="*/ 4683 w 5273"/>
              <a:gd name="T69" fmla="*/ 119 h 841"/>
              <a:gd name="T70" fmla="*/ 4766 w 5273"/>
              <a:gd name="T71" fmla="*/ 173 h 841"/>
              <a:gd name="T72" fmla="*/ 4858 w 5273"/>
              <a:gd name="T73" fmla="*/ 210 h 841"/>
              <a:gd name="T74" fmla="*/ 4987 w 5273"/>
              <a:gd name="T75" fmla="*/ 256 h 841"/>
              <a:gd name="T76" fmla="*/ 5153 w 5273"/>
              <a:gd name="T77" fmla="*/ 274 h 841"/>
              <a:gd name="T78" fmla="*/ 5273 w 5273"/>
              <a:gd name="T79" fmla="*/ 585 h 841"/>
              <a:gd name="T80" fmla="*/ 0 w 5273"/>
              <a:gd name="T81" fmla="*/ 822 h 841"/>
              <a:gd name="T82" fmla="*/ 452 w 5273"/>
              <a:gd name="T83" fmla="*/ 55 h 8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841">
                <a:moveTo>
                  <a:pt x="452" y="55"/>
                </a:moveTo>
                <a:lnTo>
                  <a:pt x="461" y="45"/>
                </a:lnTo>
                <a:lnTo>
                  <a:pt x="498" y="45"/>
                </a:lnTo>
                <a:lnTo>
                  <a:pt x="516" y="36"/>
                </a:lnTo>
                <a:lnTo>
                  <a:pt x="553" y="36"/>
                </a:lnTo>
                <a:lnTo>
                  <a:pt x="590" y="36"/>
                </a:lnTo>
                <a:lnTo>
                  <a:pt x="627" y="45"/>
                </a:lnTo>
                <a:lnTo>
                  <a:pt x="673" y="45"/>
                </a:lnTo>
                <a:lnTo>
                  <a:pt x="719" y="45"/>
                </a:lnTo>
                <a:lnTo>
                  <a:pt x="765" y="55"/>
                </a:lnTo>
                <a:lnTo>
                  <a:pt x="820" y="73"/>
                </a:lnTo>
                <a:lnTo>
                  <a:pt x="866" y="82"/>
                </a:lnTo>
                <a:lnTo>
                  <a:pt x="922" y="100"/>
                </a:lnTo>
                <a:lnTo>
                  <a:pt x="977" y="119"/>
                </a:lnTo>
                <a:lnTo>
                  <a:pt x="1042" y="146"/>
                </a:lnTo>
                <a:lnTo>
                  <a:pt x="1161" y="201"/>
                </a:lnTo>
                <a:lnTo>
                  <a:pt x="1272" y="237"/>
                </a:lnTo>
                <a:lnTo>
                  <a:pt x="1373" y="256"/>
                </a:lnTo>
                <a:lnTo>
                  <a:pt x="1456" y="274"/>
                </a:lnTo>
                <a:lnTo>
                  <a:pt x="1521" y="265"/>
                </a:lnTo>
                <a:lnTo>
                  <a:pt x="1595" y="256"/>
                </a:lnTo>
                <a:lnTo>
                  <a:pt x="1650" y="228"/>
                </a:lnTo>
                <a:lnTo>
                  <a:pt x="1724" y="210"/>
                </a:lnTo>
                <a:lnTo>
                  <a:pt x="1779" y="173"/>
                </a:lnTo>
                <a:lnTo>
                  <a:pt x="1834" y="137"/>
                </a:lnTo>
                <a:lnTo>
                  <a:pt x="1899" y="100"/>
                </a:lnTo>
                <a:lnTo>
                  <a:pt x="1973" y="73"/>
                </a:lnTo>
                <a:lnTo>
                  <a:pt x="2046" y="36"/>
                </a:lnTo>
                <a:lnTo>
                  <a:pt x="2129" y="18"/>
                </a:lnTo>
                <a:lnTo>
                  <a:pt x="2231" y="0"/>
                </a:lnTo>
                <a:lnTo>
                  <a:pt x="2351" y="0"/>
                </a:lnTo>
                <a:lnTo>
                  <a:pt x="2424" y="0"/>
                </a:lnTo>
                <a:lnTo>
                  <a:pt x="2507" y="0"/>
                </a:lnTo>
                <a:lnTo>
                  <a:pt x="2572" y="18"/>
                </a:lnTo>
                <a:lnTo>
                  <a:pt x="2636" y="36"/>
                </a:lnTo>
                <a:lnTo>
                  <a:pt x="2692" y="55"/>
                </a:lnTo>
                <a:lnTo>
                  <a:pt x="2747" y="73"/>
                </a:lnTo>
                <a:lnTo>
                  <a:pt x="2802" y="100"/>
                </a:lnTo>
                <a:lnTo>
                  <a:pt x="2858" y="128"/>
                </a:lnTo>
                <a:lnTo>
                  <a:pt x="2904" y="146"/>
                </a:lnTo>
                <a:lnTo>
                  <a:pt x="2959" y="173"/>
                </a:lnTo>
                <a:lnTo>
                  <a:pt x="3005" y="192"/>
                </a:lnTo>
                <a:lnTo>
                  <a:pt x="3070" y="210"/>
                </a:lnTo>
                <a:lnTo>
                  <a:pt x="3125" y="228"/>
                </a:lnTo>
                <a:lnTo>
                  <a:pt x="3189" y="247"/>
                </a:lnTo>
                <a:lnTo>
                  <a:pt x="3254" y="256"/>
                </a:lnTo>
                <a:lnTo>
                  <a:pt x="3337" y="256"/>
                </a:lnTo>
                <a:lnTo>
                  <a:pt x="3411" y="247"/>
                </a:lnTo>
                <a:lnTo>
                  <a:pt x="3475" y="237"/>
                </a:lnTo>
                <a:lnTo>
                  <a:pt x="3530" y="219"/>
                </a:lnTo>
                <a:lnTo>
                  <a:pt x="3595" y="210"/>
                </a:lnTo>
                <a:lnTo>
                  <a:pt x="3641" y="192"/>
                </a:lnTo>
                <a:lnTo>
                  <a:pt x="3696" y="173"/>
                </a:lnTo>
                <a:lnTo>
                  <a:pt x="3742" y="146"/>
                </a:lnTo>
                <a:lnTo>
                  <a:pt x="3789" y="128"/>
                </a:lnTo>
                <a:lnTo>
                  <a:pt x="3835" y="100"/>
                </a:lnTo>
                <a:lnTo>
                  <a:pt x="3881" y="73"/>
                </a:lnTo>
                <a:lnTo>
                  <a:pt x="3936" y="55"/>
                </a:lnTo>
                <a:lnTo>
                  <a:pt x="3991" y="36"/>
                </a:lnTo>
                <a:lnTo>
                  <a:pt x="4047" y="18"/>
                </a:lnTo>
                <a:lnTo>
                  <a:pt x="4120" y="9"/>
                </a:lnTo>
                <a:lnTo>
                  <a:pt x="4194" y="0"/>
                </a:lnTo>
                <a:lnTo>
                  <a:pt x="4277" y="9"/>
                </a:lnTo>
                <a:lnTo>
                  <a:pt x="4351" y="9"/>
                </a:lnTo>
                <a:lnTo>
                  <a:pt x="4415" y="18"/>
                </a:lnTo>
                <a:lnTo>
                  <a:pt x="4480" y="27"/>
                </a:lnTo>
                <a:lnTo>
                  <a:pt x="4535" y="45"/>
                </a:lnTo>
                <a:lnTo>
                  <a:pt x="4581" y="64"/>
                </a:lnTo>
                <a:lnTo>
                  <a:pt x="4637" y="91"/>
                </a:lnTo>
                <a:lnTo>
                  <a:pt x="4683" y="119"/>
                </a:lnTo>
                <a:lnTo>
                  <a:pt x="4729" y="146"/>
                </a:lnTo>
                <a:lnTo>
                  <a:pt x="4766" y="173"/>
                </a:lnTo>
                <a:lnTo>
                  <a:pt x="4812" y="192"/>
                </a:lnTo>
                <a:lnTo>
                  <a:pt x="4858" y="210"/>
                </a:lnTo>
                <a:lnTo>
                  <a:pt x="4922" y="237"/>
                </a:lnTo>
                <a:lnTo>
                  <a:pt x="4987" y="256"/>
                </a:lnTo>
                <a:lnTo>
                  <a:pt x="5070" y="265"/>
                </a:lnTo>
                <a:lnTo>
                  <a:pt x="5153" y="274"/>
                </a:lnTo>
                <a:lnTo>
                  <a:pt x="5254" y="274"/>
                </a:lnTo>
                <a:lnTo>
                  <a:pt x="5273" y="585"/>
                </a:lnTo>
                <a:lnTo>
                  <a:pt x="3116" y="841"/>
                </a:lnTo>
                <a:lnTo>
                  <a:pt x="0" y="822"/>
                </a:lnTo>
                <a:lnTo>
                  <a:pt x="46" y="164"/>
                </a:lnTo>
                <a:lnTo>
                  <a:pt x="452" y="55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4" name="Freeform 75">
            <a:extLst>
              <a:ext uri="{FF2B5EF4-FFF2-40B4-BE49-F238E27FC236}">
                <a16:creationId xmlns="" xmlns:a16="http://schemas.microsoft.com/office/drawing/2014/main" id="{00000000-0008-0000-0000-00000E000000}"/>
              </a:ext>
            </a:extLst>
          </xdr:cNvPr>
          <xdr:cNvSpPr>
            <a:spLocks/>
          </xdr:cNvSpPr>
        </xdr:nvSpPr>
        <xdr:spPr bwMode="auto">
          <a:xfrm>
            <a:off x="212000" y="94341"/>
            <a:ext cx="176547" cy="184517"/>
          </a:xfrm>
          <a:custGeom>
            <a:avLst/>
            <a:gdLst>
              <a:gd name="T0" fmla="*/ 2203 w 2203"/>
              <a:gd name="T1" fmla="*/ 0 h 2304"/>
              <a:gd name="T2" fmla="*/ 1973 w 2203"/>
              <a:gd name="T3" fmla="*/ 0 h 2304"/>
              <a:gd name="T4" fmla="*/ 1751 w 2203"/>
              <a:gd name="T5" fmla="*/ 37 h 2304"/>
              <a:gd name="T6" fmla="*/ 1539 w 2203"/>
              <a:gd name="T7" fmla="*/ 83 h 2304"/>
              <a:gd name="T8" fmla="*/ 1336 w 2203"/>
              <a:gd name="T9" fmla="*/ 156 h 2304"/>
              <a:gd name="T10" fmla="*/ 1143 w 2203"/>
              <a:gd name="T11" fmla="*/ 220 h 2304"/>
              <a:gd name="T12" fmla="*/ 968 w 2203"/>
              <a:gd name="T13" fmla="*/ 320 h 2304"/>
              <a:gd name="T14" fmla="*/ 802 w 2203"/>
              <a:gd name="T15" fmla="*/ 430 h 2304"/>
              <a:gd name="T16" fmla="*/ 654 w 2203"/>
              <a:gd name="T17" fmla="*/ 549 h 2304"/>
              <a:gd name="T18" fmla="*/ 498 w 2203"/>
              <a:gd name="T19" fmla="*/ 677 h 2304"/>
              <a:gd name="T20" fmla="*/ 378 w 2203"/>
              <a:gd name="T21" fmla="*/ 814 h 2304"/>
              <a:gd name="T22" fmla="*/ 267 w 2203"/>
              <a:gd name="T23" fmla="*/ 960 h 2304"/>
              <a:gd name="T24" fmla="*/ 175 w 2203"/>
              <a:gd name="T25" fmla="*/ 1106 h 2304"/>
              <a:gd name="T26" fmla="*/ 101 w 2203"/>
              <a:gd name="T27" fmla="*/ 1262 h 2304"/>
              <a:gd name="T28" fmla="*/ 46 w 2203"/>
              <a:gd name="T29" fmla="*/ 1426 h 2304"/>
              <a:gd name="T30" fmla="*/ 18 w 2203"/>
              <a:gd name="T31" fmla="*/ 1582 h 2304"/>
              <a:gd name="T32" fmla="*/ 0 w 2203"/>
              <a:gd name="T33" fmla="*/ 1746 h 2304"/>
              <a:gd name="T34" fmla="*/ 18 w 2203"/>
              <a:gd name="T35" fmla="*/ 1746 h 2304"/>
              <a:gd name="T36" fmla="*/ 92 w 2203"/>
              <a:gd name="T37" fmla="*/ 1774 h 2304"/>
              <a:gd name="T38" fmla="*/ 193 w 2203"/>
              <a:gd name="T39" fmla="*/ 1801 h 2304"/>
              <a:gd name="T40" fmla="*/ 341 w 2203"/>
              <a:gd name="T41" fmla="*/ 1838 h 2304"/>
              <a:gd name="T42" fmla="*/ 498 w 2203"/>
              <a:gd name="T43" fmla="*/ 1874 h 2304"/>
              <a:gd name="T44" fmla="*/ 691 w 2203"/>
              <a:gd name="T45" fmla="*/ 1920 h 2304"/>
              <a:gd name="T46" fmla="*/ 885 w 2203"/>
              <a:gd name="T47" fmla="*/ 1975 h 2304"/>
              <a:gd name="T48" fmla="*/ 1097 w 2203"/>
              <a:gd name="T49" fmla="*/ 2030 h 2304"/>
              <a:gd name="T50" fmla="*/ 1300 w 2203"/>
              <a:gd name="T51" fmla="*/ 2075 h 2304"/>
              <a:gd name="T52" fmla="*/ 1502 w 2203"/>
              <a:gd name="T53" fmla="*/ 2130 h 2304"/>
              <a:gd name="T54" fmla="*/ 1678 w 2203"/>
              <a:gd name="T55" fmla="*/ 2176 h 2304"/>
              <a:gd name="T56" fmla="*/ 1853 w 2203"/>
              <a:gd name="T57" fmla="*/ 2212 h 2304"/>
              <a:gd name="T58" fmla="*/ 1982 w 2203"/>
              <a:gd name="T59" fmla="*/ 2249 h 2304"/>
              <a:gd name="T60" fmla="*/ 2102 w 2203"/>
              <a:gd name="T61" fmla="*/ 2276 h 2304"/>
              <a:gd name="T62" fmla="*/ 2166 w 2203"/>
              <a:gd name="T63" fmla="*/ 2295 h 2304"/>
              <a:gd name="T64" fmla="*/ 2203 w 2203"/>
              <a:gd name="T65" fmla="*/ 2304 h 2304"/>
              <a:gd name="T66" fmla="*/ 2203 w 2203"/>
              <a:gd name="T67" fmla="*/ 0 h 2304"/>
              <a:gd name="T68" fmla="*/ 2203 w 2203"/>
              <a:gd name="T69" fmla="*/ 0 h 23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203" h="2304">
                <a:moveTo>
                  <a:pt x="2203" y="0"/>
                </a:moveTo>
                <a:lnTo>
                  <a:pt x="1973" y="0"/>
                </a:lnTo>
                <a:lnTo>
                  <a:pt x="1751" y="37"/>
                </a:lnTo>
                <a:lnTo>
                  <a:pt x="1539" y="83"/>
                </a:lnTo>
                <a:lnTo>
                  <a:pt x="1336" y="156"/>
                </a:lnTo>
                <a:lnTo>
                  <a:pt x="1143" y="220"/>
                </a:lnTo>
                <a:lnTo>
                  <a:pt x="968" y="320"/>
                </a:lnTo>
                <a:lnTo>
                  <a:pt x="802" y="430"/>
                </a:lnTo>
                <a:lnTo>
                  <a:pt x="654" y="549"/>
                </a:lnTo>
                <a:lnTo>
                  <a:pt x="498" y="677"/>
                </a:lnTo>
                <a:lnTo>
                  <a:pt x="378" y="814"/>
                </a:lnTo>
                <a:lnTo>
                  <a:pt x="267" y="960"/>
                </a:lnTo>
                <a:lnTo>
                  <a:pt x="175" y="1106"/>
                </a:lnTo>
                <a:lnTo>
                  <a:pt x="101" y="1262"/>
                </a:lnTo>
                <a:lnTo>
                  <a:pt x="46" y="1426"/>
                </a:lnTo>
                <a:lnTo>
                  <a:pt x="18" y="1582"/>
                </a:lnTo>
                <a:lnTo>
                  <a:pt x="0" y="1746"/>
                </a:lnTo>
                <a:lnTo>
                  <a:pt x="18" y="1746"/>
                </a:lnTo>
                <a:lnTo>
                  <a:pt x="92" y="1774"/>
                </a:lnTo>
                <a:lnTo>
                  <a:pt x="193" y="1801"/>
                </a:lnTo>
                <a:lnTo>
                  <a:pt x="341" y="1838"/>
                </a:lnTo>
                <a:lnTo>
                  <a:pt x="498" y="1874"/>
                </a:lnTo>
                <a:lnTo>
                  <a:pt x="691" y="1920"/>
                </a:lnTo>
                <a:lnTo>
                  <a:pt x="885" y="1975"/>
                </a:lnTo>
                <a:lnTo>
                  <a:pt x="1097" y="2030"/>
                </a:lnTo>
                <a:lnTo>
                  <a:pt x="1300" y="2075"/>
                </a:lnTo>
                <a:lnTo>
                  <a:pt x="1502" y="2130"/>
                </a:lnTo>
                <a:lnTo>
                  <a:pt x="1678" y="2176"/>
                </a:lnTo>
                <a:lnTo>
                  <a:pt x="1853" y="2212"/>
                </a:lnTo>
                <a:lnTo>
                  <a:pt x="1982" y="2249"/>
                </a:lnTo>
                <a:lnTo>
                  <a:pt x="2102" y="2276"/>
                </a:lnTo>
                <a:lnTo>
                  <a:pt x="2166" y="2295"/>
                </a:lnTo>
                <a:lnTo>
                  <a:pt x="2203" y="2304"/>
                </a:lnTo>
                <a:lnTo>
                  <a:pt x="2203" y="0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5" name="Freeform 76">
            <a:extLst>
              <a:ext uri="{FF2B5EF4-FFF2-40B4-BE49-F238E27FC236}">
                <a16:creationId xmlns="" xmlns:a16="http://schemas.microsoft.com/office/drawing/2014/main" id="{00000000-0008-0000-0000-00000F000000}"/>
              </a:ext>
            </a:extLst>
          </xdr:cNvPr>
          <xdr:cNvSpPr>
            <a:spLocks/>
          </xdr:cNvSpPr>
        </xdr:nvSpPr>
        <xdr:spPr bwMode="auto">
          <a:xfrm>
            <a:off x="239422" y="15126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B8B8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6" name="Freeform 77">
            <a:extLst>
              <a:ext uri="{FF2B5EF4-FFF2-40B4-BE49-F238E27FC236}">
                <a16:creationId xmlns="" xmlns:a16="http://schemas.microsoft.com/office/drawing/2014/main" id="{00000000-0008-0000-0000-000010000000}"/>
              </a:ext>
            </a:extLst>
          </xdr:cNvPr>
          <xdr:cNvSpPr>
            <a:spLocks/>
          </xdr:cNvSpPr>
        </xdr:nvSpPr>
        <xdr:spPr bwMode="auto">
          <a:xfrm>
            <a:off x="0" y="163877"/>
            <a:ext cx="762996" cy="236922"/>
          </a:xfrm>
          <a:custGeom>
            <a:avLst/>
            <a:gdLst>
              <a:gd name="T0" fmla="*/ 0 w 9522"/>
              <a:gd name="T1" fmla="*/ 2961 h 2961"/>
              <a:gd name="T2" fmla="*/ 9522 w 9522"/>
              <a:gd name="T3" fmla="*/ 2961 h 2961"/>
              <a:gd name="T4" fmla="*/ 9522 w 9522"/>
              <a:gd name="T5" fmla="*/ 0 h 2961"/>
              <a:gd name="T6" fmla="*/ 0 w 9522"/>
              <a:gd name="T7" fmla="*/ 0 h 2961"/>
              <a:gd name="T8" fmla="*/ 0 w 9522"/>
              <a:gd name="T9" fmla="*/ 2961 h 2961"/>
              <a:gd name="T10" fmla="*/ 0 w 9522"/>
              <a:gd name="T11" fmla="*/ 2961 h 29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9522" h="2961">
                <a:moveTo>
                  <a:pt x="0" y="2961"/>
                </a:moveTo>
                <a:lnTo>
                  <a:pt x="9522" y="2961"/>
                </a:lnTo>
                <a:lnTo>
                  <a:pt x="9522" y="0"/>
                </a:lnTo>
                <a:lnTo>
                  <a:pt x="0" y="0"/>
                </a:lnTo>
                <a:lnTo>
                  <a:pt x="0" y="2961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7" name="Freeform 78">
            <a:extLst>
              <a:ext uri="{FF2B5EF4-FFF2-40B4-BE49-F238E27FC236}">
                <a16:creationId xmlns="" xmlns:a16="http://schemas.microsoft.com/office/drawing/2014/main" id="{00000000-0008-0000-0000-000011000000}"/>
              </a:ext>
            </a:extLst>
          </xdr:cNvPr>
          <xdr:cNvSpPr>
            <a:spLocks/>
          </xdr:cNvSpPr>
        </xdr:nvSpPr>
        <xdr:spPr bwMode="auto">
          <a:xfrm>
            <a:off x="204683" y="140440"/>
            <a:ext cx="92319" cy="124439"/>
          </a:xfrm>
          <a:custGeom>
            <a:avLst/>
            <a:gdLst>
              <a:gd name="T0" fmla="*/ 728 w 1152"/>
              <a:gd name="T1" fmla="*/ 0 h 1554"/>
              <a:gd name="T2" fmla="*/ 709 w 1152"/>
              <a:gd name="T3" fmla="*/ 0 h 1554"/>
              <a:gd name="T4" fmla="*/ 682 w 1152"/>
              <a:gd name="T5" fmla="*/ 28 h 1554"/>
              <a:gd name="T6" fmla="*/ 645 w 1152"/>
              <a:gd name="T7" fmla="*/ 55 h 1554"/>
              <a:gd name="T8" fmla="*/ 608 w 1152"/>
              <a:gd name="T9" fmla="*/ 119 h 1554"/>
              <a:gd name="T10" fmla="*/ 544 w 1152"/>
              <a:gd name="T11" fmla="*/ 174 h 1554"/>
              <a:gd name="T12" fmla="*/ 488 w 1152"/>
              <a:gd name="T13" fmla="*/ 247 h 1554"/>
              <a:gd name="T14" fmla="*/ 415 w 1152"/>
              <a:gd name="T15" fmla="*/ 338 h 1554"/>
              <a:gd name="T16" fmla="*/ 350 w 1152"/>
              <a:gd name="T17" fmla="*/ 448 h 1554"/>
              <a:gd name="T18" fmla="*/ 285 w 1152"/>
              <a:gd name="T19" fmla="*/ 558 h 1554"/>
              <a:gd name="T20" fmla="*/ 221 w 1152"/>
              <a:gd name="T21" fmla="*/ 667 h 1554"/>
              <a:gd name="T22" fmla="*/ 156 w 1152"/>
              <a:gd name="T23" fmla="*/ 795 h 1554"/>
              <a:gd name="T24" fmla="*/ 101 w 1152"/>
              <a:gd name="T25" fmla="*/ 942 h 1554"/>
              <a:gd name="T26" fmla="*/ 46 w 1152"/>
              <a:gd name="T27" fmla="*/ 1070 h 1554"/>
              <a:gd name="T28" fmla="*/ 18 w 1152"/>
              <a:gd name="T29" fmla="*/ 1225 h 1554"/>
              <a:gd name="T30" fmla="*/ 0 w 1152"/>
              <a:gd name="T31" fmla="*/ 1380 h 1554"/>
              <a:gd name="T32" fmla="*/ 0 w 1152"/>
              <a:gd name="T33" fmla="*/ 1554 h 1554"/>
              <a:gd name="T34" fmla="*/ 18 w 1152"/>
              <a:gd name="T35" fmla="*/ 1554 h 1554"/>
              <a:gd name="T36" fmla="*/ 46 w 1152"/>
              <a:gd name="T37" fmla="*/ 1554 h 1554"/>
              <a:gd name="T38" fmla="*/ 92 w 1152"/>
              <a:gd name="T39" fmla="*/ 1554 h 1554"/>
              <a:gd name="T40" fmla="*/ 129 w 1152"/>
              <a:gd name="T41" fmla="*/ 1554 h 1554"/>
              <a:gd name="T42" fmla="*/ 184 w 1152"/>
              <a:gd name="T43" fmla="*/ 1554 h 1554"/>
              <a:gd name="T44" fmla="*/ 239 w 1152"/>
              <a:gd name="T45" fmla="*/ 1554 h 1554"/>
              <a:gd name="T46" fmla="*/ 304 w 1152"/>
              <a:gd name="T47" fmla="*/ 1554 h 1554"/>
              <a:gd name="T48" fmla="*/ 350 w 1152"/>
              <a:gd name="T49" fmla="*/ 1545 h 1554"/>
              <a:gd name="T50" fmla="*/ 415 w 1152"/>
              <a:gd name="T51" fmla="*/ 1536 h 1554"/>
              <a:gd name="T52" fmla="*/ 461 w 1152"/>
              <a:gd name="T53" fmla="*/ 1527 h 1554"/>
              <a:gd name="T54" fmla="*/ 516 w 1152"/>
              <a:gd name="T55" fmla="*/ 1527 h 1554"/>
              <a:gd name="T56" fmla="*/ 553 w 1152"/>
              <a:gd name="T57" fmla="*/ 1527 h 1554"/>
              <a:gd name="T58" fmla="*/ 580 w 1152"/>
              <a:gd name="T59" fmla="*/ 1527 h 1554"/>
              <a:gd name="T60" fmla="*/ 599 w 1152"/>
              <a:gd name="T61" fmla="*/ 1527 h 1554"/>
              <a:gd name="T62" fmla="*/ 617 w 1152"/>
              <a:gd name="T63" fmla="*/ 1527 h 1554"/>
              <a:gd name="T64" fmla="*/ 1152 w 1152"/>
              <a:gd name="T65" fmla="*/ 274 h 1554"/>
              <a:gd name="T66" fmla="*/ 728 w 1152"/>
              <a:gd name="T67" fmla="*/ 274 h 1554"/>
              <a:gd name="T68" fmla="*/ 728 w 1152"/>
              <a:gd name="T69" fmla="*/ 0 h 1554"/>
              <a:gd name="T70" fmla="*/ 728 w 1152"/>
              <a:gd name="T71" fmla="*/ 0 h 15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1152" h="1554">
                <a:moveTo>
                  <a:pt x="728" y="0"/>
                </a:moveTo>
                <a:lnTo>
                  <a:pt x="709" y="0"/>
                </a:lnTo>
                <a:lnTo>
                  <a:pt x="682" y="28"/>
                </a:lnTo>
                <a:lnTo>
                  <a:pt x="645" y="55"/>
                </a:lnTo>
                <a:lnTo>
                  <a:pt x="608" y="119"/>
                </a:lnTo>
                <a:lnTo>
                  <a:pt x="544" y="174"/>
                </a:lnTo>
                <a:lnTo>
                  <a:pt x="488" y="247"/>
                </a:lnTo>
                <a:lnTo>
                  <a:pt x="415" y="338"/>
                </a:lnTo>
                <a:lnTo>
                  <a:pt x="350" y="448"/>
                </a:lnTo>
                <a:lnTo>
                  <a:pt x="285" y="558"/>
                </a:lnTo>
                <a:lnTo>
                  <a:pt x="221" y="667"/>
                </a:lnTo>
                <a:lnTo>
                  <a:pt x="156" y="795"/>
                </a:lnTo>
                <a:lnTo>
                  <a:pt x="101" y="942"/>
                </a:lnTo>
                <a:lnTo>
                  <a:pt x="46" y="1070"/>
                </a:lnTo>
                <a:lnTo>
                  <a:pt x="18" y="1225"/>
                </a:lnTo>
                <a:lnTo>
                  <a:pt x="0" y="1380"/>
                </a:lnTo>
                <a:lnTo>
                  <a:pt x="0" y="1554"/>
                </a:lnTo>
                <a:lnTo>
                  <a:pt x="18" y="1554"/>
                </a:lnTo>
                <a:lnTo>
                  <a:pt x="46" y="1554"/>
                </a:lnTo>
                <a:lnTo>
                  <a:pt x="92" y="1554"/>
                </a:lnTo>
                <a:lnTo>
                  <a:pt x="129" y="1554"/>
                </a:lnTo>
                <a:lnTo>
                  <a:pt x="184" y="1554"/>
                </a:lnTo>
                <a:lnTo>
                  <a:pt x="239" y="1554"/>
                </a:lnTo>
                <a:lnTo>
                  <a:pt x="304" y="1554"/>
                </a:lnTo>
                <a:lnTo>
                  <a:pt x="350" y="1545"/>
                </a:lnTo>
                <a:lnTo>
                  <a:pt x="415" y="1536"/>
                </a:lnTo>
                <a:lnTo>
                  <a:pt x="461" y="1527"/>
                </a:lnTo>
                <a:lnTo>
                  <a:pt x="516" y="1527"/>
                </a:lnTo>
                <a:lnTo>
                  <a:pt x="553" y="1527"/>
                </a:lnTo>
                <a:lnTo>
                  <a:pt x="580" y="1527"/>
                </a:lnTo>
                <a:lnTo>
                  <a:pt x="599" y="1527"/>
                </a:lnTo>
                <a:lnTo>
                  <a:pt x="617" y="1527"/>
                </a:lnTo>
                <a:lnTo>
                  <a:pt x="1152" y="274"/>
                </a:lnTo>
                <a:lnTo>
                  <a:pt x="728" y="274"/>
                </a:lnTo>
                <a:lnTo>
                  <a:pt x="728" y="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8" name="Freeform 79">
            <a:extLst>
              <a:ext uri="{FF2B5EF4-FFF2-40B4-BE49-F238E27FC236}">
                <a16:creationId xmlns="" xmlns:a16="http://schemas.microsoft.com/office/drawing/2014/main" id="{00000000-0008-0000-0000-000012000000}"/>
              </a:ext>
            </a:extLst>
          </xdr:cNvPr>
          <xdr:cNvSpPr>
            <a:spLocks/>
          </xdr:cNvSpPr>
        </xdr:nvSpPr>
        <xdr:spPr bwMode="auto">
          <a:xfrm>
            <a:off x="50383" y="252091"/>
            <a:ext cx="181722" cy="45326"/>
          </a:xfrm>
          <a:custGeom>
            <a:avLst/>
            <a:gdLst>
              <a:gd name="T0" fmla="*/ 2194 w 2268"/>
              <a:gd name="T1" fmla="*/ 64 h 567"/>
              <a:gd name="T2" fmla="*/ 2120 w 2268"/>
              <a:gd name="T3" fmla="*/ 36 h 567"/>
              <a:gd name="T4" fmla="*/ 2028 w 2268"/>
              <a:gd name="T5" fmla="*/ 9 h 567"/>
              <a:gd name="T6" fmla="*/ 1963 w 2268"/>
              <a:gd name="T7" fmla="*/ 9 h 567"/>
              <a:gd name="T8" fmla="*/ 1880 w 2268"/>
              <a:gd name="T9" fmla="*/ 0 h 567"/>
              <a:gd name="T10" fmla="*/ 1807 w 2268"/>
              <a:gd name="T11" fmla="*/ 9 h 567"/>
              <a:gd name="T12" fmla="*/ 1715 w 2268"/>
              <a:gd name="T13" fmla="*/ 36 h 567"/>
              <a:gd name="T14" fmla="*/ 1641 w 2268"/>
              <a:gd name="T15" fmla="*/ 55 h 567"/>
              <a:gd name="T16" fmla="*/ 1576 w 2268"/>
              <a:gd name="T17" fmla="*/ 100 h 567"/>
              <a:gd name="T18" fmla="*/ 1503 w 2268"/>
              <a:gd name="T19" fmla="*/ 164 h 567"/>
              <a:gd name="T20" fmla="*/ 1420 w 2268"/>
              <a:gd name="T21" fmla="*/ 210 h 567"/>
              <a:gd name="T22" fmla="*/ 1318 w 2268"/>
              <a:gd name="T23" fmla="*/ 247 h 567"/>
              <a:gd name="T24" fmla="*/ 1244 w 2268"/>
              <a:gd name="T25" fmla="*/ 256 h 567"/>
              <a:gd name="T26" fmla="*/ 1180 w 2268"/>
              <a:gd name="T27" fmla="*/ 237 h 567"/>
              <a:gd name="T28" fmla="*/ 1106 w 2268"/>
              <a:gd name="T29" fmla="*/ 210 h 567"/>
              <a:gd name="T30" fmla="*/ 1032 w 2268"/>
              <a:gd name="T31" fmla="*/ 183 h 567"/>
              <a:gd name="T32" fmla="*/ 949 w 2268"/>
              <a:gd name="T33" fmla="*/ 155 h 567"/>
              <a:gd name="T34" fmla="*/ 866 w 2268"/>
              <a:gd name="T35" fmla="*/ 128 h 567"/>
              <a:gd name="T36" fmla="*/ 784 w 2268"/>
              <a:gd name="T37" fmla="*/ 119 h 567"/>
              <a:gd name="T38" fmla="*/ 682 w 2268"/>
              <a:gd name="T39" fmla="*/ 119 h 567"/>
              <a:gd name="T40" fmla="*/ 590 w 2268"/>
              <a:gd name="T41" fmla="*/ 137 h 567"/>
              <a:gd name="T42" fmla="*/ 498 w 2268"/>
              <a:gd name="T43" fmla="*/ 164 h 567"/>
              <a:gd name="T44" fmla="*/ 415 w 2268"/>
              <a:gd name="T45" fmla="*/ 210 h 567"/>
              <a:gd name="T46" fmla="*/ 341 w 2268"/>
              <a:gd name="T47" fmla="*/ 237 h 567"/>
              <a:gd name="T48" fmla="*/ 267 w 2268"/>
              <a:gd name="T49" fmla="*/ 274 h 567"/>
              <a:gd name="T50" fmla="*/ 175 w 2268"/>
              <a:gd name="T51" fmla="*/ 329 h 567"/>
              <a:gd name="T52" fmla="*/ 92 w 2268"/>
              <a:gd name="T53" fmla="*/ 347 h 567"/>
              <a:gd name="T54" fmla="*/ 28 w 2268"/>
              <a:gd name="T55" fmla="*/ 356 h 567"/>
              <a:gd name="T56" fmla="*/ 0 w 2268"/>
              <a:gd name="T57" fmla="*/ 356 h 567"/>
              <a:gd name="T58" fmla="*/ 28 w 2268"/>
              <a:gd name="T59" fmla="*/ 365 h 567"/>
              <a:gd name="T60" fmla="*/ 101 w 2268"/>
              <a:gd name="T61" fmla="*/ 384 h 567"/>
              <a:gd name="T62" fmla="*/ 194 w 2268"/>
              <a:gd name="T63" fmla="*/ 402 h 567"/>
              <a:gd name="T64" fmla="*/ 267 w 2268"/>
              <a:gd name="T65" fmla="*/ 402 h 567"/>
              <a:gd name="T66" fmla="*/ 350 w 2268"/>
              <a:gd name="T67" fmla="*/ 402 h 567"/>
              <a:gd name="T68" fmla="*/ 433 w 2268"/>
              <a:gd name="T69" fmla="*/ 384 h 567"/>
              <a:gd name="T70" fmla="*/ 507 w 2268"/>
              <a:gd name="T71" fmla="*/ 356 h 567"/>
              <a:gd name="T72" fmla="*/ 590 w 2268"/>
              <a:gd name="T73" fmla="*/ 338 h 567"/>
              <a:gd name="T74" fmla="*/ 691 w 2268"/>
              <a:gd name="T75" fmla="*/ 329 h 567"/>
              <a:gd name="T76" fmla="*/ 820 w 2268"/>
              <a:gd name="T77" fmla="*/ 356 h 567"/>
              <a:gd name="T78" fmla="*/ 922 w 2268"/>
              <a:gd name="T79" fmla="*/ 402 h 567"/>
              <a:gd name="T80" fmla="*/ 1005 w 2268"/>
              <a:gd name="T81" fmla="*/ 439 h 567"/>
              <a:gd name="T82" fmla="*/ 1078 w 2268"/>
              <a:gd name="T83" fmla="*/ 475 h 567"/>
              <a:gd name="T84" fmla="*/ 1152 w 2268"/>
              <a:gd name="T85" fmla="*/ 512 h 567"/>
              <a:gd name="T86" fmla="*/ 1244 w 2268"/>
              <a:gd name="T87" fmla="*/ 539 h 567"/>
              <a:gd name="T88" fmla="*/ 1364 w 2268"/>
              <a:gd name="T89" fmla="*/ 557 h 567"/>
              <a:gd name="T90" fmla="*/ 1466 w 2268"/>
              <a:gd name="T91" fmla="*/ 539 h 567"/>
              <a:gd name="T92" fmla="*/ 1549 w 2268"/>
              <a:gd name="T93" fmla="*/ 512 h 567"/>
              <a:gd name="T94" fmla="*/ 1650 w 2268"/>
              <a:gd name="T95" fmla="*/ 466 h 567"/>
              <a:gd name="T96" fmla="*/ 1751 w 2268"/>
              <a:gd name="T97" fmla="*/ 429 h 567"/>
              <a:gd name="T98" fmla="*/ 1844 w 2268"/>
              <a:gd name="T99" fmla="*/ 402 h 567"/>
              <a:gd name="T100" fmla="*/ 1963 w 2268"/>
              <a:gd name="T101" fmla="*/ 420 h 567"/>
              <a:gd name="T102" fmla="*/ 2083 w 2268"/>
              <a:gd name="T103" fmla="*/ 457 h 567"/>
              <a:gd name="T104" fmla="*/ 2194 w 2268"/>
              <a:gd name="T105" fmla="*/ 512 h 567"/>
              <a:gd name="T106" fmla="*/ 2258 w 2268"/>
              <a:gd name="T107" fmla="*/ 557 h 567"/>
              <a:gd name="T108" fmla="*/ 2203 w 2268"/>
              <a:gd name="T109" fmla="*/ 73 h 5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268" h="567">
                <a:moveTo>
                  <a:pt x="2203" y="73"/>
                </a:moveTo>
                <a:lnTo>
                  <a:pt x="2194" y="64"/>
                </a:lnTo>
                <a:lnTo>
                  <a:pt x="2166" y="55"/>
                </a:lnTo>
                <a:lnTo>
                  <a:pt x="2120" y="36"/>
                </a:lnTo>
                <a:lnTo>
                  <a:pt x="2074" y="27"/>
                </a:lnTo>
                <a:lnTo>
                  <a:pt x="2028" y="9"/>
                </a:lnTo>
                <a:lnTo>
                  <a:pt x="2000" y="9"/>
                </a:lnTo>
                <a:lnTo>
                  <a:pt x="1963" y="9"/>
                </a:lnTo>
                <a:lnTo>
                  <a:pt x="1927" y="9"/>
                </a:lnTo>
                <a:lnTo>
                  <a:pt x="1880" y="0"/>
                </a:lnTo>
                <a:lnTo>
                  <a:pt x="1844" y="9"/>
                </a:lnTo>
                <a:lnTo>
                  <a:pt x="1807" y="9"/>
                </a:lnTo>
                <a:lnTo>
                  <a:pt x="1770" y="27"/>
                </a:lnTo>
                <a:lnTo>
                  <a:pt x="1715" y="36"/>
                </a:lnTo>
                <a:lnTo>
                  <a:pt x="1678" y="46"/>
                </a:lnTo>
                <a:lnTo>
                  <a:pt x="1641" y="55"/>
                </a:lnTo>
                <a:lnTo>
                  <a:pt x="1622" y="82"/>
                </a:lnTo>
                <a:lnTo>
                  <a:pt x="1576" y="100"/>
                </a:lnTo>
                <a:lnTo>
                  <a:pt x="1539" y="137"/>
                </a:lnTo>
                <a:lnTo>
                  <a:pt x="1503" y="164"/>
                </a:lnTo>
                <a:lnTo>
                  <a:pt x="1466" y="183"/>
                </a:lnTo>
                <a:lnTo>
                  <a:pt x="1420" y="210"/>
                </a:lnTo>
                <a:lnTo>
                  <a:pt x="1355" y="247"/>
                </a:lnTo>
                <a:lnTo>
                  <a:pt x="1318" y="247"/>
                </a:lnTo>
                <a:lnTo>
                  <a:pt x="1281" y="256"/>
                </a:lnTo>
                <a:lnTo>
                  <a:pt x="1244" y="256"/>
                </a:lnTo>
                <a:lnTo>
                  <a:pt x="1217" y="256"/>
                </a:lnTo>
                <a:lnTo>
                  <a:pt x="1180" y="237"/>
                </a:lnTo>
                <a:lnTo>
                  <a:pt x="1134" y="228"/>
                </a:lnTo>
                <a:lnTo>
                  <a:pt x="1106" y="210"/>
                </a:lnTo>
                <a:lnTo>
                  <a:pt x="1069" y="210"/>
                </a:lnTo>
                <a:lnTo>
                  <a:pt x="1032" y="183"/>
                </a:lnTo>
                <a:lnTo>
                  <a:pt x="986" y="174"/>
                </a:lnTo>
                <a:lnTo>
                  <a:pt x="949" y="155"/>
                </a:lnTo>
                <a:lnTo>
                  <a:pt x="913" y="146"/>
                </a:lnTo>
                <a:lnTo>
                  <a:pt x="866" y="128"/>
                </a:lnTo>
                <a:lnTo>
                  <a:pt x="830" y="119"/>
                </a:lnTo>
                <a:lnTo>
                  <a:pt x="784" y="119"/>
                </a:lnTo>
                <a:lnTo>
                  <a:pt x="737" y="119"/>
                </a:lnTo>
                <a:lnTo>
                  <a:pt x="682" y="119"/>
                </a:lnTo>
                <a:lnTo>
                  <a:pt x="636" y="128"/>
                </a:lnTo>
                <a:lnTo>
                  <a:pt x="590" y="137"/>
                </a:lnTo>
                <a:lnTo>
                  <a:pt x="544" y="155"/>
                </a:lnTo>
                <a:lnTo>
                  <a:pt x="498" y="164"/>
                </a:lnTo>
                <a:lnTo>
                  <a:pt x="461" y="183"/>
                </a:lnTo>
                <a:lnTo>
                  <a:pt x="415" y="210"/>
                </a:lnTo>
                <a:lnTo>
                  <a:pt x="378" y="228"/>
                </a:lnTo>
                <a:lnTo>
                  <a:pt x="341" y="237"/>
                </a:lnTo>
                <a:lnTo>
                  <a:pt x="304" y="256"/>
                </a:lnTo>
                <a:lnTo>
                  <a:pt x="267" y="274"/>
                </a:lnTo>
                <a:lnTo>
                  <a:pt x="240" y="292"/>
                </a:lnTo>
                <a:lnTo>
                  <a:pt x="175" y="329"/>
                </a:lnTo>
                <a:lnTo>
                  <a:pt x="138" y="347"/>
                </a:lnTo>
                <a:lnTo>
                  <a:pt x="92" y="347"/>
                </a:lnTo>
                <a:lnTo>
                  <a:pt x="46" y="356"/>
                </a:lnTo>
                <a:lnTo>
                  <a:pt x="28" y="356"/>
                </a:lnTo>
                <a:lnTo>
                  <a:pt x="9" y="356"/>
                </a:lnTo>
                <a:lnTo>
                  <a:pt x="0" y="356"/>
                </a:lnTo>
                <a:lnTo>
                  <a:pt x="9" y="365"/>
                </a:lnTo>
                <a:lnTo>
                  <a:pt x="28" y="365"/>
                </a:lnTo>
                <a:lnTo>
                  <a:pt x="55" y="375"/>
                </a:lnTo>
                <a:lnTo>
                  <a:pt x="101" y="384"/>
                </a:lnTo>
                <a:lnTo>
                  <a:pt x="166" y="402"/>
                </a:lnTo>
                <a:lnTo>
                  <a:pt x="194" y="402"/>
                </a:lnTo>
                <a:lnTo>
                  <a:pt x="230" y="402"/>
                </a:lnTo>
                <a:lnTo>
                  <a:pt x="267" y="402"/>
                </a:lnTo>
                <a:lnTo>
                  <a:pt x="313" y="402"/>
                </a:lnTo>
                <a:lnTo>
                  <a:pt x="350" y="402"/>
                </a:lnTo>
                <a:lnTo>
                  <a:pt x="387" y="402"/>
                </a:lnTo>
                <a:lnTo>
                  <a:pt x="433" y="384"/>
                </a:lnTo>
                <a:lnTo>
                  <a:pt x="479" y="384"/>
                </a:lnTo>
                <a:lnTo>
                  <a:pt x="507" y="356"/>
                </a:lnTo>
                <a:lnTo>
                  <a:pt x="544" y="347"/>
                </a:lnTo>
                <a:lnTo>
                  <a:pt x="590" y="338"/>
                </a:lnTo>
                <a:lnTo>
                  <a:pt x="627" y="338"/>
                </a:lnTo>
                <a:lnTo>
                  <a:pt x="691" y="329"/>
                </a:lnTo>
                <a:lnTo>
                  <a:pt x="765" y="338"/>
                </a:lnTo>
                <a:lnTo>
                  <a:pt x="820" y="356"/>
                </a:lnTo>
                <a:lnTo>
                  <a:pt x="894" y="384"/>
                </a:lnTo>
                <a:lnTo>
                  <a:pt x="922" y="402"/>
                </a:lnTo>
                <a:lnTo>
                  <a:pt x="959" y="420"/>
                </a:lnTo>
                <a:lnTo>
                  <a:pt x="1005" y="439"/>
                </a:lnTo>
                <a:lnTo>
                  <a:pt x="1051" y="466"/>
                </a:lnTo>
                <a:lnTo>
                  <a:pt x="1078" y="475"/>
                </a:lnTo>
                <a:lnTo>
                  <a:pt x="1115" y="493"/>
                </a:lnTo>
                <a:lnTo>
                  <a:pt x="1152" y="512"/>
                </a:lnTo>
                <a:lnTo>
                  <a:pt x="1189" y="521"/>
                </a:lnTo>
                <a:lnTo>
                  <a:pt x="1244" y="539"/>
                </a:lnTo>
                <a:lnTo>
                  <a:pt x="1309" y="557"/>
                </a:lnTo>
                <a:lnTo>
                  <a:pt x="1364" y="557"/>
                </a:lnTo>
                <a:lnTo>
                  <a:pt x="1420" y="557"/>
                </a:lnTo>
                <a:lnTo>
                  <a:pt x="1466" y="539"/>
                </a:lnTo>
                <a:lnTo>
                  <a:pt x="1512" y="539"/>
                </a:lnTo>
                <a:lnTo>
                  <a:pt x="1549" y="512"/>
                </a:lnTo>
                <a:lnTo>
                  <a:pt x="1604" y="484"/>
                </a:lnTo>
                <a:lnTo>
                  <a:pt x="1650" y="466"/>
                </a:lnTo>
                <a:lnTo>
                  <a:pt x="1705" y="448"/>
                </a:lnTo>
                <a:lnTo>
                  <a:pt x="1751" y="429"/>
                </a:lnTo>
                <a:lnTo>
                  <a:pt x="1797" y="420"/>
                </a:lnTo>
                <a:lnTo>
                  <a:pt x="1844" y="402"/>
                </a:lnTo>
                <a:lnTo>
                  <a:pt x="1899" y="411"/>
                </a:lnTo>
                <a:lnTo>
                  <a:pt x="1963" y="420"/>
                </a:lnTo>
                <a:lnTo>
                  <a:pt x="2028" y="439"/>
                </a:lnTo>
                <a:lnTo>
                  <a:pt x="2083" y="457"/>
                </a:lnTo>
                <a:lnTo>
                  <a:pt x="2148" y="484"/>
                </a:lnTo>
                <a:lnTo>
                  <a:pt x="2194" y="512"/>
                </a:lnTo>
                <a:lnTo>
                  <a:pt x="2231" y="539"/>
                </a:lnTo>
                <a:lnTo>
                  <a:pt x="2258" y="557"/>
                </a:lnTo>
                <a:lnTo>
                  <a:pt x="2268" y="567"/>
                </a:lnTo>
                <a:lnTo>
                  <a:pt x="2203" y="73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9" name="Freeform 80">
            <a:extLst>
              <a:ext uri="{FF2B5EF4-FFF2-40B4-BE49-F238E27FC236}">
                <a16:creationId xmlns="" xmlns:a16="http://schemas.microsoft.com/office/drawing/2014/main" id="{00000000-0008-0000-0000-000013000000}"/>
              </a:ext>
            </a:extLst>
          </xdr:cNvPr>
          <xdr:cNvSpPr>
            <a:spLocks/>
          </xdr:cNvSpPr>
        </xdr:nvSpPr>
        <xdr:spPr bwMode="auto">
          <a:xfrm>
            <a:off x="396161" y="267675"/>
            <a:ext cx="172740" cy="170539"/>
          </a:xfrm>
          <a:custGeom>
            <a:avLst/>
            <a:gdLst>
              <a:gd name="T0" fmla="*/ 857 w 2157"/>
              <a:gd name="T1" fmla="*/ 2130 h 2130"/>
              <a:gd name="T2" fmla="*/ 1032 w 2157"/>
              <a:gd name="T3" fmla="*/ 2038 h 2130"/>
              <a:gd name="T4" fmla="*/ 1189 w 2157"/>
              <a:gd name="T5" fmla="*/ 1947 h 2130"/>
              <a:gd name="T6" fmla="*/ 1336 w 2157"/>
              <a:gd name="T7" fmla="*/ 1837 h 2130"/>
              <a:gd name="T8" fmla="*/ 1475 w 2157"/>
              <a:gd name="T9" fmla="*/ 1718 h 2130"/>
              <a:gd name="T10" fmla="*/ 1585 w 2157"/>
              <a:gd name="T11" fmla="*/ 1590 h 2130"/>
              <a:gd name="T12" fmla="*/ 1696 w 2157"/>
              <a:gd name="T13" fmla="*/ 1453 h 2130"/>
              <a:gd name="T14" fmla="*/ 1788 w 2157"/>
              <a:gd name="T15" fmla="*/ 1316 h 2130"/>
              <a:gd name="T16" fmla="*/ 1871 w 2157"/>
              <a:gd name="T17" fmla="*/ 1170 h 2130"/>
              <a:gd name="T18" fmla="*/ 1935 w 2157"/>
              <a:gd name="T19" fmla="*/ 1014 h 2130"/>
              <a:gd name="T20" fmla="*/ 1991 w 2157"/>
              <a:gd name="T21" fmla="*/ 868 h 2130"/>
              <a:gd name="T22" fmla="*/ 2037 w 2157"/>
              <a:gd name="T23" fmla="*/ 713 h 2130"/>
              <a:gd name="T24" fmla="*/ 2083 w 2157"/>
              <a:gd name="T25" fmla="*/ 566 h 2130"/>
              <a:gd name="T26" fmla="*/ 2111 w 2157"/>
              <a:gd name="T27" fmla="*/ 420 h 2130"/>
              <a:gd name="T28" fmla="*/ 2138 w 2157"/>
              <a:gd name="T29" fmla="*/ 274 h 2130"/>
              <a:gd name="T30" fmla="*/ 2147 w 2157"/>
              <a:gd name="T31" fmla="*/ 137 h 2130"/>
              <a:gd name="T32" fmla="*/ 2157 w 2157"/>
              <a:gd name="T33" fmla="*/ 9 h 2130"/>
              <a:gd name="T34" fmla="*/ 2129 w 2157"/>
              <a:gd name="T35" fmla="*/ 0 h 2130"/>
              <a:gd name="T36" fmla="*/ 2064 w 2157"/>
              <a:gd name="T37" fmla="*/ 0 h 2130"/>
              <a:gd name="T38" fmla="*/ 1954 w 2157"/>
              <a:gd name="T39" fmla="*/ 0 h 2130"/>
              <a:gd name="T40" fmla="*/ 1816 w 2157"/>
              <a:gd name="T41" fmla="*/ 0 h 2130"/>
              <a:gd name="T42" fmla="*/ 1650 w 2157"/>
              <a:gd name="T43" fmla="*/ 0 h 2130"/>
              <a:gd name="T44" fmla="*/ 1465 w 2157"/>
              <a:gd name="T45" fmla="*/ 0 h 2130"/>
              <a:gd name="T46" fmla="*/ 1272 w 2157"/>
              <a:gd name="T47" fmla="*/ 0 h 2130"/>
              <a:gd name="T48" fmla="*/ 1078 w 2157"/>
              <a:gd name="T49" fmla="*/ 9 h 2130"/>
              <a:gd name="T50" fmla="*/ 866 w 2157"/>
              <a:gd name="T51" fmla="*/ 9 h 2130"/>
              <a:gd name="T52" fmla="*/ 673 w 2157"/>
              <a:gd name="T53" fmla="*/ 9 h 2130"/>
              <a:gd name="T54" fmla="*/ 497 w 2157"/>
              <a:gd name="T55" fmla="*/ 9 h 2130"/>
              <a:gd name="T56" fmla="*/ 332 w 2157"/>
              <a:gd name="T57" fmla="*/ 18 h 2130"/>
              <a:gd name="T58" fmla="*/ 184 w 2157"/>
              <a:gd name="T59" fmla="*/ 18 h 2130"/>
              <a:gd name="T60" fmla="*/ 83 w 2157"/>
              <a:gd name="T61" fmla="*/ 18 h 2130"/>
              <a:gd name="T62" fmla="*/ 18 w 2157"/>
              <a:gd name="T63" fmla="*/ 18 h 2130"/>
              <a:gd name="T64" fmla="*/ 0 w 2157"/>
              <a:gd name="T65" fmla="*/ 18 h 2130"/>
              <a:gd name="T66" fmla="*/ 857 w 2157"/>
              <a:gd name="T67" fmla="*/ 2130 h 2130"/>
              <a:gd name="T68" fmla="*/ 857 w 2157"/>
              <a:gd name="T69" fmla="*/ 2130 h 21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157" h="2130">
                <a:moveTo>
                  <a:pt x="857" y="2130"/>
                </a:moveTo>
                <a:lnTo>
                  <a:pt x="1032" y="2038"/>
                </a:lnTo>
                <a:lnTo>
                  <a:pt x="1189" y="1947"/>
                </a:lnTo>
                <a:lnTo>
                  <a:pt x="1336" y="1837"/>
                </a:lnTo>
                <a:lnTo>
                  <a:pt x="1475" y="1718"/>
                </a:lnTo>
                <a:lnTo>
                  <a:pt x="1585" y="1590"/>
                </a:lnTo>
                <a:lnTo>
                  <a:pt x="1696" y="1453"/>
                </a:lnTo>
                <a:lnTo>
                  <a:pt x="1788" y="1316"/>
                </a:lnTo>
                <a:lnTo>
                  <a:pt x="1871" y="1170"/>
                </a:lnTo>
                <a:lnTo>
                  <a:pt x="1935" y="1014"/>
                </a:lnTo>
                <a:lnTo>
                  <a:pt x="1991" y="868"/>
                </a:lnTo>
                <a:lnTo>
                  <a:pt x="2037" y="713"/>
                </a:lnTo>
                <a:lnTo>
                  <a:pt x="2083" y="566"/>
                </a:lnTo>
                <a:lnTo>
                  <a:pt x="2111" y="420"/>
                </a:lnTo>
                <a:lnTo>
                  <a:pt x="2138" y="274"/>
                </a:lnTo>
                <a:lnTo>
                  <a:pt x="2147" y="137"/>
                </a:lnTo>
                <a:lnTo>
                  <a:pt x="2157" y="9"/>
                </a:lnTo>
                <a:lnTo>
                  <a:pt x="2129" y="0"/>
                </a:lnTo>
                <a:lnTo>
                  <a:pt x="2064" y="0"/>
                </a:lnTo>
                <a:lnTo>
                  <a:pt x="1954" y="0"/>
                </a:lnTo>
                <a:lnTo>
                  <a:pt x="1816" y="0"/>
                </a:lnTo>
                <a:lnTo>
                  <a:pt x="1650" y="0"/>
                </a:lnTo>
                <a:lnTo>
                  <a:pt x="1465" y="0"/>
                </a:lnTo>
                <a:lnTo>
                  <a:pt x="1272" y="0"/>
                </a:lnTo>
                <a:lnTo>
                  <a:pt x="1078" y="9"/>
                </a:lnTo>
                <a:lnTo>
                  <a:pt x="866" y="9"/>
                </a:lnTo>
                <a:lnTo>
                  <a:pt x="673" y="9"/>
                </a:lnTo>
                <a:lnTo>
                  <a:pt x="497" y="9"/>
                </a:lnTo>
                <a:lnTo>
                  <a:pt x="332" y="18"/>
                </a:lnTo>
                <a:lnTo>
                  <a:pt x="184" y="18"/>
                </a:lnTo>
                <a:lnTo>
                  <a:pt x="83" y="18"/>
                </a:lnTo>
                <a:lnTo>
                  <a:pt x="18" y="18"/>
                </a:lnTo>
                <a:lnTo>
                  <a:pt x="0" y="18"/>
                </a:lnTo>
                <a:lnTo>
                  <a:pt x="857" y="213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0" name="Freeform 81">
            <a:extLst>
              <a:ext uri="{FF2B5EF4-FFF2-40B4-BE49-F238E27FC236}">
                <a16:creationId xmlns="" xmlns:a16="http://schemas.microsoft.com/office/drawing/2014/main" id="{00000000-0008-0000-0000-000014000000}"/>
              </a:ext>
            </a:extLst>
          </xdr:cNvPr>
          <xdr:cNvSpPr>
            <a:spLocks/>
          </xdr:cNvSpPr>
        </xdr:nvSpPr>
        <xdr:spPr bwMode="auto">
          <a:xfrm>
            <a:off x="235555" y="128484"/>
            <a:ext cx="307233" cy="305090"/>
          </a:xfrm>
          <a:custGeom>
            <a:avLst/>
            <a:gdLst>
              <a:gd name="T0" fmla="*/ 2101 w 3834"/>
              <a:gd name="T1" fmla="*/ 3793 h 3812"/>
              <a:gd name="T2" fmla="*/ 2470 w 3834"/>
              <a:gd name="T3" fmla="*/ 3711 h 3812"/>
              <a:gd name="T4" fmla="*/ 2820 w 3834"/>
              <a:gd name="T5" fmla="*/ 3574 h 3812"/>
              <a:gd name="T6" fmla="*/ 3125 w 3834"/>
              <a:gd name="T7" fmla="*/ 3364 h 3812"/>
              <a:gd name="T8" fmla="*/ 3383 w 3834"/>
              <a:gd name="T9" fmla="*/ 3108 h 3812"/>
              <a:gd name="T10" fmla="*/ 3595 w 3834"/>
              <a:gd name="T11" fmla="*/ 2806 h 3812"/>
              <a:gd name="T12" fmla="*/ 3733 w 3834"/>
              <a:gd name="T13" fmla="*/ 2459 h 3812"/>
              <a:gd name="T14" fmla="*/ 3825 w 3834"/>
              <a:gd name="T15" fmla="*/ 2093 h 3812"/>
              <a:gd name="T16" fmla="*/ 3825 w 3834"/>
              <a:gd name="T17" fmla="*/ 1709 h 3812"/>
              <a:gd name="T18" fmla="*/ 3733 w 3834"/>
              <a:gd name="T19" fmla="*/ 1335 h 3812"/>
              <a:gd name="T20" fmla="*/ 3595 w 3834"/>
              <a:gd name="T21" fmla="*/ 987 h 3812"/>
              <a:gd name="T22" fmla="*/ 3383 w 3834"/>
              <a:gd name="T23" fmla="*/ 686 h 3812"/>
              <a:gd name="T24" fmla="*/ 3125 w 3834"/>
              <a:gd name="T25" fmla="*/ 430 h 3812"/>
              <a:gd name="T26" fmla="*/ 2820 w 3834"/>
              <a:gd name="T27" fmla="*/ 229 h 3812"/>
              <a:gd name="T28" fmla="*/ 2470 w 3834"/>
              <a:gd name="T29" fmla="*/ 82 h 3812"/>
              <a:gd name="T30" fmla="*/ 2101 w 3834"/>
              <a:gd name="T31" fmla="*/ 9 h 3812"/>
              <a:gd name="T32" fmla="*/ 1714 w 3834"/>
              <a:gd name="T33" fmla="*/ 9 h 3812"/>
              <a:gd name="T34" fmla="*/ 1336 w 3834"/>
              <a:gd name="T35" fmla="*/ 82 h 3812"/>
              <a:gd name="T36" fmla="*/ 995 w 3834"/>
              <a:gd name="T37" fmla="*/ 229 h 3812"/>
              <a:gd name="T38" fmla="*/ 691 w 3834"/>
              <a:gd name="T39" fmla="*/ 430 h 3812"/>
              <a:gd name="T40" fmla="*/ 424 w 3834"/>
              <a:gd name="T41" fmla="*/ 686 h 3812"/>
              <a:gd name="T42" fmla="*/ 230 w 3834"/>
              <a:gd name="T43" fmla="*/ 987 h 3812"/>
              <a:gd name="T44" fmla="*/ 74 w 3834"/>
              <a:gd name="T45" fmla="*/ 1335 h 3812"/>
              <a:gd name="T46" fmla="*/ 9 w 3834"/>
              <a:gd name="T47" fmla="*/ 1709 h 3812"/>
              <a:gd name="T48" fmla="*/ 9 w 3834"/>
              <a:gd name="T49" fmla="*/ 2093 h 3812"/>
              <a:gd name="T50" fmla="*/ 74 w 3834"/>
              <a:gd name="T51" fmla="*/ 2459 h 3812"/>
              <a:gd name="T52" fmla="*/ 230 w 3834"/>
              <a:gd name="T53" fmla="*/ 2806 h 3812"/>
              <a:gd name="T54" fmla="*/ 424 w 3834"/>
              <a:gd name="T55" fmla="*/ 3108 h 3812"/>
              <a:gd name="T56" fmla="*/ 691 w 3834"/>
              <a:gd name="T57" fmla="*/ 3364 h 3812"/>
              <a:gd name="T58" fmla="*/ 995 w 3834"/>
              <a:gd name="T59" fmla="*/ 3574 h 3812"/>
              <a:gd name="T60" fmla="*/ 1336 w 3834"/>
              <a:gd name="T61" fmla="*/ 3711 h 3812"/>
              <a:gd name="T62" fmla="*/ 1714 w 3834"/>
              <a:gd name="T63" fmla="*/ 3793 h 3812"/>
              <a:gd name="T64" fmla="*/ 1917 w 3834"/>
              <a:gd name="T65" fmla="*/ 3812 h 38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834" h="3812">
                <a:moveTo>
                  <a:pt x="1917" y="3812"/>
                </a:moveTo>
                <a:lnTo>
                  <a:pt x="2101" y="3793"/>
                </a:lnTo>
                <a:lnTo>
                  <a:pt x="2295" y="3766"/>
                </a:lnTo>
                <a:lnTo>
                  <a:pt x="2470" y="3711"/>
                </a:lnTo>
                <a:lnTo>
                  <a:pt x="2655" y="3656"/>
                </a:lnTo>
                <a:lnTo>
                  <a:pt x="2820" y="3574"/>
                </a:lnTo>
                <a:lnTo>
                  <a:pt x="2977" y="3474"/>
                </a:lnTo>
                <a:lnTo>
                  <a:pt x="3125" y="3364"/>
                </a:lnTo>
                <a:lnTo>
                  <a:pt x="3272" y="3245"/>
                </a:lnTo>
                <a:lnTo>
                  <a:pt x="3383" y="3108"/>
                </a:lnTo>
                <a:lnTo>
                  <a:pt x="3493" y="2962"/>
                </a:lnTo>
                <a:lnTo>
                  <a:pt x="3595" y="2806"/>
                </a:lnTo>
                <a:lnTo>
                  <a:pt x="3678" y="2642"/>
                </a:lnTo>
                <a:lnTo>
                  <a:pt x="3733" y="2459"/>
                </a:lnTo>
                <a:lnTo>
                  <a:pt x="3788" y="2276"/>
                </a:lnTo>
                <a:lnTo>
                  <a:pt x="3825" y="2093"/>
                </a:lnTo>
                <a:lnTo>
                  <a:pt x="3834" y="1901"/>
                </a:lnTo>
                <a:lnTo>
                  <a:pt x="3825" y="1709"/>
                </a:lnTo>
                <a:lnTo>
                  <a:pt x="3788" y="1517"/>
                </a:lnTo>
                <a:lnTo>
                  <a:pt x="3733" y="1335"/>
                </a:lnTo>
                <a:lnTo>
                  <a:pt x="3678" y="1161"/>
                </a:lnTo>
                <a:lnTo>
                  <a:pt x="3595" y="987"/>
                </a:lnTo>
                <a:lnTo>
                  <a:pt x="3493" y="841"/>
                </a:lnTo>
                <a:lnTo>
                  <a:pt x="3383" y="686"/>
                </a:lnTo>
                <a:lnTo>
                  <a:pt x="3272" y="558"/>
                </a:lnTo>
                <a:lnTo>
                  <a:pt x="3125" y="430"/>
                </a:lnTo>
                <a:lnTo>
                  <a:pt x="2977" y="320"/>
                </a:lnTo>
                <a:lnTo>
                  <a:pt x="2820" y="229"/>
                </a:lnTo>
                <a:lnTo>
                  <a:pt x="2655" y="146"/>
                </a:lnTo>
                <a:lnTo>
                  <a:pt x="2470" y="82"/>
                </a:lnTo>
                <a:lnTo>
                  <a:pt x="2295" y="37"/>
                </a:lnTo>
                <a:lnTo>
                  <a:pt x="2101" y="9"/>
                </a:lnTo>
                <a:lnTo>
                  <a:pt x="1917" y="0"/>
                </a:lnTo>
                <a:lnTo>
                  <a:pt x="1714" y="9"/>
                </a:lnTo>
                <a:lnTo>
                  <a:pt x="1530" y="37"/>
                </a:lnTo>
                <a:lnTo>
                  <a:pt x="1336" y="82"/>
                </a:lnTo>
                <a:lnTo>
                  <a:pt x="1161" y="146"/>
                </a:lnTo>
                <a:lnTo>
                  <a:pt x="995" y="229"/>
                </a:lnTo>
                <a:lnTo>
                  <a:pt x="839" y="320"/>
                </a:lnTo>
                <a:lnTo>
                  <a:pt x="691" y="430"/>
                </a:lnTo>
                <a:lnTo>
                  <a:pt x="553" y="558"/>
                </a:lnTo>
                <a:lnTo>
                  <a:pt x="424" y="686"/>
                </a:lnTo>
                <a:lnTo>
                  <a:pt x="322" y="841"/>
                </a:lnTo>
                <a:lnTo>
                  <a:pt x="230" y="987"/>
                </a:lnTo>
                <a:lnTo>
                  <a:pt x="147" y="1161"/>
                </a:lnTo>
                <a:lnTo>
                  <a:pt x="74" y="1335"/>
                </a:lnTo>
                <a:lnTo>
                  <a:pt x="37" y="1517"/>
                </a:lnTo>
                <a:lnTo>
                  <a:pt x="9" y="1709"/>
                </a:lnTo>
                <a:lnTo>
                  <a:pt x="0" y="1901"/>
                </a:lnTo>
                <a:lnTo>
                  <a:pt x="9" y="2093"/>
                </a:lnTo>
                <a:lnTo>
                  <a:pt x="37" y="2276"/>
                </a:lnTo>
                <a:lnTo>
                  <a:pt x="74" y="2459"/>
                </a:lnTo>
                <a:lnTo>
                  <a:pt x="147" y="2642"/>
                </a:lnTo>
                <a:lnTo>
                  <a:pt x="230" y="2806"/>
                </a:lnTo>
                <a:lnTo>
                  <a:pt x="322" y="2962"/>
                </a:lnTo>
                <a:lnTo>
                  <a:pt x="424" y="3108"/>
                </a:lnTo>
                <a:lnTo>
                  <a:pt x="553" y="3245"/>
                </a:lnTo>
                <a:lnTo>
                  <a:pt x="691" y="3364"/>
                </a:lnTo>
                <a:lnTo>
                  <a:pt x="839" y="3474"/>
                </a:lnTo>
                <a:lnTo>
                  <a:pt x="995" y="3574"/>
                </a:lnTo>
                <a:lnTo>
                  <a:pt x="1161" y="3656"/>
                </a:lnTo>
                <a:lnTo>
                  <a:pt x="1336" y="3711"/>
                </a:lnTo>
                <a:lnTo>
                  <a:pt x="1530" y="3766"/>
                </a:lnTo>
                <a:lnTo>
                  <a:pt x="1714" y="3793"/>
                </a:lnTo>
                <a:lnTo>
                  <a:pt x="1917" y="3812"/>
                </a:lnTo>
                <a:close/>
              </a:path>
            </a:pathLst>
          </a:custGeom>
          <a:solidFill>
            <a:srgbClr val="E6FF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1" name="Freeform 82">
            <a:extLst>
              <a:ext uri="{FF2B5EF4-FFF2-40B4-BE49-F238E27FC236}">
                <a16:creationId xmlns="" xmlns:a16="http://schemas.microsoft.com/office/drawing/2014/main" id="{00000000-0008-0000-0000-000015000000}"/>
              </a:ext>
            </a:extLst>
          </xdr:cNvPr>
          <xdr:cNvSpPr>
            <a:spLocks/>
          </xdr:cNvSpPr>
        </xdr:nvSpPr>
        <xdr:spPr bwMode="auto">
          <a:xfrm>
            <a:off x="234722" y="128068"/>
            <a:ext cx="258575" cy="256790"/>
          </a:xfrm>
          <a:custGeom>
            <a:avLst/>
            <a:gdLst>
              <a:gd name="T0" fmla="*/ 1779 w 3227"/>
              <a:gd name="T1" fmla="*/ 3190 h 3208"/>
              <a:gd name="T2" fmla="*/ 2083 w 3227"/>
              <a:gd name="T3" fmla="*/ 3126 h 3208"/>
              <a:gd name="T4" fmla="*/ 2369 w 3227"/>
              <a:gd name="T5" fmla="*/ 2998 h 3208"/>
              <a:gd name="T6" fmla="*/ 2627 w 3227"/>
              <a:gd name="T7" fmla="*/ 2825 h 3208"/>
              <a:gd name="T8" fmla="*/ 2849 w 3227"/>
              <a:gd name="T9" fmla="*/ 2605 h 3208"/>
              <a:gd name="T10" fmla="*/ 3024 w 3227"/>
              <a:gd name="T11" fmla="*/ 2349 h 3208"/>
              <a:gd name="T12" fmla="*/ 3153 w 3227"/>
              <a:gd name="T13" fmla="*/ 2066 h 3208"/>
              <a:gd name="T14" fmla="*/ 3217 w 3227"/>
              <a:gd name="T15" fmla="*/ 1755 h 3208"/>
              <a:gd name="T16" fmla="*/ 3217 w 3227"/>
              <a:gd name="T17" fmla="*/ 1426 h 3208"/>
              <a:gd name="T18" fmla="*/ 3153 w 3227"/>
              <a:gd name="T19" fmla="*/ 1124 h 3208"/>
              <a:gd name="T20" fmla="*/ 3024 w 3227"/>
              <a:gd name="T21" fmla="*/ 832 h 3208"/>
              <a:gd name="T22" fmla="*/ 2849 w 3227"/>
              <a:gd name="T23" fmla="*/ 585 h 3208"/>
              <a:gd name="T24" fmla="*/ 2627 w 3227"/>
              <a:gd name="T25" fmla="*/ 366 h 3208"/>
              <a:gd name="T26" fmla="*/ 2369 w 3227"/>
              <a:gd name="T27" fmla="*/ 192 h 3208"/>
              <a:gd name="T28" fmla="*/ 2083 w 3227"/>
              <a:gd name="T29" fmla="*/ 64 h 3208"/>
              <a:gd name="T30" fmla="*/ 1779 w 3227"/>
              <a:gd name="T31" fmla="*/ 9 h 3208"/>
              <a:gd name="T32" fmla="*/ 1438 w 3227"/>
              <a:gd name="T33" fmla="*/ 9 h 3208"/>
              <a:gd name="T34" fmla="*/ 1125 w 3227"/>
              <a:gd name="T35" fmla="*/ 64 h 3208"/>
              <a:gd name="T36" fmla="*/ 839 w 3227"/>
              <a:gd name="T37" fmla="*/ 192 h 3208"/>
              <a:gd name="T38" fmla="*/ 581 w 3227"/>
              <a:gd name="T39" fmla="*/ 366 h 3208"/>
              <a:gd name="T40" fmla="*/ 369 w 3227"/>
              <a:gd name="T41" fmla="*/ 585 h 3208"/>
              <a:gd name="T42" fmla="*/ 194 w 3227"/>
              <a:gd name="T43" fmla="*/ 832 h 3208"/>
              <a:gd name="T44" fmla="*/ 65 w 3227"/>
              <a:gd name="T45" fmla="*/ 1124 h 3208"/>
              <a:gd name="T46" fmla="*/ 9 w 3227"/>
              <a:gd name="T47" fmla="*/ 1426 h 3208"/>
              <a:gd name="T48" fmla="*/ 9 w 3227"/>
              <a:gd name="T49" fmla="*/ 1755 h 3208"/>
              <a:gd name="T50" fmla="*/ 65 w 3227"/>
              <a:gd name="T51" fmla="*/ 2066 h 3208"/>
              <a:gd name="T52" fmla="*/ 194 w 3227"/>
              <a:gd name="T53" fmla="*/ 2349 h 3208"/>
              <a:gd name="T54" fmla="*/ 369 w 3227"/>
              <a:gd name="T55" fmla="*/ 2605 h 3208"/>
              <a:gd name="T56" fmla="*/ 581 w 3227"/>
              <a:gd name="T57" fmla="*/ 2825 h 3208"/>
              <a:gd name="T58" fmla="*/ 839 w 3227"/>
              <a:gd name="T59" fmla="*/ 2998 h 3208"/>
              <a:gd name="T60" fmla="*/ 1125 w 3227"/>
              <a:gd name="T61" fmla="*/ 3126 h 3208"/>
              <a:gd name="T62" fmla="*/ 1438 w 3227"/>
              <a:gd name="T63" fmla="*/ 3190 h 3208"/>
              <a:gd name="T64" fmla="*/ 1613 w 3227"/>
              <a:gd name="T65" fmla="*/ 3208 h 3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227" h="3208">
                <a:moveTo>
                  <a:pt x="1613" y="3208"/>
                </a:moveTo>
                <a:lnTo>
                  <a:pt x="1779" y="3190"/>
                </a:lnTo>
                <a:lnTo>
                  <a:pt x="1936" y="3163"/>
                </a:lnTo>
                <a:lnTo>
                  <a:pt x="2083" y="3126"/>
                </a:lnTo>
                <a:lnTo>
                  <a:pt x="2240" y="3080"/>
                </a:lnTo>
                <a:lnTo>
                  <a:pt x="2369" y="2998"/>
                </a:lnTo>
                <a:lnTo>
                  <a:pt x="2508" y="2925"/>
                </a:lnTo>
                <a:lnTo>
                  <a:pt x="2627" y="2825"/>
                </a:lnTo>
                <a:lnTo>
                  <a:pt x="2756" y="2733"/>
                </a:lnTo>
                <a:lnTo>
                  <a:pt x="2849" y="2605"/>
                </a:lnTo>
                <a:lnTo>
                  <a:pt x="2941" y="2486"/>
                </a:lnTo>
                <a:lnTo>
                  <a:pt x="3024" y="2349"/>
                </a:lnTo>
                <a:lnTo>
                  <a:pt x="3097" y="2221"/>
                </a:lnTo>
                <a:lnTo>
                  <a:pt x="3153" y="2066"/>
                </a:lnTo>
                <a:lnTo>
                  <a:pt x="3190" y="1920"/>
                </a:lnTo>
                <a:lnTo>
                  <a:pt x="3217" y="1755"/>
                </a:lnTo>
                <a:lnTo>
                  <a:pt x="3227" y="1600"/>
                </a:lnTo>
                <a:lnTo>
                  <a:pt x="3217" y="1426"/>
                </a:lnTo>
                <a:lnTo>
                  <a:pt x="3190" y="1280"/>
                </a:lnTo>
                <a:lnTo>
                  <a:pt x="3153" y="1124"/>
                </a:lnTo>
                <a:lnTo>
                  <a:pt x="3097" y="978"/>
                </a:lnTo>
                <a:lnTo>
                  <a:pt x="3024" y="832"/>
                </a:lnTo>
                <a:lnTo>
                  <a:pt x="2941" y="704"/>
                </a:lnTo>
                <a:lnTo>
                  <a:pt x="2849" y="585"/>
                </a:lnTo>
                <a:lnTo>
                  <a:pt x="2756" y="475"/>
                </a:lnTo>
                <a:lnTo>
                  <a:pt x="2627" y="366"/>
                </a:lnTo>
                <a:lnTo>
                  <a:pt x="2508" y="274"/>
                </a:lnTo>
                <a:lnTo>
                  <a:pt x="2369" y="192"/>
                </a:lnTo>
                <a:lnTo>
                  <a:pt x="2240" y="128"/>
                </a:lnTo>
                <a:lnTo>
                  <a:pt x="2083" y="64"/>
                </a:lnTo>
                <a:lnTo>
                  <a:pt x="1936" y="37"/>
                </a:lnTo>
                <a:lnTo>
                  <a:pt x="1779" y="9"/>
                </a:lnTo>
                <a:lnTo>
                  <a:pt x="1613" y="0"/>
                </a:lnTo>
                <a:lnTo>
                  <a:pt x="1438" y="9"/>
                </a:lnTo>
                <a:lnTo>
                  <a:pt x="1282" y="37"/>
                </a:lnTo>
                <a:lnTo>
                  <a:pt x="1125" y="64"/>
                </a:lnTo>
                <a:lnTo>
                  <a:pt x="987" y="128"/>
                </a:lnTo>
                <a:lnTo>
                  <a:pt x="839" y="192"/>
                </a:lnTo>
                <a:lnTo>
                  <a:pt x="710" y="274"/>
                </a:lnTo>
                <a:lnTo>
                  <a:pt x="581" y="366"/>
                </a:lnTo>
                <a:lnTo>
                  <a:pt x="470" y="475"/>
                </a:lnTo>
                <a:lnTo>
                  <a:pt x="369" y="585"/>
                </a:lnTo>
                <a:lnTo>
                  <a:pt x="277" y="704"/>
                </a:lnTo>
                <a:lnTo>
                  <a:pt x="194" y="832"/>
                </a:lnTo>
                <a:lnTo>
                  <a:pt x="129" y="978"/>
                </a:lnTo>
                <a:lnTo>
                  <a:pt x="65" y="1124"/>
                </a:lnTo>
                <a:lnTo>
                  <a:pt x="37" y="1280"/>
                </a:lnTo>
                <a:lnTo>
                  <a:pt x="9" y="1426"/>
                </a:lnTo>
                <a:lnTo>
                  <a:pt x="0" y="1600"/>
                </a:lnTo>
                <a:lnTo>
                  <a:pt x="9" y="1755"/>
                </a:lnTo>
                <a:lnTo>
                  <a:pt x="37" y="1920"/>
                </a:lnTo>
                <a:lnTo>
                  <a:pt x="65" y="2066"/>
                </a:lnTo>
                <a:lnTo>
                  <a:pt x="129" y="2221"/>
                </a:lnTo>
                <a:lnTo>
                  <a:pt x="194" y="2349"/>
                </a:lnTo>
                <a:lnTo>
                  <a:pt x="277" y="2486"/>
                </a:lnTo>
                <a:lnTo>
                  <a:pt x="369" y="2605"/>
                </a:lnTo>
                <a:lnTo>
                  <a:pt x="470" y="2733"/>
                </a:lnTo>
                <a:lnTo>
                  <a:pt x="581" y="2825"/>
                </a:lnTo>
                <a:lnTo>
                  <a:pt x="710" y="2925"/>
                </a:lnTo>
                <a:lnTo>
                  <a:pt x="839" y="2998"/>
                </a:lnTo>
                <a:lnTo>
                  <a:pt x="987" y="3080"/>
                </a:lnTo>
                <a:lnTo>
                  <a:pt x="1125" y="3126"/>
                </a:lnTo>
                <a:lnTo>
                  <a:pt x="1282" y="3163"/>
                </a:lnTo>
                <a:lnTo>
                  <a:pt x="1438" y="3190"/>
                </a:lnTo>
                <a:lnTo>
                  <a:pt x="1613" y="3208"/>
                </a:lnTo>
                <a:close/>
              </a:path>
            </a:pathLst>
          </a:custGeom>
          <a:solidFill>
            <a:srgbClr val="EDFF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2" name="Freeform 83">
            <a:extLst>
              <a:ext uri="{FF2B5EF4-FFF2-40B4-BE49-F238E27FC236}">
                <a16:creationId xmlns="" xmlns:a16="http://schemas.microsoft.com/office/drawing/2014/main" id="{00000000-0008-0000-0000-000016000000}"/>
              </a:ext>
            </a:extLst>
          </xdr:cNvPr>
          <xdr:cNvSpPr>
            <a:spLocks/>
          </xdr:cNvSpPr>
        </xdr:nvSpPr>
        <xdr:spPr bwMode="auto">
          <a:xfrm>
            <a:off x="256315" y="144901"/>
            <a:ext cx="209799" cy="208489"/>
          </a:xfrm>
          <a:custGeom>
            <a:avLst/>
            <a:gdLst>
              <a:gd name="T0" fmla="*/ 1438 w 2618"/>
              <a:gd name="T1" fmla="*/ 2587 h 2605"/>
              <a:gd name="T2" fmla="*/ 1687 w 2618"/>
              <a:gd name="T3" fmla="*/ 2532 h 2605"/>
              <a:gd name="T4" fmla="*/ 1926 w 2618"/>
              <a:gd name="T5" fmla="*/ 2431 h 2605"/>
              <a:gd name="T6" fmla="*/ 2129 w 2618"/>
              <a:gd name="T7" fmla="*/ 2294 h 2605"/>
              <a:gd name="T8" fmla="*/ 2304 w 2618"/>
              <a:gd name="T9" fmla="*/ 2121 h 2605"/>
              <a:gd name="T10" fmla="*/ 2452 w 2618"/>
              <a:gd name="T11" fmla="*/ 1910 h 2605"/>
              <a:gd name="T12" fmla="*/ 2544 w 2618"/>
              <a:gd name="T13" fmla="*/ 1682 h 2605"/>
              <a:gd name="T14" fmla="*/ 2609 w 2618"/>
              <a:gd name="T15" fmla="*/ 1435 h 2605"/>
              <a:gd name="T16" fmla="*/ 2609 w 2618"/>
              <a:gd name="T17" fmla="*/ 1170 h 2605"/>
              <a:gd name="T18" fmla="*/ 2544 w 2618"/>
              <a:gd name="T19" fmla="*/ 914 h 2605"/>
              <a:gd name="T20" fmla="*/ 2452 w 2618"/>
              <a:gd name="T21" fmla="*/ 676 h 2605"/>
              <a:gd name="T22" fmla="*/ 2304 w 2618"/>
              <a:gd name="T23" fmla="*/ 466 h 2605"/>
              <a:gd name="T24" fmla="*/ 2129 w 2618"/>
              <a:gd name="T25" fmla="*/ 292 h 2605"/>
              <a:gd name="T26" fmla="*/ 1926 w 2618"/>
              <a:gd name="T27" fmla="*/ 155 h 2605"/>
              <a:gd name="T28" fmla="*/ 1687 w 2618"/>
              <a:gd name="T29" fmla="*/ 55 h 2605"/>
              <a:gd name="T30" fmla="*/ 1438 w 2618"/>
              <a:gd name="T31" fmla="*/ 0 h 2605"/>
              <a:gd name="T32" fmla="*/ 1171 w 2618"/>
              <a:gd name="T33" fmla="*/ 0 h 2605"/>
              <a:gd name="T34" fmla="*/ 913 w 2618"/>
              <a:gd name="T35" fmla="*/ 55 h 2605"/>
              <a:gd name="T36" fmla="*/ 673 w 2618"/>
              <a:gd name="T37" fmla="*/ 155 h 2605"/>
              <a:gd name="T38" fmla="*/ 470 w 2618"/>
              <a:gd name="T39" fmla="*/ 292 h 2605"/>
              <a:gd name="T40" fmla="*/ 295 w 2618"/>
              <a:gd name="T41" fmla="*/ 466 h 2605"/>
              <a:gd name="T42" fmla="*/ 147 w 2618"/>
              <a:gd name="T43" fmla="*/ 676 h 2605"/>
              <a:gd name="T44" fmla="*/ 55 w 2618"/>
              <a:gd name="T45" fmla="*/ 914 h 2605"/>
              <a:gd name="T46" fmla="*/ 0 w 2618"/>
              <a:gd name="T47" fmla="*/ 1170 h 2605"/>
              <a:gd name="T48" fmla="*/ 0 w 2618"/>
              <a:gd name="T49" fmla="*/ 1435 h 2605"/>
              <a:gd name="T50" fmla="*/ 55 w 2618"/>
              <a:gd name="T51" fmla="*/ 1682 h 2605"/>
              <a:gd name="T52" fmla="*/ 147 w 2618"/>
              <a:gd name="T53" fmla="*/ 1910 h 2605"/>
              <a:gd name="T54" fmla="*/ 295 w 2618"/>
              <a:gd name="T55" fmla="*/ 2121 h 2605"/>
              <a:gd name="T56" fmla="*/ 470 w 2618"/>
              <a:gd name="T57" fmla="*/ 2294 h 2605"/>
              <a:gd name="T58" fmla="*/ 673 w 2618"/>
              <a:gd name="T59" fmla="*/ 2431 h 2605"/>
              <a:gd name="T60" fmla="*/ 913 w 2618"/>
              <a:gd name="T61" fmla="*/ 2532 h 2605"/>
              <a:gd name="T62" fmla="*/ 1171 w 2618"/>
              <a:gd name="T63" fmla="*/ 2587 h 2605"/>
              <a:gd name="T64" fmla="*/ 1309 w 2618"/>
              <a:gd name="T65" fmla="*/ 2605 h 26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618" h="2605">
                <a:moveTo>
                  <a:pt x="1309" y="2605"/>
                </a:moveTo>
                <a:lnTo>
                  <a:pt x="1438" y="2587"/>
                </a:lnTo>
                <a:lnTo>
                  <a:pt x="1567" y="2569"/>
                </a:lnTo>
                <a:lnTo>
                  <a:pt x="1687" y="2532"/>
                </a:lnTo>
                <a:lnTo>
                  <a:pt x="1816" y="2495"/>
                </a:lnTo>
                <a:lnTo>
                  <a:pt x="1926" y="2431"/>
                </a:lnTo>
                <a:lnTo>
                  <a:pt x="2037" y="2367"/>
                </a:lnTo>
                <a:lnTo>
                  <a:pt x="2129" y="2294"/>
                </a:lnTo>
                <a:lnTo>
                  <a:pt x="2231" y="2212"/>
                </a:lnTo>
                <a:lnTo>
                  <a:pt x="2304" y="2121"/>
                </a:lnTo>
                <a:lnTo>
                  <a:pt x="2387" y="2020"/>
                </a:lnTo>
                <a:lnTo>
                  <a:pt x="2452" y="1910"/>
                </a:lnTo>
                <a:lnTo>
                  <a:pt x="2507" y="1801"/>
                </a:lnTo>
                <a:lnTo>
                  <a:pt x="2544" y="1682"/>
                </a:lnTo>
                <a:lnTo>
                  <a:pt x="2581" y="1563"/>
                </a:lnTo>
                <a:lnTo>
                  <a:pt x="2609" y="1435"/>
                </a:lnTo>
                <a:lnTo>
                  <a:pt x="2618" y="1298"/>
                </a:lnTo>
                <a:lnTo>
                  <a:pt x="2609" y="1170"/>
                </a:lnTo>
                <a:lnTo>
                  <a:pt x="2581" y="1042"/>
                </a:lnTo>
                <a:lnTo>
                  <a:pt x="2544" y="914"/>
                </a:lnTo>
                <a:lnTo>
                  <a:pt x="2507" y="795"/>
                </a:lnTo>
                <a:lnTo>
                  <a:pt x="2452" y="676"/>
                </a:lnTo>
                <a:lnTo>
                  <a:pt x="2387" y="567"/>
                </a:lnTo>
                <a:lnTo>
                  <a:pt x="2304" y="466"/>
                </a:lnTo>
                <a:lnTo>
                  <a:pt x="2231" y="384"/>
                </a:lnTo>
                <a:lnTo>
                  <a:pt x="2129" y="292"/>
                </a:lnTo>
                <a:lnTo>
                  <a:pt x="2037" y="219"/>
                </a:lnTo>
                <a:lnTo>
                  <a:pt x="1926" y="155"/>
                </a:lnTo>
                <a:lnTo>
                  <a:pt x="1816" y="101"/>
                </a:lnTo>
                <a:lnTo>
                  <a:pt x="1687" y="55"/>
                </a:lnTo>
                <a:lnTo>
                  <a:pt x="1567" y="27"/>
                </a:lnTo>
                <a:lnTo>
                  <a:pt x="1438" y="0"/>
                </a:lnTo>
                <a:lnTo>
                  <a:pt x="1309" y="0"/>
                </a:lnTo>
                <a:lnTo>
                  <a:pt x="1171" y="0"/>
                </a:lnTo>
                <a:lnTo>
                  <a:pt x="1042" y="27"/>
                </a:lnTo>
                <a:lnTo>
                  <a:pt x="913" y="55"/>
                </a:lnTo>
                <a:lnTo>
                  <a:pt x="802" y="101"/>
                </a:lnTo>
                <a:lnTo>
                  <a:pt x="673" y="155"/>
                </a:lnTo>
                <a:lnTo>
                  <a:pt x="571" y="219"/>
                </a:lnTo>
                <a:lnTo>
                  <a:pt x="470" y="292"/>
                </a:lnTo>
                <a:lnTo>
                  <a:pt x="387" y="384"/>
                </a:lnTo>
                <a:lnTo>
                  <a:pt x="295" y="466"/>
                </a:lnTo>
                <a:lnTo>
                  <a:pt x="212" y="567"/>
                </a:lnTo>
                <a:lnTo>
                  <a:pt x="147" y="676"/>
                </a:lnTo>
                <a:lnTo>
                  <a:pt x="101" y="795"/>
                </a:lnTo>
                <a:lnTo>
                  <a:pt x="55" y="914"/>
                </a:lnTo>
                <a:lnTo>
                  <a:pt x="18" y="1042"/>
                </a:lnTo>
                <a:lnTo>
                  <a:pt x="0" y="1170"/>
                </a:lnTo>
                <a:lnTo>
                  <a:pt x="0" y="1298"/>
                </a:lnTo>
                <a:lnTo>
                  <a:pt x="0" y="1435"/>
                </a:lnTo>
                <a:lnTo>
                  <a:pt x="18" y="1563"/>
                </a:lnTo>
                <a:lnTo>
                  <a:pt x="55" y="1682"/>
                </a:lnTo>
                <a:lnTo>
                  <a:pt x="101" y="1801"/>
                </a:lnTo>
                <a:lnTo>
                  <a:pt x="147" y="1910"/>
                </a:lnTo>
                <a:lnTo>
                  <a:pt x="212" y="2020"/>
                </a:lnTo>
                <a:lnTo>
                  <a:pt x="295" y="2121"/>
                </a:lnTo>
                <a:lnTo>
                  <a:pt x="387" y="2212"/>
                </a:lnTo>
                <a:lnTo>
                  <a:pt x="470" y="2294"/>
                </a:lnTo>
                <a:lnTo>
                  <a:pt x="571" y="2367"/>
                </a:lnTo>
                <a:lnTo>
                  <a:pt x="673" y="2431"/>
                </a:lnTo>
                <a:lnTo>
                  <a:pt x="802" y="2495"/>
                </a:lnTo>
                <a:lnTo>
                  <a:pt x="913" y="2532"/>
                </a:lnTo>
                <a:lnTo>
                  <a:pt x="1042" y="2569"/>
                </a:lnTo>
                <a:lnTo>
                  <a:pt x="1171" y="2587"/>
                </a:lnTo>
                <a:lnTo>
                  <a:pt x="1309" y="2605"/>
                </a:lnTo>
                <a:close/>
              </a:path>
            </a:pathLst>
          </a:custGeom>
          <a:solidFill>
            <a:srgbClr val="F0FCD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3" name="Freeform 84">
            <a:extLst>
              <a:ext uri="{FF2B5EF4-FFF2-40B4-BE49-F238E27FC236}">
                <a16:creationId xmlns="" xmlns:a16="http://schemas.microsoft.com/office/drawing/2014/main" id="{00000000-0008-0000-0000-000017000000}"/>
              </a:ext>
            </a:extLst>
          </xdr:cNvPr>
          <xdr:cNvSpPr>
            <a:spLocks/>
          </xdr:cNvSpPr>
        </xdr:nvSpPr>
        <xdr:spPr bwMode="auto">
          <a:xfrm>
            <a:off x="268093" y="155073"/>
            <a:ext cx="161082" cy="159534"/>
          </a:xfrm>
          <a:custGeom>
            <a:avLst/>
            <a:gdLst>
              <a:gd name="T0" fmla="*/ 1107 w 2010"/>
              <a:gd name="T1" fmla="*/ 1974 h 1993"/>
              <a:gd name="T2" fmla="*/ 1291 w 2010"/>
              <a:gd name="T3" fmla="*/ 1938 h 1993"/>
              <a:gd name="T4" fmla="*/ 1475 w 2010"/>
              <a:gd name="T5" fmla="*/ 1865 h 1993"/>
              <a:gd name="T6" fmla="*/ 1632 w 2010"/>
              <a:gd name="T7" fmla="*/ 1755 h 1993"/>
              <a:gd name="T8" fmla="*/ 1770 w 2010"/>
              <a:gd name="T9" fmla="*/ 1618 h 1993"/>
              <a:gd name="T10" fmla="*/ 1881 w 2010"/>
              <a:gd name="T11" fmla="*/ 1462 h 1993"/>
              <a:gd name="T12" fmla="*/ 1955 w 2010"/>
              <a:gd name="T13" fmla="*/ 1280 h 1993"/>
              <a:gd name="T14" fmla="*/ 2001 w 2010"/>
              <a:gd name="T15" fmla="*/ 1097 h 1993"/>
              <a:gd name="T16" fmla="*/ 2001 w 2010"/>
              <a:gd name="T17" fmla="*/ 887 h 1993"/>
              <a:gd name="T18" fmla="*/ 1955 w 2010"/>
              <a:gd name="T19" fmla="*/ 695 h 1993"/>
              <a:gd name="T20" fmla="*/ 1881 w 2010"/>
              <a:gd name="T21" fmla="*/ 512 h 1993"/>
              <a:gd name="T22" fmla="*/ 1770 w 2010"/>
              <a:gd name="T23" fmla="*/ 356 h 1993"/>
              <a:gd name="T24" fmla="*/ 1632 w 2010"/>
              <a:gd name="T25" fmla="*/ 219 h 1993"/>
              <a:gd name="T26" fmla="*/ 1475 w 2010"/>
              <a:gd name="T27" fmla="*/ 110 h 1993"/>
              <a:gd name="T28" fmla="*/ 1291 w 2010"/>
              <a:gd name="T29" fmla="*/ 46 h 1993"/>
              <a:gd name="T30" fmla="*/ 1107 w 2010"/>
              <a:gd name="T31" fmla="*/ 0 h 1993"/>
              <a:gd name="T32" fmla="*/ 895 w 2010"/>
              <a:gd name="T33" fmla="*/ 0 h 1993"/>
              <a:gd name="T34" fmla="*/ 701 w 2010"/>
              <a:gd name="T35" fmla="*/ 46 h 1993"/>
              <a:gd name="T36" fmla="*/ 517 w 2010"/>
              <a:gd name="T37" fmla="*/ 110 h 1993"/>
              <a:gd name="T38" fmla="*/ 360 w 2010"/>
              <a:gd name="T39" fmla="*/ 219 h 1993"/>
              <a:gd name="T40" fmla="*/ 222 w 2010"/>
              <a:gd name="T41" fmla="*/ 356 h 1993"/>
              <a:gd name="T42" fmla="*/ 111 w 2010"/>
              <a:gd name="T43" fmla="*/ 512 h 1993"/>
              <a:gd name="T44" fmla="*/ 47 w 2010"/>
              <a:gd name="T45" fmla="*/ 695 h 1993"/>
              <a:gd name="T46" fmla="*/ 0 w 2010"/>
              <a:gd name="T47" fmla="*/ 887 h 1993"/>
              <a:gd name="T48" fmla="*/ 0 w 2010"/>
              <a:gd name="T49" fmla="*/ 1097 h 1993"/>
              <a:gd name="T50" fmla="*/ 47 w 2010"/>
              <a:gd name="T51" fmla="*/ 1280 h 1993"/>
              <a:gd name="T52" fmla="*/ 111 w 2010"/>
              <a:gd name="T53" fmla="*/ 1462 h 1993"/>
              <a:gd name="T54" fmla="*/ 222 w 2010"/>
              <a:gd name="T55" fmla="*/ 1618 h 1993"/>
              <a:gd name="T56" fmla="*/ 360 w 2010"/>
              <a:gd name="T57" fmla="*/ 1755 h 1993"/>
              <a:gd name="T58" fmla="*/ 517 w 2010"/>
              <a:gd name="T59" fmla="*/ 1865 h 1993"/>
              <a:gd name="T60" fmla="*/ 701 w 2010"/>
              <a:gd name="T61" fmla="*/ 1938 h 1993"/>
              <a:gd name="T62" fmla="*/ 895 w 2010"/>
              <a:gd name="T63" fmla="*/ 1974 h 1993"/>
              <a:gd name="T64" fmla="*/ 1005 w 2010"/>
              <a:gd name="T65" fmla="*/ 1993 h 19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0" h="1993">
                <a:moveTo>
                  <a:pt x="1005" y="1993"/>
                </a:moveTo>
                <a:lnTo>
                  <a:pt x="1107" y="1974"/>
                </a:lnTo>
                <a:lnTo>
                  <a:pt x="1199" y="1965"/>
                </a:lnTo>
                <a:lnTo>
                  <a:pt x="1291" y="1938"/>
                </a:lnTo>
                <a:lnTo>
                  <a:pt x="1392" y="1910"/>
                </a:lnTo>
                <a:lnTo>
                  <a:pt x="1475" y="1865"/>
                </a:lnTo>
                <a:lnTo>
                  <a:pt x="1558" y="1810"/>
                </a:lnTo>
                <a:lnTo>
                  <a:pt x="1632" y="1755"/>
                </a:lnTo>
                <a:lnTo>
                  <a:pt x="1715" y="1700"/>
                </a:lnTo>
                <a:lnTo>
                  <a:pt x="1770" y="1618"/>
                </a:lnTo>
                <a:lnTo>
                  <a:pt x="1826" y="1545"/>
                </a:lnTo>
                <a:lnTo>
                  <a:pt x="1881" y="1462"/>
                </a:lnTo>
                <a:lnTo>
                  <a:pt x="1927" y="1380"/>
                </a:lnTo>
                <a:lnTo>
                  <a:pt x="1955" y="1280"/>
                </a:lnTo>
                <a:lnTo>
                  <a:pt x="1982" y="1197"/>
                </a:lnTo>
                <a:lnTo>
                  <a:pt x="2001" y="1097"/>
                </a:lnTo>
                <a:lnTo>
                  <a:pt x="2010" y="996"/>
                </a:lnTo>
                <a:lnTo>
                  <a:pt x="2001" y="887"/>
                </a:lnTo>
                <a:lnTo>
                  <a:pt x="1982" y="795"/>
                </a:lnTo>
                <a:lnTo>
                  <a:pt x="1955" y="695"/>
                </a:lnTo>
                <a:lnTo>
                  <a:pt x="1927" y="612"/>
                </a:lnTo>
                <a:lnTo>
                  <a:pt x="1881" y="512"/>
                </a:lnTo>
                <a:lnTo>
                  <a:pt x="1826" y="439"/>
                </a:lnTo>
                <a:lnTo>
                  <a:pt x="1770" y="356"/>
                </a:lnTo>
                <a:lnTo>
                  <a:pt x="1715" y="292"/>
                </a:lnTo>
                <a:lnTo>
                  <a:pt x="1632" y="219"/>
                </a:lnTo>
                <a:lnTo>
                  <a:pt x="1558" y="164"/>
                </a:lnTo>
                <a:lnTo>
                  <a:pt x="1475" y="110"/>
                </a:lnTo>
                <a:lnTo>
                  <a:pt x="1392" y="82"/>
                </a:lnTo>
                <a:lnTo>
                  <a:pt x="1291" y="46"/>
                </a:lnTo>
                <a:lnTo>
                  <a:pt x="1199" y="27"/>
                </a:lnTo>
                <a:lnTo>
                  <a:pt x="1107" y="0"/>
                </a:lnTo>
                <a:lnTo>
                  <a:pt x="1005" y="0"/>
                </a:lnTo>
                <a:lnTo>
                  <a:pt x="895" y="0"/>
                </a:lnTo>
                <a:lnTo>
                  <a:pt x="802" y="27"/>
                </a:lnTo>
                <a:lnTo>
                  <a:pt x="701" y="46"/>
                </a:lnTo>
                <a:lnTo>
                  <a:pt x="609" y="82"/>
                </a:lnTo>
                <a:lnTo>
                  <a:pt x="517" y="110"/>
                </a:lnTo>
                <a:lnTo>
                  <a:pt x="434" y="164"/>
                </a:lnTo>
                <a:lnTo>
                  <a:pt x="360" y="219"/>
                </a:lnTo>
                <a:lnTo>
                  <a:pt x="295" y="292"/>
                </a:lnTo>
                <a:lnTo>
                  <a:pt x="222" y="356"/>
                </a:lnTo>
                <a:lnTo>
                  <a:pt x="166" y="439"/>
                </a:lnTo>
                <a:lnTo>
                  <a:pt x="111" y="512"/>
                </a:lnTo>
                <a:lnTo>
                  <a:pt x="83" y="612"/>
                </a:lnTo>
                <a:lnTo>
                  <a:pt x="47" y="695"/>
                </a:lnTo>
                <a:lnTo>
                  <a:pt x="19" y="795"/>
                </a:lnTo>
                <a:lnTo>
                  <a:pt x="0" y="887"/>
                </a:lnTo>
                <a:lnTo>
                  <a:pt x="0" y="996"/>
                </a:lnTo>
                <a:lnTo>
                  <a:pt x="0" y="1097"/>
                </a:lnTo>
                <a:lnTo>
                  <a:pt x="19" y="1197"/>
                </a:lnTo>
                <a:lnTo>
                  <a:pt x="47" y="1280"/>
                </a:lnTo>
                <a:lnTo>
                  <a:pt x="83" y="1380"/>
                </a:lnTo>
                <a:lnTo>
                  <a:pt x="111" y="1462"/>
                </a:lnTo>
                <a:lnTo>
                  <a:pt x="166" y="1545"/>
                </a:lnTo>
                <a:lnTo>
                  <a:pt x="222" y="1618"/>
                </a:lnTo>
                <a:lnTo>
                  <a:pt x="295" y="1700"/>
                </a:lnTo>
                <a:lnTo>
                  <a:pt x="360" y="1755"/>
                </a:lnTo>
                <a:lnTo>
                  <a:pt x="434" y="1810"/>
                </a:lnTo>
                <a:lnTo>
                  <a:pt x="517" y="1865"/>
                </a:lnTo>
                <a:lnTo>
                  <a:pt x="609" y="1910"/>
                </a:lnTo>
                <a:lnTo>
                  <a:pt x="701" y="1938"/>
                </a:lnTo>
                <a:lnTo>
                  <a:pt x="802" y="1965"/>
                </a:lnTo>
                <a:lnTo>
                  <a:pt x="895" y="1974"/>
                </a:lnTo>
                <a:lnTo>
                  <a:pt x="1005" y="1993"/>
                </a:lnTo>
                <a:close/>
              </a:path>
            </a:pathLst>
          </a:custGeom>
          <a:solidFill>
            <a:srgbClr val="F5FA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4" name="Freeform 85">
            <a:extLst>
              <a:ext uri="{FF2B5EF4-FFF2-40B4-BE49-F238E27FC236}">
                <a16:creationId xmlns="" xmlns:a16="http://schemas.microsoft.com/office/drawing/2014/main" id="{00000000-0008-0000-0000-000018000000}"/>
              </a:ext>
            </a:extLst>
          </xdr:cNvPr>
          <xdr:cNvSpPr>
            <a:spLocks/>
          </xdr:cNvSpPr>
        </xdr:nvSpPr>
        <xdr:spPr bwMode="auto">
          <a:xfrm>
            <a:off x="524467" y="232758"/>
            <a:ext cx="239303" cy="8744"/>
          </a:xfrm>
          <a:custGeom>
            <a:avLst/>
            <a:gdLst>
              <a:gd name="T0" fmla="*/ 0 w 2987"/>
              <a:gd name="T1" fmla="*/ 110 h 110"/>
              <a:gd name="T2" fmla="*/ 2987 w 2987"/>
              <a:gd name="T3" fmla="*/ 110 h 110"/>
              <a:gd name="T4" fmla="*/ 2987 w 2987"/>
              <a:gd name="T5" fmla="*/ 0 h 110"/>
              <a:gd name="T6" fmla="*/ 0 w 2987"/>
              <a:gd name="T7" fmla="*/ 0 h 110"/>
              <a:gd name="T8" fmla="*/ 0 w 2987"/>
              <a:gd name="T9" fmla="*/ 110 h 110"/>
              <a:gd name="T10" fmla="*/ 0 w 2987"/>
              <a:gd name="T11" fmla="*/ 110 h 1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987" h="110">
                <a:moveTo>
                  <a:pt x="0" y="110"/>
                </a:moveTo>
                <a:lnTo>
                  <a:pt x="2987" y="110"/>
                </a:lnTo>
                <a:lnTo>
                  <a:pt x="2987" y="0"/>
                </a:lnTo>
                <a:lnTo>
                  <a:pt x="0" y="0"/>
                </a:lnTo>
                <a:lnTo>
                  <a:pt x="0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5" name="Freeform 86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>
            <a:spLocks/>
          </xdr:cNvSpPr>
        </xdr:nvSpPr>
        <xdr:spPr bwMode="auto">
          <a:xfrm>
            <a:off x="288139" y="167029"/>
            <a:ext cx="111532" cy="111234"/>
          </a:xfrm>
          <a:custGeom>
            <a:avLst/>
            <a:gdLst>
              <a:gd name="T0" fmla="*/ 756 w 1392"/>
              <a:gd name="T1" fmla="*/ 1380 h 1389"/>
              <a:gd name="T2" fmla="*/ 894 w 1392"/>
              <a:gd name="T3" fmla="*/ 1353 h 1389"/>
              <a:gd name="T4" fmla="*/ 1023 w 1392"/>
              <a:gd name="T5" fmla="*/ 1298 h 1389"/>
              <a:gd name="T6" fmla="*/ 1134 w 1392"/>
              <a:gd name="T7" fmla="*/ 1216 h 1389"/>
              <a:gd name="T8" fmla="*/ 1226 w 1392"/>
              <a:gd name="T9" fmla="*/ 1133 h 1389"/>
              <a:gd name="T10" fmla="*/ 1300 w 1392"/>
              <a:gd name="T11" fmla="*/ 1024 h 1389"/>
              <a:gd name="T12" fmla="*/ 1355 w 1392"/>
              <a:gd name="T13" fmla="*/ 896 h 1389"/>
              <a:gd name="T14" fmla="*/ 1383 w 1392"/>
              <a:gd name="T15" fmla="*/ 759 h 1389"/>
              <a:gd name="T16" fmla="*/ 1383 w 1392"/>
              <a:gd name="T17" fmla="*/ 612 h 1389"/>
              <a:gd name="T18" fmla="*/ 1355 w 1392"/>
              <a:gd name="T19" fmla="*/ 475 h 1389"/>
              <a:gd name="T20" fmla="*/ 1300 w 1392"/>
              <a:gd name="T21" fmla="*/ 356 h 1389"/>
              <a:gd name="T22" fmla="*/ 1226 w 1392"/>
              <a:gd name="T23" fmla="*/ 247 h 1389"/>
              <a:gd name="T24" fmla="*/ 1134 w 1392"/>
              <a:gd name="T25" fmla="*/ 155 h 1389"/>
              <a:gd name="T26" fmla="*/ 1023 w 1392"/>
              <a:gd name="T27" fmla="*/ 73 h 1389"/>
              <a:gd name="T28" fmla="*/ 894 w 1392"/>
              <a:gd name="T29" fmla="*/ 27 h 1389"/>
              <a:gd name="T30" fmla="*/ 756 w 1392"/>
              <a:gd name="T31" fmla="*/ 0 h 1389"/>
              <a:gd name="T32" fmla="*/ 618 w 1392"/>
              <a:gd name="T33" fmla="*/ 0 h 1389"/>
              <a:gd name="T34" fmla="*/ 470 w 1392"/>
              <a:gd name="T35" fmla="*/ 27 h 1389"/>
              <a:gd name="T36" fmla="*/ 360 w 1392"/>
              <a:gd name="T37" fmla="*/ 73 h 1389"/>
              <a:gd name="T38" fmla="*/ 240 w 1392"/>
              <a:gd name="T39" fmla="*/ 155 h 1389"/>
              <a:gd name="T40" fmla="*/ 148 w 1392"/>
              <a:gd name="T41" fmla="*/ 247 h 1389"/>
              <a:gd name="T42" fmla="*/ 74 w 1392"/>
              <a:gd name="T43" fmla="*/ 356 h 1389"/>
              <a:gd name="T44" fmla="*/ 28 w 1392"/>
              <a:gd name="T45" fmla="*/ 475 h 1389"/>
              <a:gd name="T46" fmla="*/ 0 w 1392"/>
              <a:gd name="T47" fmla="*/ 612 h 1389"/>
              <a:gd name="T48" fmla="*/ 0 w 1392"/>
              <a:gd name="T49" fmla="*/ 759 h 1389"/>
              <a:gd name="T50" fmla="*/ 28 w 1392"/>
              <a:gd name="T51" fmla="*/ 896 h 1389"/>
              <a:gd name="T52" fmla="*/ 74 w 1392"/>
              <a:gd name="T53" fmla="*/ 1024 h 1389"/>
              <a:gd name="T54" fmla="*/ 148 w 1392"/>
              <a:gd name="T55" fmla="*/ 1133 h 1389"/>
              <a:gd name="T56" fmla="*/ 240 w 1392"/>
              <a:gd name="T57" fmla="*/ 1216 h 1389"/>
              <a:gd name="T58" fmla="*/ 360 w 1392"/>
              <a:gd name="T59" fmla="*/ 1298 h 1389"/>
              <a:gd name="T60" fmla="*/ 470 w 1392"/>
              <a:gd name="T61" fmla="*/ 1353 h 1389"/>
              <a:gd name="T62" fmla="*/ 618 w 1392"/>
              <a:gd name="T63" fmla="*/ 1380 h 1389"/>
              <a:gd name="T64" fmla="*/ 691 w 1392"/>
              <a:gd name="T65" fmla="*/ 1389 h 13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392" h="1389">
                <a:moveTo>
                  <a:pt x="691" y="1389"/>
                </a:moveTo>
                <a:lnTo>
                  <a:pt x="756" y="1380"/>
                </a:lnTo>
                <a:lnTo>
                  <a:pt x="830" y="1371"/>
                </a:lnTo>
                <a:lnTo>
                  <a:pt x="894" y="1353"/>
                </a:lnTo>
                <a:lnTo>
                  <a:pt x="968" y="1325"/>
                </a:lnTo>
                <a:lnTo>
                  <a:pt x="1023" y="1298"/>
                </a:lnTo>
                <a:lnTo>
                  <a:pt x="1079" y="1261"/>
                </a:lnTo>
                <a:lnTo>
                  <a:pt x="1134" y="1216"/>
                </a:lnTo>
                <a:lnTo>
                  <a:pt x="1189" y="1179"/>
                </a:lnTo>
                <a:lnTo>
                  <a:pt x="1226" y="1133"/>
                </a:lnTo>
                <a:lnTo>
                  <a:pt x="1272" y="1079"/>
                </a:lnTo>
                <a:lnTo>
                  <a:pt x="1300" y="1024"/>
                </a:lnTo>
                <a:lnTo>
                  <a:pt x="1337" y="960"/>
                </a:lnTo>
                <a:lnTo>
                  <a:pt x="1355" y="896"/>
                </a:lnTo>
                <a:lnTo>
                  <a:pt x="1374" y="832"/>
                </a:lnTo>
                <a:lnTo>
                  <a:pt x="1383" y="759"/>
                </a:lnTo>
                <a:lnTo>
                  <a:pt x="1392" y="695"/>
                </a:lnTo>
                <a:lnTo>
                  <a:pt x="1383" y="612"/>
                </a:lnTo>
                <a:lnTo>
                  <a:pt x="1374" y="548"/>
                </a:lnTo>
                <a:lnTo>
                  <a:pt x="1355" y="475"/>
                </a:lnTo>
                <a:lnTo>
                  <a:pt x="1337" y="420"/>
                </a:lnTo>
                <a:lnTo>
                  <a:pt x="1300" y="356"/>
                </a:lnTo>
                <a:lnTo>
                  <a:pt x="1272" y="302"/>
                </a:lnTo>
                <a:lnTo>
                  <a:pt x="1226" y="247"/>
                </a:lnTo>
                <a:lnTo>
                  <a:pt x="1189" y="201"/>
                </a:lnTo>
                <a:lnTo>
                  <a:pt x="1134" y="155"/>
                </a:lnTo>
                <a:lnTo>
                  <a:pt x="1079" y="110"/>
                </a:lnTo>
                <a:lnTo>
                  <a:pt x="1023" y="73"/>
                </a:lnTo>
                <a:lnTo>
                  <a:pt x="968" y="55"/>
                </a:lnTo>
                <a:lnTo>
                  <a:pt x="894" y="27"/>
                </a:lnTo>
                <a:lnTo>
                  <a:pt x="830" y="18"/>
                </a:lnTo>
                <a:lnTo>
                  <a:pt x="756" y="0"/>
                </a:lnTo>
                <a:lnTo>
                  <a:pt x="691" y="0"/>
                </a:lnTo>
                <a:lnTo>
                  <a:pt x="618" y="0"/>
                </a:lnTo>
                <a:lnTo>
                  <a:pt x="544" y="18"/>
                </a:lnTo>
                <a:lnTo>
                  <a:pt x="470" y="27"/>
                </a:lnTo>
                <a:lnTo>
                  <a:pt x="415" y="55"/>
                </a:lnTo>
                <a:lnTo>
                  <a:pt x="360" y="73"/>
                </a:lnTo>
                <a:lnTo>
                  <a:pt x="295" y="110"/>
                </a:lnTo>
                <a:lnTo>
                  <a:pt x="240" y="155"/>
                </a:lnTo>
                <a:lnTo>
                  <a:pt x="203" y="201"/>
                </a:lnTo>
                <a:lnTo>
                  <a:pt x="148" y="247"/>
                </a:lnTo>
                <a:lnTo>
                  <a:pt x="111" y="302"/>
                </a:lnTo>
                <a:lnTo>
                  <a:pt x="74" y="356"/>
                </a:lnTo>
                <a:lnTo>
                  <a:pt x="55" y="420"/>
                </a:lnTo>
                <a:lnTo>
                  <a:pt x="28" y="475"/>
                </a:lnTo>
                <a:lnTo>
                  <a:pt x="9" y="548"/>
                </a:lnTo>
                <a:lnTo>
                  <a:pt x="0" y="612"/>
                </a:lnTo>
                <a:lnTo>
                  <a:pt x="0" y="695"/>
                </a:lnTo>
                <a:lnTo>
                  <a:pt x="0" y="759"/>
                </a:lnTo>
                <a:lnTo>
                  <a:pt x="9" y="832"/>
                </a:lnTo>
                <a:lnTo>
                  <a:pt x="28" y="896"/>
                </a:lnTo>
                <a:lnTo>
                  <a:pt x="55" y="960"/>
                </a:lnTo>
                <a:lnTo>
                  <a:pt x="74" y="1024"/>
                </a:lnTo>
                <a:lnTo>
                  <a:pt x="111" y="1079"/>
                </a:lnTo>
                <a:lnTo>
                  <a:pt x="148" y="1133"/>
                </a:lnTo>
                <a:lnTo>
                  <a:pt x="203" y="1179"/>
                </a:lnTo>
                <a:lnTo>
                  <a:pt x="240" y="1216"/>
                </a:lnTo>
                <a:lnTo>
                  <a:pt x="295" y="1261"/>
                </a:lnTo>
                <a:lnTo>
                  <a:pt x="360" y="1298"/>
                </a:lnTo>
                <a:lnTo>
                  <a:pt x="415" y="1325"/>
                </a:lnTo>
                <a:lnTo>
                  <a:pt x="470" y="1353"/>
                </a:lnTo>
                <a:lnTo>
                  <a:pt x="544" y="1371"/>
                </a:lnTo>
                <a:lnTo>
                  <a:pt x="618" y="1380"/>
                </a:lnTo>
                <a:lnTo>
                  <a:pt x="691" y="1389"/>
                </a:lnTo>
                <a:close/>
              </a:path>
            </a:pathLst>
          </a:custGeom>
          <a:solidFill>
            <a:srgbClr val="FAFA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6" name="Freeform 87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>
            <a:spLocks/>
          </xdr:cNvSpPr>
        </xdr:nvSpPr>
        <xdr:spPr bwMode="auto">
          <a:xfrm>
            <a:off x="535472" y="252507"/>
            <a:ext cx="228298" cy="7911"/>
          </a:xfrm>
          <a:custGeom>
            <a:avLst/>
            <a:gdLst>
              <a:gd name="T0" fmla="*/ 0 w 2849"/>
              <a:gd name="T1" fmla="*/ 100 h 100"/>
              <a:gd name="T2" fmla="*/ 2849 w 2849"/>
              <a:gd name="T3" fmla="*/ 100 h 100"/>
              <a:gd name="T4" fmla="*/ 2849 w 2849"/>
              <a:gd name="T5" fmla="*/ 0 h 100"/>
              <a:gd name="T6" fmla="*/ 0 w 2849"/>
              <a:gd name="T7" fmla="*/ 0 h 100"/>
              <a:gd name="T8" fmla="*/ 0 w 2849"/>
              <a:gd name="T9" fmla="*/ 100 h 100"/>
              <a:gd name="T10" fmla="*/ 0 w 2849"/>
              <a:gd name="T11" fmla="*/ 100 h 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49" h="100">
                <a:moveTo>
                  <a:pt x="0" y="100"/>
                </a:moveTo>
                <a:lnTo>
                  <a:pt x="2849" y="100"/>
                </a:lnTo>
                <a:lnTo>
                  <a:pt x="2849" y="0"/>
                </a:lnTo>
                <a:lnTo>
                  <a:pt x="0" y="0"/>
                </a:lnTo>
                <a:lnTo>
                  <a:pt x="0" y="10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7" name="Freeform 88">
            <a:extLst>
              <a:ext uri="{FF2B5EF4-FFF2-40B4-BE49-F238E27FC236}">
                <a16:creationId xmlns="" xmlns:a16="http://schemas.microsoft.com/office/drawing/2014/main" id="{00000000-0008-0000-0000-00001B000000}"/>
              </a:ext>
            </a:extLst>
          </xdr:cNvPr>
          <xdr:cNvSpPr>
            <a:spLocks/>
          </xdr:cNvSpPr>
        </xdr:nvSpPr>
        <xdr:spPr bwMode="auto">
          <a:xfrm>
            <a:off x="244894" y="167029"/>
            <a:ext cx="199389" cy="265653"/>
          </a:xfrm>
          <a:custGeom>
            <a:avLst/>
            <a:gdLst>
              <a:gd name="T0" fmla="*/ 2046 w 2488"/>
              <a:gd name="T1" fmla="*/ 2842 h 3318"/>
              <a:gd name="T2" fmla="*/ 2138 w 2488"/>
              <a:gd name="T3" fmla="*/ 2733 h 3318"/>
              <a:gd name="T4" fmla="*/ 2193 w 2488"/>
              <a:gd name="T5" fmla="*/ 2678 h 3318"/>
              <a:gd name="T6" fmla="*/ 2488 w 2488"/>
              <a:gd name="T7" fmla="*/ 2312 h 3318"/>
              <a:gd name="T8" fmla="*/ 1576 w 2488"/>
              <a:gd name="T9" fmla="*/ 1873 h 3318"/>
              <a:gd name="T10" fmla="*/ 1152 w 2488"/>
              <a:gd name="T11" fmla="*/ 2047 h 3318"/>
              <a:gd name="T12" fmla="*/ 940 w 2488"/>
              <a:gd name="T13" fmla="*/ 1718 h 3318"/>
              <a:gd name="T14" fmla="*/ 617 w 2488"/>
              <a:gd name="T15" fmla="*/ 1718 h 3318"/>
              <a:gd name="T16" fmla="*/ 1336 w 2488"/>
              <a:gd name="T17" fmla="*/ 1764 h 3318"/>
              <a:gd name="T18" fmla="*/ 1419 w 2488"/>
              <a:gd name="T19" fmla="*/ 1425 h 3318"/>
              <a:gd name="T20" fmla="*/ 1447 w 2488"/>
              <a:gd name="T21" fmla="*/ 968 h 3318"/>
              <a:gd name="T22" fmla="*/ 1742 w 2488"/>
              <a:gd name="T23" fmla="*/ 685 h 3318"/>
              <a:gd name="T24" fmla="*/ 1779 w 2488"/>
              <a:gd name="T25" fmla="*/ 292 h 3318"/>
              <a:gd name="T26" fmla="*/ 1309 w 2488"/>
              <a:gd name="T27" fmla="*/ 466 h 3318"/>
              <a:gd name="T28" fmla="*/ 1170 w 2488"/>
              <a:gd name="T29" fmla="*/ 685 h 3318"/>
              <a:gd name="T30" fmla="*/ 1133 w 2488"/>
              <a:gd name="T31" fmla="*/ 338 h 3318"/>
              <a:gd name="T32" fmla="*/ 931 w 2488"/>
              <a:gd name="T33" fmla="*/ 173 h 3318"/>
              <a:gd name="T34" fmla="*/ 1336 w 2488"/>
              <a:gd name="T35" fmla="*/ 173 h 3318"/>
              <a:gd name="T36" fmla="*/ 1115 w 2488"/>
              <a:gd name="T37" fmla="*/ 63 h 3318"/>
              <a:gd name="T38" fmla="*/ 700 w 2488"/>
              <a:gd name="T39" fmla="*/ 109 h 3318"/>
              <a:gd name="T40" fmla="*/ 350 w 2488"/>
              <a:gd name="T41" fmla="*/ 210 h 3318"/>
              <a:gd name="T42" fmla="*/ 230 w 2488"/>
              <a:gd name="T43" fmla="*/ 338 h 3318"/>
              <a:gd name="T44" fmla="*/ 110 w 2488"/>
              <a:gd name="T45" fmla="*/ 511 h 3318"/>
              <a:gd name="T46" fmla="*/ 64 w 2488"/>
              <a:gd name="T47" fmla="*/ 612 h 3318"/>
              <a:gd name="T48" fmla="*/ 46 w 2488"/>
              <a:gd name="T49" fmla="*/ 722 h 3318"/>
              <a:gd name="T50" fmla="*/ 92 w 2488"/>
              <a:gd name="T51" fmla="*/ 886 h 3318"/>
              <a:gd name="T52" fmla="*/ 119 w 2488"/>
              <a:gd name="T53" fmla="*/ 987 h 3318"/>
              <a:gd name="T54" fmla="*/ 18 w 2488"/>
              <a:gd name="T55" fmla="*/ 1206 h 3318"/>
              <a:gd name="T56" fmla="*/ 27 w 2488"/>
              <a:gd name="T57" fmla="*/ 1307 h 3318"/>
              <a:gd name="T58" fmla="*/ 110 w 2488"/>
              <a:gd name="T59" fmla="*/ 1416 h 3318"/>
              <a:gd name="T60" fmla="*/ 175 w 2488"/>
              <a:gd name="T61" fmla="*/ 1526 h 3318"/>
              <a:gd name="T62" fmla="*/ 239 w 2488"/>
              <a:gd name="T63" fmla="*/ 1636 h 3318"/>
              <a:gd name="T64" fmla="*/ 322 w 2488"/>
              <a:gd name="T65" fmla="*/ 1672 h 3318"/>
              <a:gd name="T66" fmla="*/ 442 w 2488"/>
              <a:gd name="T67" fmla="*/ 1709 h 3318"/>
              <a:gd name="T68" fmla="*/ 1087 w 2488"/>
              <a:gd name="T69" fmla="*/ 2047 h 3318"/>
              <a:gd name="T70" fmla="*/ 1179 w 2488"/>
              <a:gd name="T71" fmla="*/ 2221 h 3318"/>
              <a:gd name="T72" fmla="*/ 1281 w 2488"/>
              <a:gd name="T73" fmla="*/ 2449 h 3318"/>
              <a:gd name="T74" fmla="*/ 1364 w 2488"/>
              <a:gd name="T75" fmla="*/ 2513 h 3318"/>
              <a:gd name="T76" fmla="*/ 1465 w 2488"/>
              <a:gd name="T77" fmla="*/ 2531 h 3318"/>
              <a:gd name="T78" fmla="*/ 1567 w 2488"/>
              <a:gd name="T79" fmla="*/ 2605 h 3318"/>
              <a:gd name="T80" fmla="*/ 1484 w 2488"/>
              <a:gd name="T81" fmla="*/ 2769 h 3318"/>
              <a:gd name="T82" fmla="*/ 1484 w 2488"/>
              <a:gd name="T83" fmla="*/ 2861 h 3318"/>
              <a:gd name="T84" fmla="*/ 1493 w 2488"/>
              <a:gd name="T85" fmla="*/ 2961 h 3318"/>
              <a:gd name="T86" fmla="*/ 1521 w 2488"/>
              <a:gd name="T87" fmla="*/ 3043 h 3318"/>
              <a:gd name="T88" fmla="*/ 1521 w 2488"/>
              <a:gd name="T89" fmla="*/ 3180 h 3318"/>
              <a:gd name="T90" fmla="*/ 1521 w 2488"/>
              <a:gd name="T91" fmla="*/ 3281 h 3318"/>
              <a:gd name="T92" fmla="*/ 1557 w 2488"/>
              <a:gd name="T93" fmla="*/ 3308 h 3318"/>
              <a:gd name="T94" fmla="*/ 1668 w 2488"/>
              <a:gd name="T95" fmla="*/ 3263 h 3318"/>
              <a:gd name="T96" fmla="*/ 1760 w 2488"/>
              <a:gd name="T97" fmla="*/ 3180 h 3318"/>
              <a:gd name="T98" fmla="*/ 1871 w 2488"/>
              <a:gd name="T99" fmla="*/ 3089 h 3318"/>
              <a:gd name="T100" fmla="*/ 1981 w 2488"/>
              <a:gd name="T101" fmla="*/ 2952 h 33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2488" h="3318">
                <a:moveTo>
                  <a:pt x="2009" y="2897"/>
                </a:moveTo>
                <a:lnTo>
                  <a:pt x="2018" y="2870"/>
                </a:lnTo>
                <a:lnTo>
                  <a:pt x="2046" y="2842"/>
                </a:lnTo>
                <a:lnTo>
                  <a:pt x="2074" y="2806"/>
                </a:lnTo>
                <a:lnTo>
                  <a:pt x="2110" y="2769"/>
                </a:lnTo>
                <a:lnTo>
                  <a:pt x="2138" y="2733"/>
                </a:lnTo>
                <a:lnTo>
                  <a:pt x="2157" y="2705"/>
                </a:lnTo>
                <a:lnTo>
                  <a:pt x="2175" y="2678"/>
                </a:lnTo>
                <a:lnTo>
                  <a:pt x="2193" y="2678"/>
                </a:lnTo>
                <a:lnTo>
                  <a:pt x="2258" y="2504"/>
                </a:lnTo>
                <a:lnTo>
                  <a:pt x="2424" y="2404"/>
                </a:lnTo>
                <a:lnTo>
                  <a:pt x="2488" y="2312"/>
                </a:lnTo>
                <a:lnTo>
                  <a:pt x="2313" y="2230"/>
                </a:lnTo>
                <a:lnTo>
                  <a:pt x="2000" y="1956"/>
                </a:lnTo>
                <a:lnTo>
                  <a:pt x="1576" y="1873"/>
                </a:lnTo>
                <a:lnTo>
                  <a:pt x="1336" y="1992"/>
                </a:lnTo>
                <a:lnTo>
                  <a:pt x="1281" y="2111"/>
                </a:lnTo>
                <a:lnTo>
                  <a:pt x="1152" y="2047"/>
                </a:lnTo>
                <a:lnTo>
                  <a:pt x="1032" y="1974"/>
                </a:lnTo>
                <a:lnTo>
                  <a:pt x="1004" y="1764"/>
                </a:lnTo>
                <a:lnTo>
                  <a:pt x="940" y="1718"/>
                </a:lnTo>
                <a:lnTo>
                  <a:pt x="875" y="1773"/>
                </a:lnTo>
                <a:lnTo>
                  <a:pt x="746" y="1819"/>
                </a:lnTo>
                <a:lnTo>
                  <a:pt x="617" y="1718"/>
                </a:lnTo>
                <a:lnTo>
                  <a:pt x="765" y="1489"/>
                </a:lnTo>
                <a:lnTo>
                  <a:pt x="1179" y="1599"/>
                </a:lnTo>
                <a:lnTo>
                  <a:pt x="1336" y="1764"/>
                </a:lnTo>
                <a:lnTo>
                  <a:pt x="1392" y="1745"/>
                </a:lnTo>
                <a:lnTo>
                  <a:pt x="1272" y="1553"/>
                </a:lnTo>
                <a:lnTo>
                  <a:pt x="1419" y="1425"/>
                </a:lnTo>
                <a:lnTo>
                  <a:pt x="1392" y="1224"/>
                </a:lnTo>
                <a:lnTo>
                  <a:pt x="1309" y="1060"/>
                </a:lnTo>
                <a:lnTo>
                  <a:pt x="1447" y="968"/>
                </a:lnTo>
                <a:lnTo>
                  <a:pt x="1631" y="895"/>
                </a:lnTo>
                <a:lnTo>
                  <a:pt x="1585" y="776"/>
                </a:lnTo>
                <a:lnTo>
                  <a:pt x="1742" y="685"/>
                </a:lnTo>
                <a:lnTo>
                  <a:pt x="1945" y="630"/>
                </a:lnTo>
                <a:lnTo>
                  <a:pt x="1917" y="521"/>
                </a:lnTo>
                <a:lnTo>
                  <a:pt x="1779" y="292"/>
                </a:lnTo>
                <a:lnTo>
                  <a:pt x="1576" y="356"/>
                </a:lnTo>
                <a:lnTo>
                  <a:pt x="1373" y="402"/>
                </a:lnTo>
                <a:lnTo>
                  <a:pt x="1309" y="466"/>
                </a:lnTo>
                <a:lnTo>
                  <a:pt x="1392" y="722"/>
                </a:lnTo>
                <a:lnTo>
                  <a:pt x="1299" y="722"/>
                </a:lnTo>
                <a:lnTo>
                  <a:pt x="1170" y="685"/>
                </a:lnTo>
                <a:lnTo>
                  <a:pt x="1004" y="621"/>
                </a:lnTo>
                <a:lnTo>
                  <a:pt x="977" y="420"/>
                </a:lnTo>
                <a:lnTo>
                  <a:pt x="1133" y="338"/>
                </a:lnTo>
                <a:lnTo>
                  <a:pt x="1060" y="292"/>
                </a:lnTo>
                <a:lnTo>
                  <a:pt x="1041" y="210"/>
                </a:lnTo>
                <a:lnTo>
                  <a:pt x="931" y="173"/>
                </a:lnTo>
                <a:lnTo>
                  <a:pt x="958" y="100"/>
                </a:lnTo>
                <a:lnTo>
                  <a:pt x="1133" y="137"/>
                </a:lnTo>
                <a:lnTo>
                  <a:pt x="1336" y="173"/>
                </a:lnTo>
                <a:lnTo>
                  <a:pt x="1419" y="109"/>
                </a:lnTo>
                <a:lnTo>
                  <a:pt x="1244" y="36"/>
                </a:lnTo>
                <a:lnTo>
                  <a:pt x="1115" y="63"/>
                </a:lnTo>
                <a:lnTo>
                  <a:pt x="1041" y="0"/>
                </a:lnTo>
                <a:lnTo>
                  <a:pt x="811" y="27"/>
                </a:lnTo>
                <a:lnTo>
                  <a:pt x="700" y="109"/>
                </a:lnTo>
                <a:lnTo>
                  <a:pt x="516" y="118"/>
                </a:lnTo>
                <a:lnTo>
                  <a:pt x="405" y="201"/>
                </a:lnTo>
                <a:lnTo>
                  <a:pt x="350" y="210"/>
                </a:lnTo>
                <a:lnTo>
                  <a:pt x="304" y="246"/>
                </a:lnTo>
                <a:lnTo>
                  <a:pt x="267" y="292"/>
                </a:lnTo>
                <a:lnTo>
                  <a:pt x="230" y="338"/>
                </a:lnTo>
                <a:lnTo>
                  <a:pt x="193" y="393"/>
                </a:lnTo>
                <a:lnTo>
                  <a:pt x="156" y="447"/>
                </a:lnTo>
                <a:lnTo>
                  <a:pt x="110" y="511"/>
                </a:lnTo>
                <a:lnTo>
                  <a:pt x="92" y="539"/>
                </a:lnTo>
                <a:lnTo>
                  <a:pt x="73" y="575"/>
                </a:lnTo>
                <a:lnTo>
                  <a:pt x="64" y="612"/>
                </a:lnTo>
                <a:lnTo>
                  <a:pt x="46" y="658"/>
                </a:lnTo>
                <a:lnTo>
                  <a:pt x="46" y="676"/>
                </a:lnTo>
                <a:lnTo>
                  <a:pt x="46" y="722"/>
                </a:lnTo>
                <a:lnTo>
                  <a:pt x="55" y="767"/>
                </a:lnTo>
                <a:lnTo>
                  <a:pt x="73" y="831"/>
                </a:lnTo>
                <a:lnTo>
                  <a:pt x="92" y="886"/>
                </a:lnTo>
                <a:lnTo>
                  <a:pt x="101" y="941"/>
                </a:lnTo>
                <a:lnTo>
                  <a:pt x="110" y="968"/>
                </a:lnTo>
                <a:lnTo>
                  <a:pt x="119" y="987"/>
                </a:lnTo>
                <a:lnTo>
                  <a:pt x="46" y="1142"/>
                </a:lnTo>
                <a:lnTo>
                  <a:pt x="27" y="1151"/>
                </a:lnTo>
                <a:lnTo>
                  <a:pt x="18" y="1206"/>
                </a:lnTo>
                <a:lnTo>
                  <a:pt x="0" y="1243"/>
                </a:lnTo>
                <a:lnTo>
                  <a:pt x="18" y="1288"/>
                </a:lnTo>
                <a:lnTo>
                  <a:pt x="27" y="1307"/>
                </a:lnTo>
                <a:lnTo>
                  <a:pt x="64" y="1352"/>
                </a:lnTo>
                <a:lnTo>
                  <a:pt x="92" y="1380"/>
                </a:lnTo>
                <a:lnTo>
                  <a:pt x="110" y="1416"/>
                </a:lnTo>
                <a:lnTo>
                  <a:pt x="129" y="1462"/>
                </a:lnTo>
                <a:lnTo>
                  <a:pt x="156" y="1499"/>
                </a:lnTo>
                <a:lnTo>
                  <a:pt x="175" y="1526"/>
                </a:lnTo>
                <a:lnTo>
                  <a:pt x="202" y="1572"/>
                </a:lnTo>
                <a:lnTo>
                  <a:pt x="221" y="1599"/>
                </a:lnTo>
                <a:lnTo>
                  <a:pt x="239" y="1636"/>
                </a:lnTo>
                <a:lnTo>
                  <a:pt x="267" y="1681"/>
                </a:lnTo>
                <a:lnTo>
                  <a:pt x="285" y="1700"/>
                </a:lnTo>
                <a:lnTo>
                  <a:pt x="322" y="1672"/>
                </a:lnTo>
                <a:lnTo>
                  <a:pt x="175" y="1471"/>
                </a:lnTo>
                <a:lnTo>
                  <a:pt x="285" y="1517"/>
                </a:lnTo>
                <a:lnTo>
                  <a:pt x="442" y="1709"/>
                </a:lnTo>
                <a:lnTo>
                  <a:pt x="525" y="1855"/>
                </a:lnTo>
                <a:lnTo>
                  <a:pt x="811" y="1937"/>
                </a:lnTo>
                <a:lnTo>
                  <a:pt x="1087" y="2047"/>
                </a:lnTo>
                <a:lnTo>
                  <a:pt x="1143" y="2102"/>
                </a:lnTo>
                <a:lnTo>
                  <a:pt x="1244" y="2184"/>
                </a:lnTo>
                <a:lnTo>
                  <a:pt x="1179" y="2221"/>
                </a:lnTo>
                <a:lnTo>
                  <a:pt x="1143" y="2321"/>
                </a:lnTo>
                <a:lnTo>
                  <a:pt x="1290" y="2440"/>
                </a:lnTo>
                <a:lnTo>
                  <a:pt x="1281" y="2449"/>
                </a:lnTo>
                <a:lnTo>
                  <a:pt x="1299" y="2486"/>
                </a:lnTo>
                <a:lnTo>
                  <a:pt x="1318" y="2495"/>
                </a:lnTo>
                <a:lnTo>
                  <a:pt x="1364" y="2513"/>
                </a:lnTo>
                <a:lnTo>
                  <a:pt x="1392" y="2522"/>
                </a:lnTo>
                <a:lnTo>
                  <a:pt x="1428" y="2531"/>
                </a:lnTo>
                <a:lnTo>
                  <a:pt x="1465" y="2531"/>
                </a:lnTo>
                <a:lnTo>
                  <a:pt x="1521" y="2550"/>
                </a:lnTo>
                <a:lnTo>
                  <a:pt x="1548" y="2559"/>
                </a:lnTo>
                <a:lnTo>
                  <a:pt x="1567" y="2605"/>
                </a:lnTo>
                <a:lnTo>
                  <a:pt x="1548" y="2659"/>
                </a:lnTo>
                <a:lnTo>
                  <a:pt x="1521" y="2723"/>
                </a:lnTo>
                <a:lnTo>
                  <a:pt x="1484" y="2769"/>
                </a:lnTo>
                <a:lnTo>
                  <a:pt x="1465" y="2833"/>
                </a:lnTo>
                <a:lnTo>
                  <a:pt x="1456" y="2851"/>
                </a:lnTo>
                <a:lnTo>
                  <a:pt x="1484" y="2861"/>
                </a:lnTo>
                <a:lnTo>
                  <a:pt x="1484" y="2897"/>
                </a:lnTo>
                <a:lnTo>
                  <a:pt x="1493" y="2934"/>
                </a:lnTo>
                <a:lnTo>
                  <a:pt x="1493" y="2961"/>
                </a:lnTo>
                <a:lnTo>
                  <a:pt x="1502" y="2989"/>
                </a:lnTo>
                <a:lnTo>
                  <a:pt x="1511" y="3007"/>
                </a:lnTo>
                <a:lnTo>
                  <a:pt x="1521" y="3043"/>
                </a:lnTo>
                <a:lnTo>
                  <a:pt x="1530" y="3080"/>
                </a:lnTo>
                <a:lnTo>
                  <a:pt x="1530" y="3126"/>
                </a:lnTo>
                <a:lnTo>
                  <a:pt x="1521" y="3180"/>
                </a:lnTo>
                <a:lnTo>
                  <a:pt x="1521" y="3217"/>
                </a:lnTo>
                <a:lnTo>
                  <a:pt x="1511" y="3254"/>
                </a:lnTo>
                <a:lnTo>
                  <a:pt x="1521" y="3281"/>
                </a:lnTo>
                <a:lnTo>
                  <a:pt x="1521" y="3290"/>
                </a:lnTo>
                <a:lnTo>
                  <a:pt x="1539" y="3308"/>
                </a:lnTo>
                <a:lnTo>
                  <a:pt x="1557" y="3308"/>
                </a:lnTo>
                <a:lnTo>
                  <a:pt x="1594" y="3318"/>
                </a:lnTo>
                <a:lnTo>
                  <a:pt x="1613" y="3299"/>
                </a:lnTo>
                <a:lnTo>
                  <a:pt x="1668" y="3263"/>
                </a:lnTo>
                <a:lnTo>
                  <a:pt x="1696" y="3244"/>
                </a:lnTo>
                <a:lnTo>
                  <a:pt x="1723" y="3217"/>
                </a:lnTo>
                <a:lnTo>
                  <a:pt x="1760" y="3180"/>
                </a:lnTo>
                <a:lnTo>
                  <a:pt x="1806" y="3153"/>
                </a:lnTo>
                <a:lnTo>
                  <a:pt x="1834" y="3116"/>
                </a:lnTo>
                <a:lnTo>
                  <a:pt x="1871" y="3089"/>
                </a:lnTo>
                <a:lnTo>
                  <a:pt x="1898" y="3043"/>
                </a:lnTo>
                <a:lnTo>
                  <a:pt x="1926" y="3016"/>
                </a:lnTo>
                <a:lnTo>
                  <a:pt x="1981" y="2952"/>
                </a:lnTo>
                <a:lnTo>
                  <a:pt x="2009" y="2897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8" name="Freeform 89">
            <a:extLst>
              <a:ext uri="{FF2B5EF4-FFF2-40B4-BE49-F238E27FC236}">
                <a16:creationId xmlns="" xmlns:a16="http://schemas.microsoft.com/office/drawing/2014/main" id="{00000000-0008-0000-0000-00001C000000}"/>
              </a:ext>
            </a:extLst>
          </xdr:cNvPr>
          <xdr:cNvSpPr>
            <a:spLocks/>
          </xdr:cNvSpPr>
        </xdr:nvSpPr>
        <xdr:spPr bwMode="auto">
          <a:xfrm>
            <a:off x="472716" y="191001"/>
            <a:ext cx="65729" cy="133064"/>
          </a:xfrm>
          <a:custGeom>
            <a:avLst/>
            <a:gdLst>
              <a:gd name="T0" fmla="*/ 239 w 820"/>
              <a:gd name="T1" fmla="*/ 210 h 1663"/>
              <a:gd name="T2" fmla="*/ 166 w 820"/>
              <a:gd name="T3" fmla="*/ 375 h 1663"/>
              <a:gd name="T4" fmla="*/ 64 w 820"/>
              <a:gd name="T5" fmla="*/ 439 h 1663"/>
              <a:gd name="T6" fmla="*/ 0 w 820"/>
              <a:gd name="T7" fmla="*/ 713 h 1663"/>
              <a:gd name="T8" fmla="*/ 83 w 820"/>
              <a:gd name="T9" fmla="*/ 813 h 1663"/>
              <a:gd name="T10" fmla="*/ 184 w 820"/>
              <a:gd name="T11" fmla="*/ 859 h 1663"/>
              <a:gd name="T12" fmla="*/ 378 w 820"/>
              <a:gd name="T13" fmla="*/ 969 h 1663"/>
              <a:gd name="T14" fmla="*/ 534 w 820"/>
              <a:gd name="T15" fmla="*/ 923 h 1663"/>
              <a:gd name="T16" fmla="*/ 608 w 820"/>
              <a:gd name="T17" fmla="*/ 950 h 1663"/>
              <a:gd name="T18" fmla="*/ 645 w 820"/>
              <a:gd name="T19" fmla="*/ 1042 h 1663"/>
              <a:gd name="T20" fmla="*/ 691 w 820"/>
              <a:gd name="T21" fmla="*/ 1142 h 1663"/>
              <a:gd name="T22" fmla="*/ 710 w 820"/>
              <a:gd name="T23" fmla="*/ 1261 h 1663"/>
              <a:gd name="T24" fmla="*/ 728 w 820"/>
              <a:gd name="T25" fmla="*/ 1663 h 1663"/>
              <a:gd name="T26" fmla="*/ 756 w 820"/>
              <a:gd name="T27" fmla="*/ 1572 h 1663"/>
              <a:gd name="T28" fmla="*/ 774 w 820"/>
              <a:gd name="T29" fmla="*/ 1481 h 1663"/>
              <a:gd name="T30" fmla="*/ 793 w 820"/>
              <a:gd name="T31" fmla="*/ 1389 h 1663"/>
              <a:gd name="T32" fmla="*/ 811 w 820"/>
              <a:gd name="T33" fmla="*/ 1289 h 1663"/>
              <a:gd name="T34" fmla="*/ 820 w 820"/>
              <a:gd name="T35" fmla="*/ 1179 h 1663"/>
              <a:gd name="T36" fmla="*/ 820 w 820"/>
              <a:gd name="T37" fmla="*/ 1078 h 1663"/>
              <a:gd name="T38" fmla="*/ 820 w 820"/>
              <a:gd name="T39" fmla="*/ 969 h 1663"/>
              <a:gd name="T40" fmla="*/ 820 w 820"/>
              <a:gd name="T41" fmla="*/ 859 h 1663"/>
              <a:gd name="T42" fmla="*/ 802 w 820"/>
              <a:gd name="T43" fmla="*/ 749 h 1663"/>
              <a:gd name="T44" fmla="*/ 774 w 820"/>
              <a:gd name="T45" fmla="*/ 640 h 1663"/>
              <a:gd name="T46" fmla="*/ 756 w 820"/>
              <a:gd name="T47" fmla="*/ 521 h 1663"/>
              <a:gd name="T48" fmla="*/ 719 w 820"/>
              <a:gd name="T49" fmla="*/ 420 h 1663"/>
              <a:gd name="T50" fmla="*/ 673 w 820"/>
              <a:gd name="T51" fmla="*/ 311 h 1663"/>
              <a:gd name="T52" fmla="*/ 627 w 820"/>
              <a:gd name="T53" fmla="*/ 219 h 1663"/>
              <a:gd name="T54" fmla="*/ 562 w 820"/>
              <a:gd name="T55" fmla="*/ 119 h 1663"/>
              <a:gd name="T56" fmla="*/ 507 w 820"/>
              <a:gd name="T57" fmla="*/ 36 h 1663"/>
              <a:gd name="T58" fmla="*/ 286 w 820"/>
              <a:gd name="T59" fmla="*/ 0 h 1663"/>
              <a:gd name="T60" fmla="*/ 212 w 820"/>
              <a:gd name="T61" fmla="*/ 128 h 1663"/>
              <a:gd name="T62" fmla="*/ 239 w 820"/>
              <a:gd name="T63" fmla="*/ 210 h 1663"/>
              <a:gd name="T64" fmla="*/ 239 w 820"/>
              <a:gd name="T65" fmla="*/ 210 h 16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820" h="1663">
                <a:moveTo>
                  <a:pt x="239" y="210"/>
                </a:moveTo>
                <a:lnTo>
                  <a:pt x="166" y="375"/>
                </a:lnTo>
                <a:lnTo>
                  <a:pt x="64" y="439"/>
                </a:lnTo>
                <a:lnTo>
                  <a:pt x="0" y="713"/>
                </a:lnTo>
                <a:lnTo>
                  <a:pt x="83" y="813"/>
                </a:lnTo>
                <a:lnTo>
                  <a:pt x="184" y="859"/>
                </a:lnTo>
                <a:lnTo>
                  <a:pt x="378" y="969"/>
                </a:lnTo>
                <a:lnTo>
                  <a:pt x="534" y="923"/>
                </a:lnTo>
                <a:lnTo>
                  <a:pt x="608" y="950"/>
                </a:lnTo>
                <a:lnTo>
                  <a:pt x="645" y="1042"/>
                </a:lnTo>
                <a:lnTo>
                  <a:pt x="691" y="1142"/>
                </a:lnTo>
                <a:lnTo>
                  <a:pt x="710" y="1261"/>
                </a:lnTo>
                <a:lnTo>
                  <a:pt x="728" y="1663"/>
                </a:lnTo>
                <a:lnTo>
                  <a:pt x="756" y="1572"/>
                </a:lnTo>
                <a:lnTo>
                  <a:pt x="774" y="1481"/>
                </a:lnTo>
                <a:lnTo>
                  <a:pt x="793" y="1389"/>
                </a:lnTo>
                <a:lnTo>
                  <a:pt x="811" y="1289"/>
                </a:lnTo>
                <a:lnTo>
                  <a:pt x="820" y="1179"/>
                </a:lnTo>
                <a:lnTo>
                  <a:pt x="820" y="1078"/>
                </a:lnTo>
                <a:lnTo>
                  <a:pt x="820" y="969"/>
                </a:lnTo>
                <a:lnTo>
                  <a:pt x="820" y="859"/>
                </a:lnTo>
                <a:lnTo>
                  <a:pt x="802" y="749"/>
                </a:lnTo>
                <a:lnTo>
                  <a:pt x="774" y="640"/>
                </a:lnTo>
                <a:lnTo>
                  <a:pt x="756" y="521"/>
                </a:lnTo>
                <a:lnTo>
                  <a:pt x="719" y="420"/>
                </a:lnTo>
                <a:lnTo>
                  <a:pt x="673" y="311"/>
                </a:lnTo>
                <a:lnTo>
                  <a:pt x="627" y="219"/>
                </a:lnTo>
                <a:lnTo>
                  <a:pt x="562" y="119"/>
                </a:lnTo>
                <a:lnTo>
                  <a:pt x="507" y="36"/>
                </a:lnTo>
                <a:lnTo>
                  <a:pt x="286" y="0"/>
                </a:lnTo>
                <a:lnTo>
                  <a:pt x="212" y="128"/>
                </a:lnTo>
                <a:lnTo>
                  <a:pt x="239" y="21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9" name="Freeform 90">
            <a:extLst>
              <a:ext uri="{FF2B5EF4-FFF2-40B4-BE49-F238E27FC236}">
                <a16:creationId xmlns="" xmlns:a16="http://schemas.microsoft.com/office/drawing/2014/main" id="{00000000-0008-0000-0000-00001D000000}"/>
              </a:ext>
            </a:extLst>
          </xdr:cNvPr>
          <xdr:cNvSpPr>
            <a:spLocks/>
          </xdr:cNvSpPr>
        </xdr:nvSpPr>
        <xdr:spPr bwMode="auto">
          <a:xfrm>
            <a:off x="224848" y="267675"/>
            <a:ext cx="532497" cy="9577"/>
          </a:xfrm>
          <a:custGeom>
            <a:avLst/>
            <a:gdLst>
              <a:gd name="T0" fmla="*/ 0 w 6646"/>
              <a:gd name="T1" fmla="*/ 119 h 119"/>
              <a:gd name="T2" fmla="*/ 6646 w 6646"/>
              <a:gd name="T3" fmla="*/ 119 h 119"/>
              <a:gd name="T4" fmla="*/ 6646 w 6646"/>
              <a:gd name="T5" fmla="*/ 0 h 119"/>
              <a:gd name="T6" fmla="*/ 0 w 6646"/>
              <a:gd name="T7" fmla="*/ 0 h 119"/>
              <a:gd name="T8" fmla="*/ 0 w 6646"/>
              <a:gd name="T9" fmla="*/ 119 h 119"/>
              <a:gd name="T10" fmla="*/ 0 w 6646"/>
              <a:gd name="T11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6646" h="119">
                <a:moveTo>
                  <a:pt x="0" y="119"/>
                </a:moveTo>
                <a:lnTo>
                  <a:pt x="6646" y="119"/>
                </a:lnTo>
                <a:lnTo>
                  <a:pt x="6646" y="0"/>
                </a:lnTo>
                <a:lnTo>
                  <a:pt x="0" y="0"/>
                </a:lnTo>
                <a:lnTo>
                  <a:pt x="0" y="119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" name="Freeform 91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SpPr>
            <a:spLocks/>
          </xdr:cNvSpPr>
        </xdr:nvSpPr>
        <xdr:spPr bwMode="auto">
          <a:xfrm>
            <a:off x="0" y="276538"/>
            <a:ext cx="292540" cy="123666"/>
          </a:xfrm>
          <a:custGeom>
            <a:avLst/>
            <a:gdLst>
              <a:gd name="T0" fmla="*/ 0 w 3651"/>
              <a:gd name="T1" fmla="*/ 1545 h 1545"/>
              <a:gd name="T2" fmla="*/ 673 w 3651"/>
              <a:gd name="T3" fmla="*/ 530 h 1545"/>
              <a:gd name="T4" fmla="*/ 2959 w 3651"/>
              <a:gd name="T5" fmla="*/ 530 h 1545"/>
              <a:gd name="T6" fmla="*/ 3485 w 3651"/>
              <a:gd name="T7" fmla="*/ 0 h 1545"/>
              <a:gd name="T8" fmla="*/ 3651 w 3651"/>
              <a:gd name="T9" fmla="*/ 0 h 1545"/>
              <a:gd name="T10" fmla="*/ 3005 w 3651"/>
              <a:gd name="T11" fmla="*/ 640 h 1545"/>
              <a:gd name="T12" fmla="*/ 775 w 3651"/>
              <a:gd name="T13" fmla="*/ 640 h 1545"/>
              <a:gd name="T14" fmla="*/ 166 w 3651"/>
              <a:gd name="T15" fmla="*/ 1545 h 1545"/>
              <a:gd name="T16" fmla="*/ 0 w 3651"/>
              <a:gd name="T17" fmla="*/ 1545 h 1545"/>
              <a:gd name="T18" fmla="*/ 0 w 3651"/>
              <a:gd name="T19" fmla="*/ 1545 h 15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651" h="1545">
                <a:moveTo>
                  <a:pt x="0" y="1545"/>
                </a:moveTo>
                <a:lnTo>
                  <a:pt x="673" y="530"/>
                </a:lnTo>
                <a:lnTo>
                  <a:pt x="2959" y="530"/>
                </a:lnTo>
                <a:lnTo>
                  <a:pt x="3485" y="0"/>
                </a:lnTo>
                <a:lnTo>
                  <a:pt x="3651" y="0"/>
                </a:lnTo>
                <a:lnTo>
                  <a:pt x="3005" y="640"/>
                </a:lnTo>
                <a:lnTo>
                  <a:pt x="775" y="640"/>
                </a:lnTo>
                <a:lnTo>
                  <a:pt x="166" y="1545"/>
                </a:lnTo>
                <a:lnTo>
                  <a:pt x="0" y="1545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1" name="Freeform 92">
            <a:extLst>
              <a:ext uri="{FF2B5EF4-FFF2-40B4-BE49-F238E27FC236}">
                <a16:creationId xmlns="" xmlns:a16="http://schemas.microsoft.com/office/drawing/2014/main" id="{00000000-0008-0000-0000-00001F000000}"/>
              </a:ext>
            </a:extLst>
          </xdr:cNvPr>
          <xdr:cNvSpPr>
            <a:spLocks/>
          </xdr:cNvSpPr>
        </xdr:nvSpPr>
        <xdr:spPr bwMode="auto">
          <a:xfrm>
            <a:off x="773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2" name="Freeform 93">
            <a:extLst>
              <a:ext uri="{FF2B5EF4-FFF2-40B4-BE49-F238E27FC236}">
                <a16:creationId xmlns="" xmlns:a16="http://schemas.microsoft.com/office/drawing/2014/main" id="{00000000-0008-0000-0000-000020000000}"/>
              </a:ext>
            </a:extLst>
          </xdr:cNvPr>
          <xdr:cNvSpPr>
            <a:spLocks/>
          </xdr:cNvSpPr>
        </xdr:nvSpPr>
        <xdr:spPr bwMode="auto">
          <a:xfrm>
            <a:off x="59127" y="13978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3" name="Freeform 94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SpPr>
            <a:spLocks/>
          </xdr:cNvSpPr>
        </xdr:nvSpPr>
        <xdr:spPr bwMode="auto">
          <a:xfrm>
            <a:off x="117480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4" name="Freeform 95">
            <a:extLst>
              <a:ext uri="{FF2B5EF4-FFF2-40B4-BE49-F238E27FC236}">
                <a16:creationId xmlns="" xmlns:a16="http://schemas.microsoft.com/office/drawing/2014/main" id="{00000000-0008-0000-0000-000022000000}"/>
              </a:ext>
            </a:extLst>
          </xdr:cNvPr>
          <xdr:cNvSpPr>
            <a:spLocks/>
          </xdr:cNvSpPr>
        </xdr:nvSpPr>
        <xdr:spPr bwMode="auto">
          <a:xfrm>
            <a:off x="175774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5" name="Freeform 96">
            <a:extLst>
              <a:ext uri="{FF2B5EF4-FFF2-40B4-BE49-F238E27FC236}">
                <a16:creationId xmlns="" xmlns:a16="http://schemas.microsoft.com/office/drawing/2014/main" id="{00000000-0008-0000-0000-000023000000}"/>
              </a:ext>
            </a:extLst>
          </xdr:cNvPr>
          <xdr:cNvSpPr>
            <a:spLocks/>
          </xdr:cNvSpPr>
        </xdr:nvSpPr>
        <xdr:spPr bwMode="auto">
          <a:xfrm>
            <a:off x="501566" y="372485"/>
            <a:ext cx="28790" cy="27719"/>
          </a:xfrm>
          <a:custGeom>
            <a:avLst/>
            <a:gdLst>
              <a:gd name="T0" fmla="*/ 0 w 360"/>
              <a:gd name="T1" fmla="*/ 347 h 347"/>
              <a:gd name="T2" fmla="*/ 360 w 360"/>
              <a:gd name="T3" fmla="*/ 347 h 347"/>
              <a:gd name="T4" fmla="*/ 360 w 360"/>
              <a:gd name="T5" fmla="*/ 0 h 347"/>
              <a:gd name="T6" fmla="*/ 0 w 360"/>
              <a:gd name="T7" fmla="*/ 0 h 347"/>
              <a:gd name="T8" fmla="*/ 0 w 360"/>
              <a:gd name="T9" fmla="*/ 347 h 347"/>
              <a:gd name="T10" fmla="*/ 0 w 36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60" h="347">
                <a:moveTo>
                  <a:pt x="0" y="347"/>
                </a:moveTo>
                <a:lnTo>
                  <a:pt x="360" y="347"/>
                </a:lnTo>
                <a:lnTo>
                  <a:pt x="36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6" name="Freeform 97">
            <a:extLst>
              <a:ext uri="{FF2B5EF4-FFF2-40B4-BE49-F238E27FC236}">
                <a16:creationId xmlns="" xmlns:a16="http://schemas.microsoft.com/office/drawing/2014/main" id="{00000000-0008-0000-0000-000024000000}"/>
              </a:ext>
            </a:extLst>
          </xdr:cNvPr>
          <xdr:cNvSpPr>
            <a:spLocks/>
          </xdr:cNvSpPr>
        </xdr:nvSpPr>
        <xdr:spPr bwMode="auto">
          <a:xfrm>
            <a:off x="560633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7" name="Freeform 98">
            <a:extLst>
              <a:ext uri="{FF2B5EF4-FFF2-40B4-BE49-F238E27FC236}">
                <a16:creationId xmlns="" xmlns:a16="http://schemas.microsoft.com/office/drawing/2014/main" id="{00000000-0008-0000-0000-000025000000}"/>
              </a:ext>
            </a:extLst>
          </xdr:cNvPr>
          <xdr:cNvSpPr>
            <a:spLocks/>
          </xdr:cNvSpPr>
        </xdr:nvSpPr>
        <xdr:spPr bwMode="auto">
          <a:xfrm>
            <a:off x="618987" y="372485"/>
            <a:ext cx="28076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8" name="Freeform 99">
            <a:extLst>
              <a:ext uri="{FF2B5EF4-FFF2-40B4-BE49-F238E27FC236}">
                <a16:creationId xmlns="" xmlns:a16="http://schemas.microsoft.com/office/drawing/2014/main" id="{00000000-0008-0000-0000-000026000000}"/>
              </a:ext>
            </a:extLst>
          </xdr:cNvPr>
          <xdr:cNvSpPr>
            <a:spLocks/>
          </xdr:cNvSpPr>
        </xdr:nvSpPr>
        <xdr:spPr bwMode="auto">
          <a:xfrm>
            <a:off x="677340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9" name="Freeform 100">
            <a:extLst>
              <a:ext uri="{FF2B5EF4-FFF2-40B4-BE49-F238E27FC236}">
                <a16:creationId xmlns="" xmlns:a16="http://schemas.microsoft.com/office/drawing/2014/main" id="{00000000-0008-0000-0000-000027000000}"/>
              </a:ext>
            </a:extLst>
          </xdr:cNvPr>
          <xdr:cNvSpPr>
            <a:spLocks/>
          </xdr:cNvSpPr>
        </xdr:nvSpPr>
        <xdr:spPr bwMode="auto">
          <a:xfrm>
            <a:off x="735634" y="372485"/>
            <a:ext cx="28136" cy="27719"/>
          </a:xfrm>
          <a:custGeom>
            <a:avLst/>
            <a:gdLst>
              <a:gd name="T0" fmla="*/ 0 w 351"/>
              <a:gd name="T1" fmla="*/ 347 h 347"/>
              <a:gd name="T2" fmla="*/ 351 w 351"/>
              <a:gd name="T3" fmla="*/ 347 h 347"/>
              <a:gd name="T4" fmla="*/ 351 w 351"/>
              <a:gd name="T5" fmla="*/ 0 h 347"/>
              <a:gd name="T6" fmla="*/ 0 w 351"/>
              <a:gd name="T7" fmla="*/ 0 h 347"/>
              <a:gd name="T8" fmla="*/ 0 w 351"/>
              <a:gd name="T9" fmla="*/ 347 h 347"/>
              <a:gd name="T10" fmla="*/ 0 w 351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47">
                <a:moveTo>
                  <a:pt x="0" y="347"/>
                </a:moveTo>
                <a:lnTo>
                  <a:pt x="351" y="347"/>
                </a:lnTo>
                <a:lnTo>
                  <a:pt x="351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0" name="Freeform 102">
            <a:extLst>
              <a:ext uri="{FF2B5EF4-FFF2-40B4-BE49-F238E27FC236}">
                <a16:creationId xmlns="" xmlns:a16="http://schemas.microsoft.com/office/drawing/2014/main" id="{00000000-0008-0000-0000-000028000000}"/>
              </a:ext>
            </a:extLst>
          </xdr:cNvPr>
          <xdr:cNvSpPr>
            <a:spLocks/>
          </xdr:cNvSpPr>
        </xdr:nvSpPr>
        <xdr:spPr bwMode="auto">
          <a:xfrm>
            <a:off x="735634" y="316095"/>
            <a:ext cx="28136" cy="28552"/>
          </a:xfrm>
          <a:custGeom>
            <a:avLst/>
            <a:gdLst>
              <a:gd name="T0" fmla="*/ 0 w 351"/>
              <a:gd name="T1" fmla="*/ 356 h 356"/>
              <a:gd name="T2" fmla="*/ 351 w 351"/>
              <a:gd name="T3" fmla="*/ 356 h 356"/>
              <a:gd name="T4" fmla="*/ 351 w 351"/>
              <a:gd name="T5" fmla="*/ 0 h 356"/>
              <a:gd name="T6" fmla="*/ 0 w 351"/>
              <a:gd name="T7" fmla="*/ 0 h 356"/>
              <a:gd name="T8" fmla="*/ 0 w 351"/>
              <a:gd name="T9" fmla="*/ 356 h 356"/>
              <a:gd name="T10" fmla="*/ 0 w 351"/>
              <a:gd name="T11" fmla="*/ 356 h 3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56">
                <a:moveTo>
                  <a:pt x="0" y="356"/>
                </a:moveTo>
                <a:lnTo>
                  <a:pt x="351" y="356"/>
                </a:lnTo>
                <a:lnTo>
                  <a:pt x="351" y="0"/>
                </a:lnTo>
                <a:lnTo>
                  <a:pt x="0" y="0"/>
                </a:lnTo>
                <a:lnTo>
                  <a:pt x="0" y="35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1" name="Freeform 103">
            <a:extLst>
              <a:ext uri="{FF2B5EF4-FFF2-40B4-BE49-F238E27FC236}">
                <a16:creationId xmlns="" xmlns:a16="http://schemas.microsoft.com/office/drawing/2014/main" id="{00000000-0008-0000-0000-000029000000}"/>
              </a:ext>
            </a:extLst>
          </xdr:cNvPr>
          <xdr:cNvSpPr>
            <a:spLocks/>
          </xdr:cNvSpPr>
        </xdr:nvSpPr>
        <xdr:spPr bwMode="auto">
          <a:xfrm>
            <a:off x="274755" y="262738"/>
            <a:ext cx="20760" cy="21236"/>
          </a:xfrm>
          <a:custGeom>
            <a:avLst/>
            <a:gdLst>
              <a:gd name="T0" fmla="*/ 129 w 259"/>
              <a:gd name="T1" fmla="*/ 265 h 265"/>
              <a:gd name="T2" fmla="*/ 176 w 259"/>
              <a:gd name="T3" fmla="*/ 246 h 265"/>
              <a:gd name="T4" fmla="*/ 222 w 259"/>
              <a:gd name="T5" fmla="*/ 219 h 265"/>
              <a:gd name="T6" fmla="*/ 249 w 259"/>
              <a:gd name="T7" fmla="*/ 173 h 265"/>
              <a:gd name="T8" fmla="*/ 259 w 259"/>
              <a:gd name="T9" fmla="*/ 128 h 265"/>
              <a:gd name="T10" fmla="*/ 249 w 259"/>
              <a:gd name="T11" fmla="*/ 73 h 265"/>
              <a:gd name="T12" fmla="*/ 222 w 259"/>
              <a:gd name="T13" fmla="*/ 27 h 265"/>
              <a:gd name="T14" fmla="*/ 176 w 259"/>
              <a:gd name="T15" fmla="*/ 0 h 265"/>
              <a:gd name="T16" fmla="*/ 129 w 259"/>
              <a:gd name="T17" fmla="*/ 0 h 265"/>
              <a:gd name="T18" fmla="*/ 65 w 259"/>
              <a:gd name="T19" fmla="*/ 0 h 265"/>
              <a:gd name="T20" fmla="*/ 28 w 259"/>
              <a:gd name="T21" fmla="*/ 27 h 265"/>
              <a:gd name="T22" fmla="*/ 0 w 259"/>
              <a:gd name="T23" fmla="*/ 73 h 265"/>
              <a:gd name="T24" fmla="*/ 0 w 259"/>
              <a:gd name="T25" fmla="*/ 128 h 265"/>
              <a:gd name="T26" fmla="*/ 0 w 259"/>
              <a:gd name="T27" fmla="*/ 173 h 265"/>
              <a:gd name="T28" fmla="*/ 28 w 259"/>
              <a:gd name="T29" fmla="*/ 219 h 265"/>
              <a:gd name="T30" fmla="*/ 65 w 259"/>
              <a:gd name="T31" fmla="*/ 246 h 265"/>
              <a:gd name="T32" fmla="*/ 129 w 259"/>
              <a:gd name="T33" fmla="*/ 265 h 265"/>
              <a:gd name="T34" fmla="*/ 129 w 259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59" h="265">
                <a:moveTo>
                  <a:pt x="129" y="265"/>
                </a:moveTo>
                <a:lnTo>
                  <a:pt x="176" y="246"/>
                </a:lnTo>
                <a:lnTo>
                  <a:pt x="222" y="219"/>
                </a:lnTo>
                <a:lnTo>
                  <a:pt x="249" y="173"/>
                </a:lnTo>
                <a:lnTo>
                  <a:pt x="259" y="128"/>
                </a:lnTo>
                <a:lnTo>
                  <a:pt x="249" y="73"/>
                </a:lnTo>
                <a:lnTo>
                  <a:pt x="222" y="27"/>
                </a:lnTo>
                <a:lnTo>
                  <a:pt x="176" y="0"/>
                </a:lnTo>
                <a:lnTo>
                  <a:pt x="129" y="0"/>
                </a:lnTo>
                <a:lnTo>
                  <a:pt x="65" y="0"/>
                </a:lnTo>
                <a:lnTo>
                  <a:pt x="28" y="27"/>
                </a:lnTo>
                <a:lnTo>
                  <a:pt x="0" y="73"/>
                </a:lnTo>
                <a:lnTo>
                  <a:pt x="0" y="128"/>
                </a:lnTo>
                <a:lnTo>
                  <a:pt x="0" y="173"/>
                </a:lnTo>
                <a:lnTo>
                  <a:pt x="28" y="219"/>
                </a:lnTo>
                <a:lnTo>
                  <a:pt x="65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2" name="Freeform 104">
            <a:extLst>
              <a:ext uri="{FF2B5EF4-FFF2-40B4-BE49-F238E27FC236}">
                <a16:creationId xmlns="" xmlns:a16="http://schemas.microsoft.com/office/drawing/2014/main" id="{00000000-0008-0000-0000-00002A000000}"/>
              </a:ext>
            </a:extLst>
          </xdr:cNvPr>
          <xdr:cNvSpPr>
            <a:spLocks/>
          </xdr:cNvSpPr>
        </xdr:nvSpPr>
        <xdr:spPr bwMode="auto">
          <a:xfrm>
            <a:off x="313955" y="262738"/>
            <a:ext cx="21355" cy="21236"/>
          </a:xfrm>
          <a:custGeom>
            <a:avLst/>
            <a:gdLst>
              <a:gd name="T0" fmla="*/ 129 w 267"/>
              <a:gd name="T1" fmla="*/ 265 h 265"/>
              <a:gd name="T2" fmla="*/ 184 w 267"/>
              <a:gd name="T3" fmla="*/ 246 h 265"/>
              <a:gd name="T4" fmla="*/ 230 w 267"/>
              <a:gd name="T5" fmla="*/ 219 h 265"/>
              <a:gd name="T6" fmla="*/ 249 w 267"/>
              <a:gd name="T7" fmla="*/ 173 h 265"/>
              <a:gd name="T8" fmla="*/ 267 w 267"/>
              <a:gd name="T9" fmla="*/ 137 h 265"/>
              <a:gd name="T10" fmla="*/ 249 w 267"/>
              <a:gd name="T11" fmla="*/ 73 h 265"/>
              <a:gd name="T12" fmla="*/ 230 w 267"/>
              <a:gd name="T13" fmla="*/ 36 h 265"/>
              <a:gd name="T14" fmla="*/ 184 w 267"/>
              <a:gd name="T15" fmla="*/ 0 h 265"/>
              <a:gd name="T16" fmla="*/ 129 w 267"/>
              <a:gd name="T17" fmla="*/ 0 h 265"/>
              <a:gd name="T18" fmla="*/ 74 w 267"/>
              <a:gd name="T19" fmla="*/ 0 h 265"/>
              <a:gd name="T20" fmla="*/ 37 w 267"/>
              <a:gd name="T21" fmla="*/ 36 h 265"/>
              <a:gd name="T22" fmla="*/ 9 w 267"/>
              <a:gd name="T23" fmla="*/ 73 h 265"/>
              <a:gd name="T24" fmla="*/ 0 w 267"/>
              <a:gd name="T25" fmla="*/ 137 h 265"/>
              <a:gd name="T26" fmla="*/ 9 w 267"/>
              <a:gd name="T27" fmla="*/ 173 h 265"/>
              <a:gd name="T28" fmla="*/ 37 w 267"/>
              <a:gd name="T29" fmla="*/ 219 h 265"/>
              <a:gd name="T30" fmla="*/ 74 w 267"/>
              <a:gd name="T31" fmla="*/ 246 h 265"/>
              <a:gd name="T32" fmla="*/ 129 w 267"/>
              <a:gd name="T33" fmla="*/ 265 h 265"/>
              <a:gd name="T34" fmla="*/ 129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29" y="265"/>
                </a:moveTo>
                <a:lnTo>
                  <a:pt x="184" y="246"/>
                </a:lnTo>
                <a:lnTo>
                  <a:pt x="230" y="219"/>
                </a:lnTo>
                <a:lnTo>
                  <a:pt x="249" y="173"/>
                </a:lnTo>
                <a:lnTo>
                  <a:pt x="267" y="137"/>
                </a:lnTo>
                <a:lnTo>
                  <a:pt x="249" y="73"/>
                </a:lnTo>
                <a:lnTo>
                  <a:pt x="230" y="36"/>
                </a:lnTo>
                <a:lnTo>
                  <a:pt x="184" y="0"/>
                </a:lnTo>
                <a:lnTo>
                  <a:pt x="129" y="0"/>
                </a:lnTo>
                <a:lnTo>
                  <a:pt x="74" y="0"/>
                </a:lnTo>
                <a:lnTo>
                  <a:pt x="37" y="36"/>
                </a:lnTo>
                <a:lnTo>
                  <a:pt x="9" y="73"/>
                </a:lnTo>
                <a:lnTo>
                  <a:pt x="0" y="137"/>
                </a:lnTo>
                <a:lnTo>
                  <a:pt x="9" y="173"/>
                </a:lnTo>
                <a:lnTo>
                  <a:pt x="37" y="219"/>
                </a:lnTo>
                <a:lnTo>
                  <a:pt x="74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Freeform 105">
            <a:extLst>
              <a:ext uri="{FF2B5EF4-FFF2-40B4-BE49-F238E27FC236}">
                <a16:creationId xmlns="" xmlns:a16="http://schemas.microsoft.com/office/drawing/2014/main" id="{00000000-0008-0000-0000-00002B000000}"/>
              </a:ext>
            </a:extLst>
          </xdr:cNvPr>
          <xdr:cNvSpPr>
            <a:spLocks/>
          </xdr:cNvSpPr>
        </xdr:nvSpPr>
        <xdr:spPr bwMode="auto">
          <a:xfrm>
            <a:off x="345838" y="267913"/>
            <a:ext cx="21355" cy="21236"/>
          </a:xfrm>
          <a:custGeom>
            <a:avLst/>
            <a:gdLst>
              <a:gd name="T0" fmla="*/ 138 w 267"/>
              <a:gd name="T1" fmla="*/ 265 h 265"/>
              <a:gd name="T2" fmla="*/ 184 w 267"/>
              <a:gd name="T3" fmla="*/ 256 h 265"/>
              <a:gd name="T4" fmla="*/ 230 w 267"/>
              <a:gd name="T5" fmla="*/ 228 h 265"/>
              <a:gd name="T6" fmla="*/ 258 w 267"/>
              <a:gd name="T7" fmla="*/ 182 h 265"/>
              <a:gd name="T8" fmla="*/ 267 w 267"/>
              <a:gd name="T9" fmla="*/ 137 h 265"/>
              <a:gd name="T10" fmla="*/ 258 w 267"/>
              <a:gd name="T11" fmla="*/ 82 h 265"/>
              <a:gd name="T12" fmla="*/ 230 w 267"/>
              <a:gd name="T13" fmla="*/ 45 h 265"/>
              <a:gd name="T14" fmla="*/ 184 w 267"/>
              <a:gd name="T15" fmla="*/ 9 h 265"/>
              <a:gd name="T16" fmla="*/ 138 w 267"/>
              <a:gd name="T17" fmla="*/ 0 h 265"/>
              <a:gd name="T18" fmla="*/ 74 w 267"/>
              <a:gd name="T19" fmla="*/ 9 h 265"/>
              <a:gd name="T20" fmla="*/ 37 w 267"/>
              <a:gd name="T21" fmla="*/ 45 h 265"/>
              <a:gd name="T22" fmla="*/ 9 w 267"/>
              <a:gd name="T23" fmla="*/ 82 h 265"/>
              <a:gd name="T24" fmla="*/ 0 w 267"/>
              <a:gd name="T25" fmla="*/ 137 h 265"/>
              <a:gd name="T26" fmla="*/ 9 w 267"/>
              <a:gd name="T27" fmla="*/ 182 h 265"/>
              <a:gd name="T28" fmla="*/ 37 w 267"/>
              <a:gd name="T29" fmla="*/ 228 h 265"/>
              <a:gd name="T30" fmla="*/ 74 w 267"/>
              <a:gd name="T31" fmla="*/ 256 h 265"/>
              <a:gd name="T32" fmla="*/ 138 w 267"/>
              <a:gd name="T33" fmla="*/ 265 h 265"/>
              <a:gd name="T34" fmla="*/ 138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38" y="265"/>
                </a:moveTo>
                <a:lnTo>
                  <a:pt x="184" y="256"/>
                </a:lnTo>
                <a:lnTo>
                  <a:pt x="230" y="228"/>
                </a:lnTo>
                <a:lnTo>
                  <a:pt x="258" y="182"/>
                </a:lnTo>
                <a:lnTo>
                  <a:pt x="267" y="137"/>
                </a:lnTo>
                <a:lnTo>
                  <a:pt x="258" y="82"/>
                </a:lnTo>
                <a:lnTo>
                  <a:pt x="230" y="45"/>
                </a:lnTo>
                <a:lnTo>
                  <a:pt x="184" y="9"/>
                </a:lnTo>
                <a:lnTo>
                  <a:pt x="138" y="0"/>
                </a:lnTo>
                <a:lnTo>
                  <a:pt x="74" y="9"/>
                </a:lnTo>
                <a:lnTo>
                  <a:pt x="37" y="45"/>
                </a:lnTo>
                <a:lnTo>
                  <a:pt x="9" y="82"/>
                </a:lnTo>
                <a:lnTo>
                  <a:pt x="0" y="137"/>
                </a:lnTo>
                <a:lnTo>
                  <a:pt x="9" y="182"/>
                </a:lnTo>
                <a:lnTo>
                  <a:pt x="37" y="228"/>
                </a:lnTo>
                <a:lnTo>
                  <a:pt x="74" y="256"/>
                </a:lnTo>
                <a:lnTo>
                  <a:pt x="138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4" name="Freeform 106">
            <a:extLst>
              <a:ext uri="{FF2B5EF4-FFF2-40B4-BE49-F238E27FC236}">
                <a16:creationId xmlns="" xmlns:a16="http://schemas.microsoft.com/office/drawing/2014/main" id="{00000000-0008-0000-0000-00002C000000}"/>
              </a:ext>
            </a:extLst>
          </xdr:cNvPr>
          <xdr:cNvSpPr>
            <a:spLocks/>
          </xdr:cNvSpPr>
        </xdr:nvSpPr>
        <xdr:spPr bwMode="auto">
          <a:xfrm>
            <a:off x="278502" y="266307"/>
            <a:ext cx="14038" cy="13919"/>
          </a:xfrm>
          <a:custGeom>
            <a:avLst/>
            <a:gdLst>
              <a:gd name="T0" fmla="*/ 83 w 176"/>
              <a:gd name="T1" fmla="*/ 174 h 174"/>
              <a:gd name="T2" fmla="*/ 148 w 176"/>
              <a:gd name="T3" fmla="*/ 147 h 174"/>
              <a:gd name="T4" fmla="*/ 176 w 176"/>
              <a:gd name="T5" fmla="*/ 92 h 174"/>
              <a:gd name="T6" fmla="*/ 148 w 176"/>
              <a:gd name="T7" fmla="*/ 28 h 174"/>
              <a:gd name="T8" fmla="*/ 83 w 176"/>
              <a:gd name="T9" fmla="*/ 0 h 174"/>
              <a:gd name="T10" fmla="*/ 19 w 176"/>
              <a:gd name="T11" fmla="*/ 28 h 174"/>
              <a:gd name="T12" fmla="*/ 0 w 176"/>
              <a:gd name="T13" fmla="*/ 92 h 174"/>
              <a:gd name="T14" fmla="*/ 19 w 176"/>
              <a:gd name="T15" fmla="*/ 147 h 174"/>
              <a:gd name="T16" fmla="*/ 83 w 176"/>
              <a:gd name="T17" fmla="*/ 174 h 174"/>
              <a:gd name="T18" fmla="*/ 83 w 17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76" h="174">
                <a:moveTo>
                  <a:pt x="83" y="174"/>
                </a:moveTo>
                <a:lnTo>
                  <a:pt x="148" y="147"/>
                </a:lnTo>
                <a:lnTo>
                  <a:pt x="176" y="92"/>
                </a:lnTo>
                <a:lnTo>
                  <a:pt x="148" y="28"/>
                </a:lnTo>
                <a:lnTo>
                  <a:pt x="83" y="0"/>
                </a:lnTo>
                <a:lnTo>
                  <a:pt x="19" y="28"/>
                </a:lnTo>
                <a:lnTo>
                  <a:pt x="0" y="92"/>
                </a:lnTo>
                <a:lnTo>
                  <a:pt x="19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5" name="Freeform 107">
            <a:extLst>
              <a:ext uri="{FF2B5EF4-FFF2-40B4-BE49-F238E27FC236}">
                <a16:creationId xmlns="" xmlns:a16="http://schemas.microsoft.com/office/drawing/2014/main" id="{00000000-0008-0000-0000-00002D000000}"/>
              </a:ext>
            </a:extLst>
          </xdr:cNvPr>
          <xdr:cNvSpPr>
            <a:spLocks/>
          </xdr:cNvSpPr>
        </xdr:nvSpPr>
        <xdr:spPr bwMode="auto">
          <a:xfrm>
            <a:off x="101955" y="15347"/>
            <a:ext cx="629991" cy="494604"/>
          </a:xfrm>
          <a:custGeom>
            <a:avLst/>
            <a:gdLst>
              <a:gd name="T0" fmla="*/ 5393 w 7863"/>
              <a:gd name="T1" fmla="*/ 73 h 6179"/>
              <a:gd name="T2" fmla="*/ 5863 w 7863"/>
              <a:gd name="T3" fmla="*/ 9 h 6179"/>
              <a:gd name="T4" fmla="*/ 6352 w 7863"/>
              <a:gd name="T5" fmla="*/ 9 h 6179"/>
              <a:gd name="T6" fmla="*/ 6794 w 7863"/>
              <a:gd name="T7" fmla="*/ 64 h 6179"/>
              <a:gd name="T8" fmla="*/ 7190 w 7863"/>
              <a:gd name="T9" fmla="*/ 229 h 6179"/>
              <a:gd name="T10" fmla="*/ 7587 w 7863"/>
              <a:gd name="T11" fmla="*/ 567 h 6179"/>
              <a:gd name="T12" fmla="*/ 7854 w 7863"/>
              <a:gd name="T13" fmla="*/ 1243 h 6179"/>
              <a:gd name="T14" fmla="*/ 7799 w 7863"/>
              <a:gd name="T15" fmla="*/ 2020 h 6179"/>
              <a:gd name="T16" fmla="*/ 7522 w 7863"/>
              <a:gd name="T17" fmla="*/ 2834 h 6179"/>
              <a:gd name="T18" fmla="*/ 7080 w 7863"/>
              <a:gd name="T19" fmla="*/ 3574 h 6179"/>
              <a:gd name="T20" fmla="*/ 6573 w 7863"/>
              <a:gd name="T21" fmla="*/ 4196 h 6179"/>
              <a:gd name="T22" fmla="*/ 5752 w 7863"/>
              <a:gd name="T23" fmla="*/ 4872 h 6179"/>
              <a:gd name="T24" fmla="*/ 4914 w 7863"/>
              <a:gd name="T25" fmla="*/ 5393 h 6179"/>
              <a:gd name="T26" fmla="*/ 4029 w 7863"/>
              <a:gd name="T27" fmla="*/ 5759 h 6179"/>
              <a:gd name="T28" fmla="*/ 3098 w 7863"/>
              <a:gd name="T29" fmla="*/ 6015 h 6179"/>
              <a:gd name="T30" fmla="*/ 2047 w 7863"/>
              <a:gd name="T31" fmla="*/ 6152 h 6179"/>
              <a:gd name="T32" fmla="*/ 1438 w 7863"/>
              <a:gd name="T33" fmla="*/ 6179 h 6179"/>
              <a:gd name="T34" fmla="*/ 1079 w 7863"/>
              <a:gd name="T35" fmla="*/ 6170 h 6179"/>
              <a:gd name="T36" fmla="*/ 747 w 7863"/>
              <a:gd name="T37" fmla="*/ 6134 h 6179"/>
              <a:gd name="T38" fmla="*/ 443 w 7863"/>
              <a:gd name="T39" fmla="*/ 6042 h 6179"/>
              <a:gd name="T40" fmla="*/ 203 w 7863"/>
              <a:gd name="T41" fmla="*/ 5923 h 6179"/>
              <a:gd name="T42" fmla="*/ 28 w 7863"/>
              <a:gd name="T43" fmla="*/ 5740 h 6179"/>
              <a:gd name="T44" fmla="*/ 10 w 7863"/>
              <a:gd name="T45" fmla="*/ 5503 h 6179"/>
              <a:gd name="T46" fmla="*/ 102 w 7863"/>
              <a:gd name="T47" fmla="*/ 5229 h 6179"/>
              <a:gd name="T48" fmla="*/ 259 w 7863"/>
              <a:gd name="T49" fmla="*/ 4991 h 6179"/>
              <a:gd name="T50" fmla="*/ 397 w 7863"/>
              <a:gd name="T51" fmla="*/ 4808 h 6179"/>
              <a:gd name="T52" fmla="*/ 471 w 7863"/>
              <a:gd name="T53" fmla="*/ 4753 h 6179"/>
              <a:gd name="T54" fmla="*/ 544 w 7863"/>
              <a:gd name="T55" fmla="*/ 5000 h 6179"/>
              <a:gd name="T56" fmla="*/ 480 w 7863"/>
              <a:gd name="T57" fmla="*/ 5110 h 6179"/>
              <a:gd name="T58" fmla="*/ 415 w 7863"/>
              <a:gd name="T59" fmla="*/ 5265 h 6179"/>
              <a:gd name="T60" fmla="*/ 378 w 7863"/>
              <a:gd name="T61" fmla="*/ 5457 h 6179"/>
              <a:gd name="T62" fmla="*/ 415 w 7863"/>
              <a:gd name="T63" fmla="*/ 5658 h 6179"/>
              <a:gd name="T64" fmla="*/ 821 w 7863"/>
              <a:gd name="T65" fmla="*/ 5914 h 6179"/>
              <a:gd name="T66" fmla="*/ 1448 w 7863"/>
              <a:gd name="T67" fmla="*/ 6024 h 6179"/>
              <a:gd name="T68" fmla="*/ 2213 w 7863"/>
              <a:gd name="T69" fmla="*/ 5978 h 6179"/>
              <a:gd name="T70" fmla="*/ 3033 w 7863"/>
              <a:gd name="T71" fmla="*/ 5823 h 6179"/>
              <a:gd name="T72" fmla="*/ 3807 w 7863"/>
              <a:gd name="T73" fmla="*/ 5567 h 6179"/>
              <a:gd name="T74" fmla="*/ 4683 w 7863"/>
              <a:gd name="T75" fmla="*/ 5091 h 6179"/>
              <a:gd name="T76" fmla="*/ 5669 w 7863"/>
              <a:gd name="T77" fmla="*/ 4324 h 6179"/>
              <a:gd name="T78" fmla="*/ 6554 w 7863"/>
              <a:gd name="T79" fmla="*/ 3382 h 6179"/>
              <a:gd name="T80" fmla="*/ 7181 w 7863"/>
              <a:gd name="T81" fmla="*/ 2331 h 6179"/>
              <a:gd name="T82" fmla="*/ 7402 w 7863"/>
              <a:gd name="T83" fmla="*/ 1271 h 6179"/>
              <a:gd name="T84" fmla="*/ 7209 w 7863"/>
              <a:gd name="T85" fmla="*/ 475 h 6179"/>
              <a:gd name="T86" fmla="*/ 6941 w 7863"/>
              <a:gd name="T87" fmla="*/ 247 h 6179"/>
              <a:gd name="T88" fmla="*/ 6564 w 7863"/>
              <a:gd name="T89" fmla="*/ 119 h 6179"/>
              <a:gd name="T90" fmla="*/ 6140 w 7863"/>
              <a:gd name="T91" fmla="*/ 101 h 6179"/>
              <a:gd name="T92" fmla="*/ 5679 w 7863"/>
              <a:gd name="T93" fmla="*/ 146 h 6179"/>
              <a:gd name="T94" fmla="*/ 5236 w 7863"/>
              <a:gd name="T95" fmla="*/ 229 h 6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7863" h="6179">
                <a:moveTo>
                  <a:pt x="5089" y="137"/>
                </a:moveTo>
                <a:lnTo>
                  <a:pt x="5236" y="101"/>
                </a:lnTo>
                <a:lnTo>
                  <a:pt x="5393" y="73"/>
                </a:lnTo>
                <a:lnTo>
                  <a:pt x="5550" y="46"/>
                </a:lnTo>
                <a:lnTo>
                  <a:pt x="5706" y="28"/>
                </a:lnTo>
                <a:lnTo>
                  <a:pt x="5863" y="9"/>
                </a:lnTo>
                <a:lnTo>
                  <a:pt x="6029" y="0"/>
                </a:lnTo>
                <a:lnTo>
                  <a:pt x="6186" y="0"/>
                </a:lnTo>
                <a:lnTo>
                  <a:pt x="6352" y="9"/>
                </a:lnTo>
                <a:lnTo>
                  <a:pt x="6499" y="9"/>
                </a:lnTo>
                <a:lnTo>
                  <a:pt x="6647" y="37"/>
                </a:lnTo>
                <a:lnTo>
                  <a:pt x="6794" y="64"/>
                </a:lnTo>
                <a:lnTo>
                  <a:pt x="6932" y="110"/>
                </a:lnTo>
                <a:lnTo>
                  <a:pt x="7061" y="165"/>
                </a:lnTo>
                <a:lnTo>
                  <a:pt x="7190" y="229"/>
                </a:lnTo>
                <a:lnTo>
                  <a:pt x="7310" y="293"/>
                </a:lnTo>
                <a:lnTo>
                  <a:pt x="7430" y="384"/>
                </a:lnTo>
                <a:lnTo>
                  <a:pt x="7587" y="567"/>
                </a:lnTo>
                <a:lnTo>
                  <a:pt x="7716" y="768"/>
                </a:lnTo>
                <a:lnTo>
                  <a:pt x="7799" y="996"/>
                </a:lnTo>
                <a:lnTo>
                  <a:pt x="7854" y="1243"/>
                </a:lnTo>
                <a:lnTo>
                  <a:pt x="7863" y="1490"/>
                </a:lnTo>
                <a:lnTo>
                  <a:pt x="7845" y="1755"/>
                </a:lnTo>
                <a:lnTo>
                  <a:pt x="7799" y="2020"/>
                </a:lnTo>
                <a:lnTo>
                  <a:pt x="7734" y="2294"/>
                </a:lnTo>
                <a:lnTo>
                  <a:pt x="7642" y="2559"/>
                </a:lnTo>
                <a:lnTo>
                  <a:pt x="7522" y="2834"/>
                </a:lnTo>
                <a:lnTo>
                  <a:pt x="7384" y="3090"/>
                </a:lnTo>
                <a:lnTo>
                  <a:pt x="7246" y="3346"/>
                </a:lnTo>
                <a:lnTo>
                  <a:pt x="7080" y="3574"/>
                </a:lnTo>
                <a:lnTo>
                  <a:pt x="6914" y="3812"/>
                </a:lnTo>
                <a:lnTo>
                  <a:pt x="6739" y="4004"/>
                </a:lnTo>
                <a:lnTo>
                  <a:pt x="6573" y="4196"/>
                </a:lnTo>
                <a:lnTo>
                  <a:pt x="6296" y="4433"/>
                </a:lnTo>
                <a:lnTo>
                  <a:pt x="6020" y="4662"/>
                </a:lnTo>
                <a:lnTo>
                  <a:pt x="5752" y="4872"/>
                </a:lnTo>
                <a:lnTo>
                  <a:pt x="5476" y="5064"/>
                </a:lnTo>
                <a:lnTo>
                  <a:pt x="5190" y="5238"/>
                </a:lnTo>
                <a:lnTo>
                  <a:pt x="4914" y="5393"/>
                </a:lnTo>
                <a:lnTo>
                  <a:pt x="4619" y="5521"/>
                </a:lnTo>
                <a:lnTo>
                  <a:pt x="4333" y="5658"/>
                </a:lnTo>
                <a:lnTo>
                  <a:pt x="4029" y="5759"/>
                </a:lnTo>
                <a:lnTo>
                  <a:pt x="3724" y="5859"/>
                </a:lnTo>
                <a:lnTo>
                  <a:pt x="3411" y="5932"/>
                </a:lnTo>
                <a:lnTo>
                  <a:pt x="3098" y="6015"/>
                </a:lnTo>
                <a:lnTo>
                  <a:pt x="2757" y="6070"/>
                </a:lnTo>
                <a:lnTo>
                  <a:pt x="2406" y="6115"/>
                </a:lnTo>
                <a:lnTo>
                  <a:pt x="2047" y="6152"/>
                </a:lnTo>
                <a:lnTo>
                  <a:pt x="1678" y="6179"/>
                </a:lnTo>
                <a:lnTo>
                  <a:pt x="1558" y="6179"/>
                </a:lnTo>
                <a:lnTo>
                  <a:pt x="1438" y="6179"/>
                </a:lnTo>
                <a:lnTo>
                  <a:pt x="1309" y="6179"/>
                </a:lnTo>
                <a:lnTo>
                  <a:pt x="1199" y="6179"/>
                </a:lnTo>
                <a:lnTo>
                  <a:pt x="1079" y="6170"/>
                </a:lnTo>
                <a:lnTo>
                  <a:pt x="959" y="6161"/>
                </a:lnTo>
                <a:lnTo>
                  <a:pt x="848" y="6152"/>
                </a:lnTo>
                <a:lnTo>
                  <a:pt x="747" y="6134"/>
                </a:lnTo>
                <a:lnTo>
                  <a:pt x="636" y="6106"/>
                </a:lnTo>
                <a:lnTo>
                  <a:pt x="544" y="6088"/>
                </a:lnTo>
                <a:lnTo>
                  <a:pt x="443" y="6042"/>
                </a:lnTo>
                <a:lnTo>
                  <a:pt x="369" y="6015"/>
                </a:lnTo>
                <a:lnTo>
                  <a:pt x="277" y="5969"/>
                </a:lnTo>
                <a:lnTo>
                  <a:pt x="203" y="5923"/>
                </a:lnTo>
                <a:lnTo>
                  <a:pt x="129" y="5868"/>
                </a:lnTo>
                <a:lnTo>
                  <a:pt x="83" y="5814"/>
                </a:lnTo>
                <a:lnTo>
                  <a:pt x="28" y="5740"/>
                </a:lnTo>
                <a:lnTo>
                  <a:pt x="0" y="5667"/>
                </a:lnTo>
                <a:lnTo>
                  <a:pt x="0" y="5585"/>
                </a:lnTo>
                <a:lnTo>
                  <a:pt x="10" y="5503"/>
                </a:lnTo>
                <a:lnTo>
                  <a:pt x="19" y="5411"/>
                </a:lnTo>
                <a:lnTo>
                  <a:pt x="65" y="5320"/>
                </a:lnTo>
                <a:lnTo>
                  <a:pt x="102" y="5229"/>
                </a:lnTo>
                <a:lnTo>
                  <a:pt x="157" y="5155"/>
                </a:lnTo>
                <a:lnTo>
                  <a:pt x="203" y="5064"/>
                </a:lnTo>
                <a:lnTo>
                  <a:pt x="259" y="4991"/>
                </a:lnTo>
                <a:lnTo>
                  <a:pt x="305" y="4918"/>
                </a:lnTo>
                <a:lnTo>
                  <a:pt x="360" y="4863"/>
                </a:lnTo>
                <a:lnTo>
                  <a:pt x="397" y="4808"/>
                </a:lnTo>
                <a:lnTo>
                  <a:pt x="434" y="4781"/>
                </a:lnTo>
                <a:lnTo>
                  <a:pt x="461" y="4753"/>
                </a:lnTo>
                <a:lnTo>
                  <a:pt x="471" y="4753"/>
                </a:lnTo>
                <a:lnTo>
                  <a:pt x="600" y="4936"/>
                </a:lnTo>
                <a:lnTo>
                  <a:pt x="581" y="4954"/>
                </a:lnTo>
                <a:lnTo>
                  <a:pt x="544" y="5000"/>
                </a:lnTo>
                <a:lnTo>
                  <a:pt x="526" y="5027"/>
                </a:lnTo>
                <a:lnTo>
                  <a:pt x="507" y="5064"/>
                </a:lnTo>
                <a:lnTo>
                  <a:pt x="480" y="5110"/>
                </a:lnTo>
                <a:lnTo>
                  <a:pt x="461" y="5165"/>
                </a:lnTo>
                <a:lnTo>
                  <a:pt x="434" y="5210"/>
                </a:lnTo>
                <a:lnTo>
                  <a:pt x="415" y="5265"/>
                </a:lnTo>
                <a:lnTo>
                  <a:pt x="397" y="5329"/>
                </a:lnTo>
                <a:lnTo>
                  <a:pt x="397" y="5393"/>
                </a:lnTo>
                <a:lnTo>
                  <a:pt x="378" y="5457"/>
                </a:lnTo>
                <a:lnTo>
                  <a:pt x="388" y="5521"/>
                </a:lnTo>
                <a:lnTo>
                  <a:pt x="397" y="5585"/>
                </a:lnTo>
                <a:lnTo>
                  <a:pt x="415" y="5658"/>
                </a:lnTo>
                <a:lnTo>
                  <a:pt x="517" y="5759"/>
                </a:lnTo>
                <a:lnTo>
                  <a:pt x="655" y="5850"/>
                </a:lnTo>
                <a:lnTo>
                  <a:pt x="821" y="5914"/>
                </a:lnTo>
                <a:lnTo>
                  <a:pt x="1014" y="5978"/>
                </a:lnTo>
                <a:lnTo>
                  <a:pt x="1226" y="6006"/>
                </a:lnTo>
                <a:lnTo>
                  <a:pt x="1448" y="6024"/>
                </a:lnTo>
                <a:lnTo>
                  <a:pt x="1697" y="6024"/>
                </a:lnTo>
                <a:lnTo>
                  <a:pt x="1955" y="6015"/>
                </a:lnTo>
                <a:lnTo>
                  <a:pt x="2213" y="5978"/>
                </a:lnTo>
                <a:lnTo>
                  <a:pt x="2480" y="5942"/>
                </a:lnTo>
                <a:lnTo>
                  <a:pt x="2747" y="5887"/>
                </a:lnTo>
                <a:lnTo>
                  <a:pt x="3033" y="5823"/>
                </a:lnTo>
                <a:lnTo>
                  <a:pt x="3291" y="5740"/>
                </a:lnTo>
                <a:lnTo>
                  <a:pt x="3549" y="5658"/>
                </a:lnTo>
                <a:lnTo>
                  <a:pt x="3807" y="5567"/>
                </a:lnTo>
                <a:lnTo>
                  <a:pt x="4047" y="5466"/>
                </a:lnTo>
                <a:lnTo>
                  <a:pt x="4360" y="5293"/>
                </a:lnTo>
                <a:lnTo>
                  <a:pt x="4683" y="5091"/>
                </a:lnTo>
                <a:lnTo>
                  <a:pt x="5015" y="4854"/>
                </a:lnTo>
                <a:lnTo>
                  <a:pt x="5347" y="4607"/>
                </a:lnTo>
                <a:lnTo>
                  <a:pt x="5669" y="4324"/>
                </a:lnTo>
                <a:lnTo>
                  <a:pt x="5983" y="4022"/>
                </a:lnTo>
                <a:lnTo>
                  <a:pt x="6278" y="3711"/>
                </a:lnTo>
                <a:lnTo>
                  <a:pt x="6554" y="3382"/>
                </a:lnTo>
                <a:lnTo>
                  <a:pt x="6794" y="3035"/>
                </a:lnTo>
                <a:lnTo>
                  <a:pt x="7015" y="2687"/>
                </a:lnTo>
                <a:lnTo>
                  <a:pt x="7181" y="2331"/>
                </a:lnTo>
                <a:lnTo>
                  <a:pt x="7310" y="1974"/>
                </a:lnTo>
                <a:lnTo>
                  <a:pt x="7384" y="1618"/>
                </a:lnTo>
                <a:lnTo>
                  <a:pt x="7402" y="1271"/>
                </a:lnTo>
                <a:lnTo>
                  <a:pt x="7366" y="923"/>
                </a:lnTo>
                <a:lnTo>
                  <a:pt x="7273" y="594"/>
                </a:lnTo>
                <a:lnTo>
                  <a:pt x="7209" y="475"/>
                </a:lnTo>
                <a:lnTo>
                  <a:pt x="7135" y="384"/>
                </a:lnTo>
                <a:lnTo>
                  <a:pt x="7034" y="302"/>
                </a:lnTo>
                <a:lnTo>
                  <a:pt x="6941" y="247"/>
                </a:lnTo>
                <a:lnTo>
                  <a:pt x="6822" y="183"/>
                </a:lnTo>
                <a:lnTo>
                  <a:pt x="6702" y="146"/>
                </a:lnTo>
                <a:lnTo>
                  <a:pt x="6564" y="119"/>
                </a:lnTo>
                <a:lnTo>
                  <a:pt x="6435" y="110"/>
                </a:lnTo>
                <a:lnTo>
                  <a:pt x="6287" y="101"/>
                </a:lnTo>
                <a:lnTo>
                  <a:pt x="6140" y="101"/>
                </a:lnTo>
                <a:lnTo>
                  <a:pt x="5983" y="101"/>
                </a:lnTo>
                <a:lnTo>
                  <a:pt x="5835" y="119"/>
                </a:lnTo>
                <a:lnTo>
                  <a:pt x="5679" y="146"/>
                </a:lnTo>
                <a:lnTo>
                  <a:pt x="5531" y="165"/>
                </a:lnTo>
                <a:lnTo>
                  <a:pt x="5374" y="192"/>
                </a:lnTo>
                <a:lnTo>
                  <a:pt x="5236" y="229"/>
                </a:lnTo>
                <a:lnTo>
                  <a:pt x="5089" y="13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6" name="Freeform 108">
            <a:extLst>
              <a:ext uri="{FF2B5EF4-FFF2-40B4-BE49-F238E27FC236}">
                <a16:creationId xmlns="" xmlns:a16="http://schemas.microsoft.com/office/drawing/2014/main" id="{00000000-0008-0000-0000-00002E000000}"/>
              </a:ext>
            </a:extLst>
          </xdr:cNvPr>
          <xdr:cNvSpPr>
            <a:spLocks/>
          </xdr:cNvSpPr>
        </xdr:nvSpPr>
        <xdr:spPr bwMode="auto">
          <a:xfrm>
            <a:off x="113019" y="334297"/>
            <a:ext cx="143296" cy="110639"/>
          </a:xfrm>
          <a:custGeom>
            <a:avLst/>
            <a:gdLst>
              <a:gd name="T0" fmla="*/ 92 w 1788"/>
              <a:gd name="T1" fmla="*/ 1079 h 1381"/>
              <a:gd name="T2" fmla="*/ 129 w 1788"/>
              <a:gd name="T3" fmla="*/ 997 h 1381"/>
              <a:gd name="T4" fmla="*/ 175 w 1788"/>
              <a:gd name="T5" fmla="*/ 942 h 1381"/>
              <a:gd name="T6" fmla="*/ 221 w 1788"/>
              <a:gd name="T7" fmla="*/ 878 h 1381"/>
              <a:gd name="T8" fmla="*/ 267 w 1788"/>
              <a:gd name="T9" fmla="*/ 823 h 1381"/>
              <a:gd name="T10" fmla="*/ 304 w 1788"/>
              <a:gd name="T11" fmla="*/ 768 h 1381"/>
              <a:gd name="T12" fmla="*/ 359 w 1788"/>
              <a:gd name="T13" fmla="*/ 713 h 1381"/>
              <a:gd name="T14" fmla="*/ 405 w 1788"/>
              <a:gd name="T15" fmla="*/ 659 h 1381"/>
              <a:gd name="T16" fmla="*/ 451 w 1788"/>
              <a:gd name="T17" fmla="*/ 613 h 1381"/>
              <a:gd name="T18" fmla="*/ 497 w 1788"/>
              <a:gd name="T19" fmla="*/ 558 h 1381"/>
              <a:gd name="T20" fmla="*/ 553 w 1788"/>
              <a:gd name="T21" fmla="*/ 521 h 1381"/>
              <a:gd name="T22" fmla="*/ 599 w 1788"/>
              <a:gd name="T23" fmla="*/ 467 h 1381"/>
              <a:gd name="T24" fmla="*/ 663 w 1788"/>
              <a:gd name="T25" fmla="*/ 430 h 1381"/>
              <a:gd name="T26" fmla="*/ 709 w 1788"/>
              <a:gd name="T27" fmla="*/ 375 h 1381"/>
              <a:gd name="T28" fmla="*/ 774 w 1788"/>
              <a:gd name="T29" fmla="*/ 330 h 1381"/>
              <a:gd name="T30" fmla="*/ 839 w 1788"/>
              <a:gd name="T31" fmla="*/ 284 h 1381"/>
              <a:gd name="T32" fmla="*/ 912 w 1788"/>
              <a:gd name="T33" fmla="*/ 247 h 1381"/>
              <a:gd name="T34" fmla="*/ 958 w 1788"/>
              <a:gd name="T35" fmla="*/ 211 h 1381"/>
              <a:gd name="T36" fmla="*/ 1014 w 1788"/>
              <a:gd name="T37" fmla="*/ 174 h 1381"/>
              <a:gd name="T38" fmla="*/ 1060 w 1788"/>
              <a:gd name="T39" fmla="*/ 147 h 1381"/>
              <a:gd name="T40" fmla="*/ 1115 w 1788"/>
              <a:gd name="T41" fmla="*/ 128 h 1381"/>
              <a:gd name="T42" fmla="*/ 1170 w 1788"/>
              <a:gd name="T43" fmla="*/ 101 h 1381"/>
              <a:gd name="T44" fmla="*/ 1216 w 1788"/>
              <a:gd name="T45" fmla="*/ 83 h 1381"/>
              <a:gd name="T46" fmla="*/ 1272 w 1788"/>
              <a:gd name="T47" fmla="*/ 64 h 1381"/>
              <a:gd name="T48" fmla="*/ 1318 w 1788"/>
              <a:gd name="T49" fmla="*/ 46 h 1381"/>
              <a:gd name="T50" fmla="*/ 1364 w 1788"/>
              <a:gd name="T51" fmla="*/ 28 h 1381"/>
              <a:gd name="T52" fmla="*/ 1410 w 1788"/>
              <a:gd name="T53" fmla="*/ 19 h 1381"/>
              <a:gd name="T54" fmla="*/ 1456 w 1788"/>
              <a:gd name="T55" fmla="*/ 10 h 1381"/>
              <a:gd name="T56" fmla="*/ 1493 w 1788"/>
              <a:gd name="T57" fmla="*/ 10 h 1381"/>
              <a:gd name="T58" fmla="*/ 1530 w 1788"/>
              <a:gd name="T59" fmla="*/ 0 h 1381"/>
              <a:gd name="T60" fmla="*/ 1567 w 1788"/>
              <a:gd name="T61" fmla="*/ 0 h 1381"/>
              <a:gd name="T62" fmla="*/ 1594 w 1788"/>
              <a:gd name="T63" fmla="*/ 0 h 1381"/>
              <a:gd name="T64" fmla="*/ 1631 w 1788"/>
              <a:gd name="T65" fmla="*/ 10 h 1381"/>
              <a:gd name="T66" fmla="*/ 1788 w 1788"/>
              <a:gd name="T67" fmla="*/ 302 h 1381"/>
              <a:gd name="T68" fmla="*/ 1770 w 1788"/>
              <a:gd name="T69" fmla="*/ 302 h 1381"/>
              <a:gd name="T70" fmla="*/ 1733 w 1788"/>
              <a:gd name="T71" fmla="*/ 311 h 1381"/>
              <a:gd name="T72" fmla="*/ 1677 w 1788"/>
              <a:gd name="T73" fmla="*/ 330 h 1381"/>
              <a:gd name="T74" fmla="*/ 1604 w 1788"/>
              <a:gd name="T75" fmla="*/ 357 h 1381"/>
              <a:gd name="T76" fmla="*/ 1511 w 1788"/>
              <a:gd name="T77" fmla="*/ 384 h 1381"/>
              <a:gd name="T78" fmla="*/ 1410 w 1788"/>
              <a:gd name="T79" fmla="*/ 421 h 1381"/>
              <a:gd name="T80" fmla="*/ 1299 w 1788"/>
              <a:gd name="T81" fmla="*/ 467 h 1381"/>
              <a:gd name="T82" fmla="*/ 1180 w 1788"/>
              <a:gd name="T83" fmla="*/ 521 h 1381"/>
              <a:gd name="T84" fmla="*/ 1051 w 1788"/>
              <a:gd name="T85" fmla="*/ 585 h 1381"/>
              <a:gd name="T86" fmla="*/ 921 w 1788"/>
              <a:gd name="T87" fmla="*/ 659 h 1381"/>
              <a:gd name="T88" fmla="*/ 792 w 1788"/>
              <a:gd name="T89" fmla="*/ 732 h 1381"/>
              <a:gd name="T90" fmla="*/ 673 w 1788"/>
              <a:gd name="T91" fmla="*/ 832 h 1381"/>
              <a:gd name="T92" fmla="*/ 544 w 1788"/>
              <a:gd name="T93" fmla="*/ 933 h 1381"/>
              <a:gd name="T94" fmla="*/ 433 w 1788"/>
              <a:gd name="T95" fmla="*/ 1042 h 1381"/>
              <a:gd name="T96" fmla="*/ 332 w 1788"/>
              <a:gd name="T97" fmla="*/ 1170 h 1381"/>
              <a:gd name="T98" fmla="*/ 249 w 1788"/>
              <a:gd name="T99" fmla="*/ 1308 h 1381"/>
              <a:gd name="T100" fmla="*/ 202 w 1788"/>
              <a:gd name="T101" fmla="*/ 1344 h 1381"/>
              <a:gd name="T102" fmla="*/ 156 w 1788"/>
              <a:gd name="T103" fmla="*/ 1362 h 1381"/>
              <a:gd name="T104" fmla="*/ 101 w 1788"/>
              <a:gd name="T105" fmla="*/ 1381 h 1381"/>
              <a:gd name="T106" fmla="*/ 55 w 1788"/>
              <a:gd name="T107" fmla="*/ 1372 h 1381"/>
              <a:gd name="T108" fmla="*/ 9 w 1788"/>
              <a:gd name="T109" fmla="*/ 1335 h 1381"/>
              <a:gd name="T110" fmla="*/ 0 w 1788"/>
              <a:gd name="T111" fmla="*/ 1280 h 1381"/>
              <a:gd name="T112" fmla="*/ 0 w 1788"/>
              <a:gd name="T113" fmla="*/ 1234 h 1381"/>
              <a:gd name="T114" fmla="*/ 18 w 1788"/>
              <a:gd name="T115" fmla="*/ 1189 h 1381"/>
              <a:gd name="T116" fmla="*/ 46 w 1788"/>
              <a:gd name="T117" fmla="*/ 1134 h 1381"/>
              <a:gd name="T118" fmla="*/ 92 w 1788"/>
              <a:gd name="T119" fmla="*/ 1079 h 1381"/>
              <a:gd name="T120" fmla="*/ 92 w 1788"/>
              <a:gd name="T121" fmla="*/ 1079 h 1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88" h="1381">
                <a:moveTo>
                  <a:pt x="92" y="1079"/>
                </a:moveTo>
                <a:lnTo>
                  <a:pt x="129" y="997"/>
                </a:lnTo>
                <a:lnTo>
                  <a:pt x="175" y="942"/>
                </a:lnTo>
                <a:lnTo>
                  <a:pt x="221" y="878"/>
                </a:lnTo>
                <a:lnTo>
                  <a:pt x="267" y="823"/>
                </a:lnTo>
                <a:lnTo>
                  <a:pt x="304" y="768"/>
                </a:lnTo>
                <a:lnTo>
                  <a:pt x="359" y="713"/>
                </a:lnTo>
                <a:lnTo>
                  <a:pt x="405" y="659"/>
                </a:lnTo>
                <a:lnTo>
                  <a:pt x="451" y="613"/>
                </a:lnTo>
                <a:lnTo>
                  <a:pt x="497" y="558"/>
                </a:lnTo>
                <a:lnTo>
                  <a:pt x="553" y="521"/>
                </a:lnTo>
                <a:lnTo>
                  <a:pt x="599" y="467"/>
                </a:lnTo>
                <a:lnTo>
                  <a:pt x="663" y="430"/>
                </a:lnTo>
                <a:lnTo>
                  <a:pt x="709" y="375"/>
                </a:lnTo>
                <a:lnTo>
                  <a:pt x="774" y="330"/>
                </a:lnTo>
                <a:lnTo>
                  <a:pt x="839" y="284"/>
                </a:lnTo>
                <a:lnTo>
                  <a:pt x="912" y="247"/>
                </a:lnTo>
                <a:lnTo>
                  <a:pt x="958" y="211"/>
                </a:lnTo>
                <a:lnTo>
                  <a:pt x="1014" y="174"/>
                </a:lnTo>
                <a:lnTo>
                  <a:pt x="1060" y="147"/>
                </a:lnTo>
                <a:lnTo>
                  <a:pt x="1115" y="128"/>
                </a:lnTo>
                <a:lnTo>
                  <a:pt x="1170" y="101"/>
                </a:lnTo>
                <a:lnTo>
                  <a:pt x="1216" y="83"/>
                </a:lnTo>
                <a:lnTo>
                  <a:pt x="1272" y="64"/>
                </a:lnTo>
                <a:lnTo>
                  <a:pt x="1318" y="46"/>
                </a:lnTo>
                <a:lnTo>
                  <a:pt x="1364" y="28"/>
                </a:lnTo>
                <a:lnTo>
                  <a:pt x="1410" y="19"/>
                </a:lnTo>
                <a:lnTo>
                  <a:pt x="1456" y="10"/>
                </a:lnTo>
                <a:lnTo>
                  <a:pt x="1493" y="10"/>
                </a:lnTo>
                <a:lnTo>
                  <a:pt x="1530" y="0"/>
                </a:lnTo>
                <a:lnTo>
                  <a:pt x="1567" y="0"/>
                </a:lnTo>
                <a:lnTo>
                  <a:pt x="1594" y="0"/>
                </a:lnTo>
                <a:lnTo>
                  <a:pt x="1631" y="10"/>
                </a:lnTo>
                <a:lnTo>
                  <a:pt x="1788" y="302"/>
                </a:lnTo>
                <a:lnTo>
                  <a:pt x="1770" y="302"/>
                </a:lnTo>
                <a:lnTo>
                  <a:pt x="1733" y="311"/>
                </a:lnTo>
                <a:lnTo>
                  <a:pt x="1677" y="330"/>
                </a:lnTo>
                <a:lnTo>
                  <a:pt x="1604" y="357"/>
                </a:lnTo>
                <a:lnTo>
                  <a:pt x="1511" y="384"/>
                </a:lnTo>
                <a:lnTo>
                  <a:pt x="1410" y="421"/>
                </a:lnTo>
                <a:lnTo>
                  <a:pt x="1299" y="467"/>
                </a:lnTo>
                <a:lnTo>
                  <a:pt x="1180" y="521"/>
                </a:lnTo>
                <a:lnTo>
                  <a:pt x="1051" y="585"/>
                </a:lnTo>
                <a:lnTo>
                  <a:pt x="921" y="659"/>
                </a:lnTo>
                <a:lnTo>
                  <a:pt x="792" y="732"/>
                </a:lnTo>
                <a:lnTo>
                  <a:pt x="673" y="832"/>
                </a:lnTo>
                <a:lnTo>
                  <a:pt x="544" y="933"/>
                </a:lnTo>
                <a:lnTo>
                  <a:pt x="433" y="1042"/>
                </a:lnTo>
                <a:lnTo>
                  <a:pt x="332" y="1170"/>
                </a:lnTo>
                <a:lnTo>
                  <a:pt x="249" y="1308"/>
                </a:lnTo>
                <a:lnTo>
                  <a:pt x="202" y="1344"/>
                </a:lnTo>
                <a:lnTo>
                  <a:pt x="156" y="1362"/>
                </a:lnTo>
                <a:lnTo>
                  <a:pt x="101" y="1381"/>
                </a:lnTo>
                <a:lnTo>
                  <a:pt x="55" y="1372"/>
                </a:lnTo>
                <a:lnTo>
                  <a:pt x="9" y="1335"/>
                </a:lnTo>
                <a:lnTo>
                  <a:pt x="0" y="1280"/>
                </a:lnTo>
                <a:lnTo>
                  <a:pt x="0" y="1234"/>
                </a:lnTo>
                <a:lnTo>
                  <a:pt x="18" y="1189"/>
                </a:lnTo>
                <a:lnTo>
                  <a:pt x="46" y="1134"/>
                </a:lnTo>
                <a:lnTo>
                  <a:pt x="92" y="1079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7" name="Freeform 109">
            <a:extLst>
              <a:ext uri="{FF2B5EF4-FFF2-40B4-BE49-F238E27FC236}">
                <a16:creationId xmlns="" xmlns:a16="http://schemas.microsoft.com/office/drawing/2014/main" id="{00000000-0008-0000-0000-00002F000000}"/>
              </a:ext>
            </a:extLst>
          </xdr:cNvPr>
          <xdr:cNvSpPr>
            <a:spLocks/>
          </xdr:cNvSpPr>
        </xdr:nvSpPr>
        <xdr:spPr bwMode="auto">
          <a:xfrm>
            <a:off x="67930" y="269995"/>
            <a:ext cx="308066" cy="129495"/>
          </a:xfrm>
          <a:custGeom>
            <a:avLst/>
            <a:gdLst>
              <a:gd name="T0" fmla="*/ 0 w 3844"/>
              <a:gd name="T1" fmla="*/ 1618 h 1618"/>
              <a:gd name="T2" fmla="*/ 461 w 3844"/>
              <a:gd name="T3" fmla="*/ 932 h 1618"/>
              <a:gd name="T4" fmla="*/ 2747 w 3844"/>
              <a:gd name="T5" fmla="*/ 932 h 1618"/>
              <a:gd name="T6" fmla="*/ 3669 w 3844"/>
              <a:gd name="T7" fmla="*/ 18 h 1618"/>
              <a:gd name="T8" fmla="*/ 3844 w 3844"/>
              <a:gd name="T9" fmla="*/ 0 h 1618"/>
              <a:gd name="T10" fmla="*/ 2793 w 3844"/>
              <a:gd name="T11" fmla="*/ 1042 h 1618"/>
              <a:gd name="T12" fmla="*/ 535 w 3844"/>
              <a:gd name="T13" fmla="*/ 1042 h 1618"/>
              <a:gd name="T14" fmla="*/ 166 w 3844"/>
              <a:gd name="T15" fmla="*/ 1618 h 1618"/>
              <a:gd name="T16" fmla="*/ 0 w 3844"/>
              <a:gd name="T17" fmla="*/ 1618 h 1618"/>
              <a:gd name="T18" fmla="*/ 0 w 3844"/>
              <a:gd name="T19" fmla="*/ 1618 h 16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844" h="1618">
                <a:moveTo>
                  <a:pt x="0" y="1618"/>
                </a:moveTo>
                <a:lnTo>
                  <a:pt x="461" y="932"/>
                </a:lnTo>
                <a:lnTo>
                  <a:pt x="2747" y="932"/>
                </a:lnTo>
                <a:lnTo>
                  <a:pt x="3669" y="18"/>
                </a:lnTo>
                <a:lnTo>
                  <a:pt x="3844" y="0"/>
                </a:lnTo>
                <a:lnTo>
                  <a:pt x="2793" y="1042"/>
                </a:lnTo>
                <a:lnTo>
                  <a:pt x="535" y="1042"/>
                </a:lnTo>
                <a:lnTo>
                  <a:pt x="166" y="1618"/>
                </a:lnTo>
                <a:lnTo>
                  <a:pt x="0" y="1618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Freeform 110">
            <a:extLst>
              <a:ext uri="{FF2B5EF4-FFF2-40B4-BE49-F238E27FC236}">
                <a16:creationId xmlns="" xmlns:a16="http://schemas.microsoft.com/office/drawing/2014/main" id="{00000000-0008-0000-0000-000030000000}"/>
              </a:ext>
            </a:extLst>
          </xdr:cNvPr>
          <xdr:cNvSpPr>
            <a:spLocks/>
          </xdr:cNvSpPr>
        </xdr:nvSpPr>
        <xdr:spPr bwMode="auto">
          <a:xfrm>
            <a:off x="33251" y="271423"/>
            <a:ext cx="301404" cy="128068"/>
          </a:xfrm>
          <a:custGeom>
            <a:avLst/>
            <a:gdLst>
              <a:gd name="T0" fmla="*/ 0 w 3761"/>
              <a:gd name="T1" fmla="*/ 1600 h 1600"/>
              <a:gd name="T2" fmla="*/ 553 w 3761"/>
              <a:gd name="T3" fmla="*/ 759 h 1600"/>
              <a:gd name="T4" fmla="*/ 2839 w 3761"/>
              <a:gd name="T5" fmla="*/ 759 h 1600"/>
              <a:gd name="T6" fmla="*/ 3604 w 3761"/>
              <a:gd name="T7" fmla="*/ 0 h 1600"/>
              <a:gd name="T8" fmla="*/ 3761 w 3761"/>
              <a:gd name="T9" fmla="*/ 0 h 1600"/>
              <a:gd name="T10" fmla="*/ 2885 w 3761"/>
              <a:gd name="T11" fmla="*/ 869 h 1600"/>
              <a:gd name="T12" fmla="*/ 655 w 3761"/>
              <a:gd name="T13" fmla="*/ 869 h 1600"/>
              <a:gd name="T14" fmla="*/ 157 w 3761"/>
              <a:gd name="T15" fmla="*/ 1600 h 1600"/>
              <a:gd name="T16" fmla="*/ 0 w 3761"/>
              <a:gd name="T17" fmla="*/ 1600 h 1600"/>
              <a:gd name="T18" fmla="*/ 0 w 3761"/>
              <a:gd name="T19" fmla="*/ 1600 h 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761" h="1600">
                <a:moveTo>
                  <a:pt x="0" y="1600"/>
                </a:moveTo>
                <a:lnTo>
                  <a:pt x="553" y="759"/>
                </a:lnTo>
                <a:lnTo>
                  <a:pt x="2839" y="759"/>
                </a:lnTo>
                <a:lnTo>
                  <a:pt x="3604" y="0"/>
                </a:lnTo>
                <a:lnTo>
                  <a:pt x="3761" y="0"/>
                </a:lnTo>
                <a:lnTo>
                  <a:pt x="2885" y="869"/>
                </a:lnTo>
                <a:lnTo>
                  <a:pt x="655" y="869"/>
                </a:lnTo>
                <a:lnTo>
                  <a:pt x="157" y="1600"/>
                </a:lnTo>
                <a:lnTo>
                  <a:pt x="0" y="1600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Freeform 111">
            <a:extLst>
              <a:ext uri="{FF2B5EF4-FFF2-40B4-BE49-F238E27FC236}">
                <a16:creationId xmlns="" xmlns:a16="http://schemas.microsoft.com/office/drawing/2014/main" id="{00000000-0008-0000-0000-000031000000}"/>
              </a:ext>
            </a:extLst>
          </xdr:cNvPr>
          <xdr:cNvSpPr>
            <a:spLocks/>
          </xdr:cNvSpPr>
        </xdr:nvSpPr>
        <xdr:spPr bwMode="auto">
          <a:xfrm>
            <a:off x="317583" y="266307"/>
            <a:ext cx="13324" cy="13919"/>
          </a:xfrm>
          <a:custGeom>
            <a:avLst/>
            <a:gdLst>
              <a:gd name="T0" fmla="*/ 83 w 166"/>
              <a:gd name="T1" fmla="*/ 174 h 174"/>
              <a:gd name="T2" fmla="*/ 138 w 166"/>
              <a:gd name="T3" fmla="*/ 147 h 174"/>
              <a:gd name="T4" fmla="*/ 166 w 166"/>
              <a:gd name="T5" fmla="*/ 92 h 174"/>
              <a:gd name="T6" fmla="*/ 138 w 166"/>
              <a:gd name="T7" fmla="*/ 28 h 174"/>
              <a:gd name="T8" fmla="*/ 83 w 166"/>
              <a:gd name="T9" fmla="*/ 0 h 174"/>
              <a:gd name="T10" fmla="*/ 18 w 166"/>
              <a:gd name="T11" fmla="*/ 28 h 174"/>
              <a:gd name="T12" fmla="*/ 0 w 166"/>
              <a:gd name="T13" fmla="*/ 92 h 174"/>
              <a:gd name="T14" fmla="*/ 18 w 166"/>
              <a:gd name="T15" fmla="*/ 147 h 174"/>
              <a:gd name="T16" fmla="*/ 83 w 166"/>
              <a:gd name="T17" fmla="*/ 174 h 174"/>
              <a:gd name="T18" fmla="*/ 83 w 16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66" h="174">
                <a:moveTo>
                  <a:pt x="83" y="174"/>
                </a:moveTo>
                <a:lnTo>
                  <a:pt x="138" y="147"/>
                </a:lnTo>
                <a:lnTo>
                  <a:pt x="166" y="92"/>
                </a:lnTo>
                <a:lnTo>
                  <a:pt x="138" y="28"/>
                </a:lnTo>
                <a:lnTo>
                  <a:pt x="83" y="0"/>
                </a:lnTo>
                <a:lnTo>
                  <a:pt x="18" y="28"/>
                </a:lnTo>
                <a:lnTo>
                  <a:pt x="0" y="92"/>
                </a:lnTo>
                <a:lnTo>
                  <a:pt x="18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0" name="Freeform 112">
            <a:extLst>
              <a:ext uri="{FF2B5EF4-FFF2-40B4-BE49-F238E27FC236}">
                <a16:creationId xmlns="" xmlns:a16="http://schemas.microsoft.com/office/drawing/2014/main" id="{00000000-0008-0000-0000-000032000000}"/>
              </a:ext>
            </a:extLst>
          </xdr:cNvPr>
          <xdr:cNvSpPr>
            <a:spLocks/>
          </xdr:cNvSpPr>
        </xdr:nvSpPr>
        <xdr:spPr bwMode="auto">
          <a:xfrm>
            <a:off x="358924" y="267080"/>
            <a:ext cx="13324" cy="13146"/>
          </a:xfrm>
          <a:custGeom>
            <a:avLst/>
            <a:gdLst>
              <a:gd name="T0" fmla="*/ 83 w 166"/>
              <a:gd name="T1" fmla="*/ 165 h 165"/>
              <a:gd name="T2" fmla="*/ 111 w 166"/>
              <a:gd name="T3" fmla="*/ 156 h 165"/>
              <a:gd name="T4" fmla="*/ 139 w 166"/>
              <a:gd name="T5" fmla="*/ 147 h 165"/>
              <a:gd name="T6" fmla="*/ 148 w 166"/>
              <a:gd name="T7" fmla="*/ 110 h 165"/>
              <a:gd name="T8" fmla="*/ 166 w 166"/>
              <a:gd name="T9" fmla="*/ 83 h 165"/>
              <a:gd name="T10" fmla="*/ 148 w 166"/>
              <a:gd name="T11" fmla="*/ 46 h 165"/>
              <a:gd name="T12" fmla="*/ 139 w 166"/>
              <a:gd name="T13" fmla="*/ 19 h 165"/>
              <a:gd name="T14" fmla="*/ 111 w 166"/>
              <a:gd name="T15" fmla="*/ 0 h 165"/>
              <a:gd name="T16" fmla="*/ 83 w 166"/>
              <a:gd name="T17" fmla="*/ 0 h 165"/>
              <a:gd name="T18" fmla="*/ 37 w 166"/>
              <a:gd name="T19" fmla="*/ 0 h 165"/>
              <a:gd name="T20" fmla="*/ 19 w 166"/>
              <a:gd name="T21" fmla="*/ 19 h 165"/>
              <a:gd name="T22" fmla="*/ 0 w 166"/>
              <a:gd name="T23" fmla="*/ 46 h 165"/>
              <a:gd name="T24" fmla="*/ 0 w 166"/>
              <a:gd name="T25" fmla="*/ 83 h 165"/>
              <a:gd name="T26" fmla="*/ 19 w 166"/>
              <a:gd name="T27" fmla="*/ 147 h 165"/>
              <a:gd name="T28" fmla="*/ 83 w 166"/>
              <a:gd name="T29" fmla="*/ 165 h 165"/>
              <a:gd name="T30" fmla="*/ 83 w 166"/>
              <a:gd name="T31" fmla="*/ 165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66" h="165">
                <a:moveTo>
                  <a:pt x="83" y="165"/>
                </a:moveTo>
                <a:lnTo>
                  <a:pt x="111" y="156"/>
                </a:lnTo>
                <a:lnTo>
                  <a:pt x="139" y="147"/>
                </a:lnTo>
                <a:lnTo>
                  <a:pt x="148" y="110"/>
                </a:lnTo>
                <a:lnTo>
                  <a:pt x="166" y="83"/>
                </a:lnTo>
                <a:lnTo>
                  <a:pt x="148" y="46"/>
                </a:lnTo>
                <a:lnTo>
                  <a:pt x="139" y="19"/>
                </a:lnTo>
                <a:lnTo>
                  <a:pt x="111" y="0"/>
                </a:lnTo>
                <a:lnTo>
                  <a:pt x="83" y="0"/>
                </a:lnTo>
                <a:lnTo>
                  <a:pt x="37" y="0"/>
                </a:lnTo>
                <a:lnTo>
                  <a:pt x="19" y="19"/>
                </a:lnTo>
                <a:lnTo>
                  <a:pt x="0" y="46"/>
                </a:lnTo>
                <a:lnTo>
                  <a:pt x="0" y="83"/>
                </a:lnTo>
                <a:lnTo>
                  <a:pt x="19" y="147"/>
                </a:lnTo>
                <a:lnTo>
                  <a:pt x="83" y="165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51" name="Line 157">
            <a:extLst>
              <a:ext uri="{FF2B5EF4-FFF2-40B4-BE49-F238E27FC236}">
                <a16:creationId xmlns="" xmlns:a16="http://schemas.microsoft.com/office/drawing/2014/main" id="{00000000-0008-0000-0000-000033000000}"/>
              </a:ext>
            </a:extLst>
          </xdr:cNvPr>
          <xdr:cNvCxnSpPr/>
        </xdr:nvCxnSpPr>
        <xdr:spPr bwMode="auto">
          <a:xfrm flipV="1">
            <a:off x="492524" y="139191"/>
            <a:ext cx="149720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2" name="Line 156">
            <a:extLst>
              <a:ext uri="{FF2B5EF4-FFF2-40B4-BE49-F238E27FC236}">
                <a16:creationId xmlns="" xmlns:a16="http://schemas.microsoft.com/office/drawing/2014/main" id="{00000000-0008-0000-0000-000034000000}"/>
              </a:ext>
            </a:extLst>
          </xdr:cNvPr>
          <xdr:cNvCxnSpPr/>
        </xdr:nvCxnSpPr>
        <xdr:spPr bwMode="auto">
          <a:xfrm flipH="1" flipV="1">
            <a:off x="385454" y="235554"/>
            <a:ext cx="107189" cy="28908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3" name="Line 158">
            <a:extLst>
              <a:ext uri="{FF2B5EF4-FFF2-40B4-BE49-F238E27FC236}">
                <a16:creationId xmlns="" xmlns:a16="http://schemas.microsoft.com/office/drawing/2014/main" id="{00000000-0008-0000-0000-000035000000}"/>
              </a:ext>
            </a:extLst>
          </xdr:cNvPr>
          <xdr:cNvCxnSpPr/>
        </xdr:nvCxnSpPr>
        <xdr:spPr bwMode="auto">
          <a:xfrm flipV="1">
            <a:off x="278383" y="235554"/>
            <a:ext cx="107011" cy="28914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4" name="Line 154">
            <a:extLst>
              <a:ext uri="{FF2B5EF4-FFF2-40B4-BE49-F238E27FC236}">
                <a16:creationId xmlns="" xmlns:a16="http://schemas.microsoft.com/office/drawing/2014/main" id="{00000000-0008-0000-0000-000036000000}"/>
              </a:ext>
            </a:extLst>
          </xdr:cNvPr>
          <xdr:cNvCxnSpPr/>
        </xdr:nvCxnSpPr>
        <xdr:spPr bwMode="auto">
          <a:xfrm flipH="1" flipV="1">
            <a:off x="139192" y="139191"/>
            <a:ext cx="139192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5" name="Line 160">
            <a:extLst>
              <a:ext uri="{FF2B5EF4-FFF2-40B4-BE49-F238E27FC236}">
                <a16:creationId xmlns="" xmlns:a16="http://schemas.microsoft.com/office/drawing/2014/main" id="{00000000-0008-0000-0000-000037000000}"/>
              </a:ext>
            </a:extLst>
          </xdr:cNvPr>
          <xdr:cNvCxnSpPr/>
        </xdr:nvCxnSpPr>
        <xdr:spPr bwMode="auto">
          <a:xfrm flipV="1">
            <a:off x="278383" y="139191"/>
            <a:ext cx="10707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" name="Line 159">
            <a:extLst>
              <a:ext uri="{FF2B5EF4-FFF2-40B4-BE49-F238E27FC236}">
                <a16:creationId xmlns="" xmlns:a16="http://schemas.microsoft.com/office/drawing/2014/main" id="{00000000-0008-0000-0000-000038000000}"/>
              </a:ext>
            </a:extLst>
          </xdr:cNvPr>
          <xdr:cNvCxnSpPr/>
        </xdr:nvCxnSpPr>
        <xdr:spPr bwMode="auto">
          <a:xfrm flipH="1" flipV="1">
            <a:off x="171313" y="139191"/>
            <a:ext cx="10701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161">
            <a:extLst>
              <a:ext uri="{FF2B5EF4-FFF2-40B4-BE49-F238E27FC236}">
                <a16:creationId xmlns="" xmlns:a16="http://schemas.microsoft.com/office/drawing/2014/main" id="{00000000-0008-0000-0000-000039000000}"/>
              </a:ext>
            </a:extLst>
          </xdr:cNvPr>
          <xdr:cNvCxnSpPr/>
        </xdr:nvCxnSpPr>
        <xdr:spPr bwMode="auto">
          <a:xfrm>
            <a:off x="139192" y="139191"/>
            <a:ext cx="32121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8" name="Line 142">
            <a:extLst>
              <a:ext uri="{FF2B5EF4-FFF2-40B4-BE49-F238E27FC236}">
                <a16:creationId xmlns="" xmlns:a16="http://schemas.microsoft.com/office/drawing/2014/main" id="{00000000-0008-0000-0000-00003A000000}"/>
              </a:ext>
            </a:extLst>
          </xdr:cNvPr>
          <xdr:cNvCxnSpPr/>
        </xdr:nvCxnSpPr>
        <xdr:spPr bwMode="auto">
          <a:xfrm>
            <a:off x="385454" y="139191"/>
            <a:ext cx="256910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</xdr:col>
      <xdr:colOff>1241425</xdr:colOff>
      <xdr:row>13</xdr:row>
      <xdr:rowOff>136525</xdr:rowOff>
    </xdr:from>
    <xdr:to>
      <xdr:col>2</xdr:col>
      <xdr:colOff>574675</xdr:colOff>
      <xdr:row>13</xdr:row>
      <xdr:rowOff>136525</xdr:rowOff>
    </xdr:to>
    <xdr:cxnSp macro="">
      <xdr:nvCxnSpPr>
        <xdr:cNvPr id="59" name="Straight Connector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1495425" y="1552575"/>
          <a:ext cx="71755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374650</xdr:colOff>
      <xdr:row>1</xdr:row>
      <xdr:rowOff>285750</xdr:rowOff>
    </xdr:from>
    <xdr:to>
      <xdr:col>1</xdr:col>
      <xdr:colOff>1136650</xdr:colOff>
      <xdr:row>1</xdr:row>
      <xdr:rowOff>308610</xdr:rowOff>
    </xdr:to>
    <xdr:cxnSp macro="">
      <xdr:nvCxnSpPr>
        <xdr:cNvPr id="64" name="Straight Connector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CxnSpPr/>
      </xdr:nvCxnSpPr>
      <xdr:spPr>
        <a:xfrm flipV="1">
          <a:off x="984250" y="73025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2</xdr:row>
      <xdr:rowOff>12700</xdr:rowOff>
    </xdr:from>
    <xdr:to>
      <xdr:col>1</xdr:col>
      <xdr:colOff>304800</xdr:colOff>
      <xdr:row>2</xdr:row>
      <xdr:rowOff>29210</xdr:rowOff>
    </xdr:to>
    <xdr:cxnSp macro="">
      <xdr:nvCxnSpPr>
        <xdr:cNvPr id="66" name="Straight Connector 65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1371600" y="1388745"/>
          <a:ext cx="685800" cy="1651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374650</xdr:colOff>
      <xdr:row>1</xdr:row>
      <xdr:rowOff>368300</xdr:rowOff>
    </xdr:from>
    <xdr:to>
      <xdr:col>1</xdr:col>
      <xdr:colOff>1136650</xdr:colOff>
      <xdr:row>1</xdr:row>
      <xdr:rowOff>391160</xdr:rowOff>
    </xdr:to>
    <xdr:cxnSp macro="">
      <xdr:nvCxnSpPr>
        <xdr:cNvPr id="69" name="Straight Connector 68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CxnSpPr/>
      </xdr:nvCxnSpPr>
      <xdr:spPr>
        <a:xfrm flipV="1">
          <a:off x="984250" y="81280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1</xdr:row>
      <xdr:rowOff>450850</xdr:rowOff>
    </xdr:from>
    <xdr:to>
      <xdr:col>1</xdr:col>
      <xdr:colOff>1117600</xdr:colOff>
      <xdr:row>1</xdr:row>
      <xdr:rowOff>473710</xdr:rowOff>
    </xdr:to>
    <xdr:cxnSp macro="">
      <xdr:nvCxnSpPr>
        <xdr:cNvPr id="70" name="Straight Connector 69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CxnSpPr/>
      </xdr:nvCxnSpPr>
      <xdr:spPr>
        <a:xfrm flipV="1">
          <a:off x="965200" y="89535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869950</xdr:colOff>
      <xdr:row>1</xdr:row>
      <xdr:rowOff>736600</xdr:rowOff>
    </xdr:from>
    <xdr:to>
      <xdr:col>2</xdr:col>
      <xdr:colOff>247650</xdr:colOff>
      <xdr:row>2</xdr:row>
      <xdr:rowOff>16510</xdr:rowOff>
    </xdr:to>
    <xdr:cxnSp macro="">
      <xdr:nvCxnSpPr>
        <xdr:cNvPr id="71" name="Straight Connector 70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CxnSpPr/>
      </xdr:nvCxnSpPr>
      <xdr:spPr>
        <a:xfrm flipV="1">
          <a:off x="1479550" y="118110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412750</xdr:colOff>
      <xdr:row>1</xdr:row>
      <xdr:rowOff>533400</xdr:rowOff>
    </xdr:from>
    <xdr:to>
      <xdr:col>1</xdr:col>
      <xdr:colOff>1174750</xdr:colOff>
      <xdr:row>1</xdr:row>
      <xdr:rowOff>556260</xdr:rowOff>
    </xdr:to>
    <xdr:cxnSp macro="">
      <xdr:nvCxnSpPr>
        <xdr:cNvPr id="72" name="Straight Connector 71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CxnSpPr/>
      </xdr:nvCxnSpPr>
      <xdr:spPr>
        <a:xfrm flipV="1">
          <a:off x="1022350" y="97790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387350</xdr:colOff>
      <xdr:row>1</xdr:row>
      <xdr:rowOff>203200</xdr:rowOff>
    </xdr:from>
    <xdr:to>
      <xdr:col>1</xdr:col>
      <xdr:colOff>1149350</xdr:colOff>
      <xdr:row>1</xdr:row>
      <xdr:rowOff>226060</xdr:rowOff>
    </xdr:to>
    <xdr:cxnSp macro="">
      <xdr:nvCxnSpPr>
        <xdr:cNvPr id="73" name="Straight Connector 72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CxnSpPr/>
      </xdr:nvCxnSpPr>
      <xdr:spPr>
        <a:xfrm flipV="1">
          <a:off x="996950" y="64770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438150</xdr:colOff>
      <xdr:row>1</xdr:row>
      <xdr:rowOff>133350</xdr:rowOff>
    </xdr:from>
    <xdr:to>
      <xdr:col>1</xdr:col>
      <xdr:colOff>1200150</xdr:colOff>
      <xdr:row>1</xdr:row>
      <xdr:rowOff>156210</xdr:rowOff>
    </xdr:to>
    <xdr:cxnSp macro="">
      <xdr:nvCxnSpPr>
        <xdr:cNvPr id="74" name="Straight Connector 73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CxnSpPr/>
      </xdr:nvCxnSpPr>
      <xdr:spPr>
        <a:xfrm flipV="1">
          <a:off x="1047750" y="57785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0</xdr:row>
      <xdr:rowOff>57150</xdr:rowOff>
    </xdr:from>
    <xdr:to>
      <xdr:col>1</xdr:col>
      <xdr:colOff>454024</xdr:colOff>
      <xdr:row>1</xdr:row>
      <xdr:rowOff>0</xdr:rowOff>
    </xdr:to>
    <xdr:grpSp>
      <xdr:nvGrpSpPr>
        <xdr:cNvPr id="2" name="Canvas 64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4924" y="57150"/>
          <a:ext cx="857250" cy="695325"/>
          <a:chOff x="0" y="0"/>
          <a:chExt cx="768350" cy="567055"/>
        </a:xfrm>
      </xdr:grpSpPr>
      <xdr:sp macro="" textlink="">
        <xdr:nvSpPr>
          <xdr:cNvPr id="3" name="Rectangle 2">
            <a:extLst>
              <a:ext uri="{FF2B5EF4-FFF2-40B4-BE49-F238E27FC236}">
                <a16:creationId xmlns=""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0" y="0"/>
            <a:ext cx="768350" cy="567055"/>
          </a:xfrm>
          <a:prstGeom prst="rect">
            <a:avLst/>
          </a:prstGeom>
          <a:noFill/>
        </xdr:spPr>
      </xdr:sp>
      <xdr:sp macro="" textlink="">
        <xdr:nvSpPr>
          <xdr:cNvPr id="4" name="Freeform 65">
            <a:extLst>
              <a:ext uri="{FF2B5EF4-FFF2-40B4-BE49-F238E27FC236}">
                <a16:creationId xmlns="" xmlns:a16="http://schemas.microsoft.com/office/drawing/2014/main" id="{00000000-0008-0000-0100-000004000000}"/>
              </a:ext>
            </a:extLst>
          </xdr:cNvPr>
          <xdr:cNvSpPr>
            <a:spLocks/>
          </xdr:cNvSpPr>
        </xdr:nvSpPr>
        <xdr:spPr bwMode="auto">
          <a:xfrm>
            <a:off x="103502" y="0"/>
            <a:ext cx="570805" cy="567055"/>
          </a:xfrm>
          <a:custGeom>
            <a:avLst/>
            <a:gdLst>
              <a:gd name="T0" fmla="*/ 3927 w 7125"/>
              <a:gd name="T1" fmla="*/ 7057 h 7084"/>
              <a:gd name="T2" fmla="*/ 4618 w 7125"/>
              <a:gd name="T3" fmla="*/ 6911 h 7084"/>
              <a:gd name="T4" fmla="*/ 5254 w 7125"/>
              <a:gd name="T5" fmla="*/ 6645 h 7084"/>
              <a:gd name="T6" fmla="*/ 5816 w 7125"/>
              <a:gd name="T7" fmla="*/ 6262 h 7084"/>
              <a:gd name="T8" fmla="*/ 6305 w 7125"/>
              <a:gd name="T9" fmla="*/ 5777 h 7084"/>
              <a:gd name="T10" fmla="*/ 6692 w 7125"/>
              <a:gd name="T11" fmla="*/ 5219 h 7084"/>
              <a:gd name="T12" fmla="*/ 6959 w 7125"/>
              <a:gd name="T13" fmla="*/ 4589 h 7084"/>
              <a:gd name="T14" fmla="*/ 7107 w 7125"/>
              <a:gd name="T15" fmla="*/ 3894 h 7084"/>
              <a:gd name="T16" fmla="*/ 7107 w 7125"/>
              <a:gd name="T17" fmla="*/ 3181 h 7084"/>
              <a:gd name="T18" fmla="*/ 6959 w 7125"/>
              <a:gd name="T19" fmla="*/ 2486 h 7084"/>
              <a:gd name="T20" fmla="*/ 6692 w 7125"/>
              <a:gd name="T21" fmla="*/ 1847 h 7084"/>
              <a:gd name="T22" fmla="*/ 6305 w 7125"/>
              <a:gd name="T23" fmla="*/ 1289 h 7084"/>
              <a:gd name="T24" fmla="*/ 5816 w 7125"/>
              <a:gd name="T25" fmla="*/ 805 h 7084"/>
              <a:gd name="T26" fmla="*/ 5254 w 7125"/>
              <a:gd name="T27" fmla="*/ 421 h 7084"/>
              <a:gd name="T28" fmla="*/ 4618 w 7125"/>
              <a:gd name="T29" fmla="*/ 156 h 7084"/>
              <a:gd name="T30" fmla="*/ 3927 w 7125"/>
              <a:gd name="T31" fmla="*/ 9 h 7084"/>
              <a:gd name="T32" fmla="*/ 3189 w 7125"/>
              <a:gd name="T33" fmla="*/ 9 h 7084"/>
              <a:gd name="T34" fmla="*/ 2489 w 7125"/>
              <a:gd name="T35" fmla="*/ 156 h 7084"/>
              <a:gd name="T36" fmla="*/ 1853 w 7125"/>
              <a:gd name="T37" fmla="*/ 421 h 7084"/>
              <a:gd name="T38" fmla="*/ 1290 w 7125"/>
              <a:gd name="T39" fmla="*/ 805 h 7084"/>
              <a:gd name="T40" fmla="*/ 811 w 7125"/>
              <a:gd name="T41" fmla="*/ 1289 h 7084"/>
              <a:gd name="T42" fmla="*/ 415 w 7125"/>
              <a:gd name="T43" fmla="*/ 1847 h 7084"/>
              <a:gd name="T44" fmla="*/ 157 w 7125"/>
              <a:gd name="T45" fmla="*/ 2486 h 7084"/>
              <a:gd name="T46" fmla="*/ 9 w 7125"/>
              <a:gd name="T47" fmla="*/ 3181 h 7084"/>
              <a:gd name="T48" fmla="*/ 9 w 7125"/>
              <a:gd name="T49" fmla="*/ 3894 h 7084"/>
              <a:gd name="T50" fmla="*/ 157 w 7125"/>
              <a:gd name="T51" fmla="*/ 4589 h 7084"/>
              <a:gd name="T52" fmla="*/ 415 w 7125"/>
              <a:gd name="T53" fmla="*/ 5219 h 7084"/>
              <a:gd name="T54" fmla="*/ 811 w 7125"/>
              <a:gd name="T55" fmla="*/ 5777 h 7084"/>
              <a:gd name="T56" fmla="*/ 1290 w 7125"/>
              <a:gd name="T57" fmla="*/ 6262 h 7084"/>
              <a:gd name="T58" fmla="*/ 1853 w 7125"/>
              <a:gd name="T59" fmla="*/ 6645 h 7084"/>
              <a:gd name="T60" fmla="*/ 2489 w 7125"/>
              <a:gd name="T61" fmla="*/ 6911 h 7084"/>
              <a:gd name="T62" fmla="*/ 3189 w 7125"/>
              <a:gd name="T63" fmla="*/ 7057 h 7084"/>
              <a:gd name="T64" fmla="*/ 3558 w 7125"/>
              <a:gd name="T65" fmla="*/ 7084 h 70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125" h="7084">
                <a:moveTo>
                  <a:pt x="3558" y="7084"/>
                </a:moveTo>
                <a:lnTo>
                  <a:pt x="3927" y="7057"/>
                </a:lnTo>
                <a:lnTo>
                  <a:pt x="4277" y="7002"/>
                </a:lnTo>
                <a:lnTo>
                  <a:pt x="4618" y="6911"/>
                </a:lnTo>
                <a:lnTo>
                  <a:pt x="4950" y="6801"/>
                </a:lnTo>
                <a:lnTo>
                  <a:pt x="5254" y="6645"/>
                </a:lnTo>
                <a:lnTo>
                  <a:pt x="5549" y="6472"/>
                </a:lnTo>
                <a:lnTo>
                  <a:pt x="5816" y="6262"/>
                </a:lnTo>
                <a:lnTo>
                  <a:pt x="6084" y="6042"/>
                </a:lnTo>
                <a:lnTo>
                  <a:pt x="6305" y="5777"/>
                </a:lnTo>
                <a:lnTo>
                  <a:pt x="6517" y="5512"/>
                </a:lnTo>
                <a:lnTo>
                  <a:pt x="6692" y="5219"/>
                </a:lnTo>
                <a:lnTo>
                  <a:pt x="6840" y="4909"/>
                </a:lnTo>
                <a:lnTo>
                  <a:pt x="6959" y="4589"/>
                </a:lnTo>
                <a:lnTo>
                  <a:pt x="7052" y="4241"/>
                </a:lnTo>
                <a:lnTo>
                  <a:pt x="7107" y="3894"/>
                </a:lnTo>
                <a:lnTo>
                  <a:pt x="7125" y="3547"/>
                </a:lnTo>
                <a:lnTo>
                  <a:pt x="7107" y="3181"/>
                </a:lnTo>
                <a:lnTo>
                  <a:pt x="7052" y="2825"/>
                </a:lnTo>
                <a:lnTo>
                  <a:pt x="6959" y="2486"/>
                </a:lnTo>
                <a:lnTo>
                  <a:pt x="6840" y="2157"/>
                </a:lnTo>
                <a:lnTo>
                  <a:pt x="6692" y="1847"/>
                </a:lnTo>
                <a:lnTo>
                  <a:pt x="6517" y="1554"/>
                </a:lnTo>
                <a:lnTo>
                  <a:pt x="6305" y="1289"/>
                </a:lnTo>
                <a:lnTo>
                  <a:pt x="6084" y="1033"/>
                </a:lnTo>
                <a:lnTo>
                  <a:pt x="5816" y="805"/>
                </a:lnTo>
                <a:lnTo>
                  <a:pt x="5549" y="594"/>
                </a:lnTo>
                <a:lnTo>
                  <a:pt x="5254" y="421"/>
                </a:lnTo>
                <a:lnTo>
                  <a:pt x="4950" y="274"/>
                </a:lnTo>
                <a:lnTo>
                  <a:pt x="4618" y="156"/>
                </a:lnTo>
                <a:lnTo>
                  <a:pt x="4277" y="73"/>
                </a:lnTo>
                <a:lnTo>
                  <a:pt x="3927" y="9"/>
                </a:lnTo>
                <a:lnTo>
                  <a:pt x="3558" y="0"/>
                </a:lnTo>
                <a:lnTo>
                  <a:pt x="3189" y="9"/>
                </a:lnTo>
                <a:lnTo>
                  <a:pt x="2839" y="73"/>
                </a:lnTo>
                <a:lnTo>
                  <a:pt x="2489" y="156"/>
                </a:lnTo>
                <a:lnTo>
                  <a:pt x="2175" y="274"/>
                </a:lnTo>
                <a:lnTo>
                  <a:pt x="1853" y="421"/>
                </a:lnTo>
                <a:lnTo>
                  <a:pt x="1567" y="594"/>
                </a:lnTo>
                <a:lnTo>
                  <a:pt x="1290" y="805"/>
                </a:lnTo>
                <a:lnTo>
                  <a:pt x="1041" y="1033"/>
                </a:lnTo>
                <a:lnTo>
                  <a:pt x="811" y="1289"/>
                </a:lnTo>
                <a:lnTo>
                  <a:pt x="599" y="1554"/>
                </a:lnTo>
                <a:lnTo>
                  <a:pt x="415" y="1847"/>
                </a:lnTo>
                <a:lnTo>
                  <a:pt x="276" y="2157"/>
                </a:lnTo>
                <a:lnTo>
                  <a:pt x="157" y="2486"/>
                </a:lnTo>
                <a:lnTo>
                  <a:pt x="74" y="2825"/>
                </a:lnTo>
                <a:lnTo>
                  <a:pt x="9" y="3181"/>
                </a:lnTo>
                <a:lnTo>
                  <a:pt x="0" y="3547"/>
                </a:lnTo>
                <a:lnTo>
                  <a:pt x="9" y="3894"/>
                </a:lnTo>
                <a:lnTo>
                  <a:pt x="74" y="4241"/>
                </a:lnTo>
                <a:lnTo>
                  <a:pt x="157" y="4589"/>
                </a:lnTo>
                <a:lnTo>
                  <a:pt x="276" y="4909"/>
                </a:lnTo>
                <a:lnTo>
                  <a:pt x="415" y="5219"/>
                </a:lnTo>
                <a:lnTo>
                  <a:pt x="599" y="5512"/>
                </a:lnTo>
                <a:lnTo>
                  <a:pt x="811" y="5777"/>
                </a:lnTo>
                <a:lnTo>
                  <a:pt x="1041" y="6042"/>
                </a:lnTo>
                <a:lnTo>
                  <a:pt x="1290" y="6262"/>
                </a:lnTo>
                <a:lnTo>
                  <a:pt x="1567" y="6472"/>
                </a:lnTo>
                <a:lnTo>
                  <a:pt x="1853" y="6645"/>
                </a:lnTo>
                <a:lnTo>
                  <a:pt x="2175" y="6801"/>
                </a:lnTo>
                <a:lnTo>
                  <a:pt x="2489" y="6911"/>
                </a:lnTo>
                <a:lnTo>
                  <a:pt x="2839" y="7002"/>
                </a:lnTo>
                <a:lnTo>
                  <a:pt x="3189" y="7057"/>
                </a:lnTo>
                <a:lnTo>
                  <a:pt x="3558" y="7084"/>
                </a:lnTo>
                <a:close/>
              </a:path>
            </a:pathLst>
          </a:custGeom>
          <a:solidFill>
            <a:srgbClr val="00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Freeform 66">
            <a:extLst>
              <a:ext uri="{FF2B5EF4-FFF2-40B4-BE49-F238E27FC236}">
                <a16:creationId xmlns="" xmlns:a16="http://schemas.microsoft.com/office/drawing/2014/main" id="{00000000-0008-0000-0100-000005000000}"/>
              </a:ext>
            </a:extLst>
          </xdr:cNvPr>
          <xdr:cNvSpPr>
            <a:spLocks/>
          </xdr:cNvSpPr>
        </xdr:nvSpPr>
        <xdr:spPr bwMode="auto">
          <a:xfrm>
            <a:off x="123429" y="19748"/>
            <a:ext cx="530297" cy="526071"/>
          </a:xfrm>
          <a:custGeom>
            <a:avLst/>
            <a:gdLst>
              <a:gd name="T0" fmla="*/ 3632 w 6618"/>
              <a:gd name="T1" fmla="*/ 6554 h 6572"/>
              <a:gd name="T2" fmla="*/ 4277 w 6618"/>
              <a:gd name="T3" fmla="*/ 6417 h 6572"/>
              <a:gd name="T4" fmla="*/ 4876 w 6618"/>
              <a:gd name="T5" fmla="*/ 6170 h 6572"/>
              <a:gd name="T6" fmla="*/ 5401 w 6618"/>
              <a:gd name="T7" fmla="*/ 5813 h 6572"/>
              <a:gd name="T8" fmla="*/ 5853 w 6618"/>
              <a:gd name="T9" fmla="*/ 5375 h 6572"/>
              <a:gd name="T10" fmla="*/ 6213 w 6618"/>
              <a:gd name="T11" fmla="*/ 4845 h 6572"/>
              <a:gd name="T12" fmla="*/ 6461 w 6618"/>
              <a:gd name="T13" fmla="*/ 4250 h 6572"/>
              <a:gd name="T14" fmla="*/ 6600 w 6618"/>
              <a:gd name="T15" fmla="*/ 3620 h 6572"/>
              <a:gd name="T16" fmla="*/ 6600 w 6618"/>
              <a:gd name="T17" fmla="*/ 2952 h 6572"/>
              <a:gd name="T18" fmla="*/ 6461 w 6618"/>
              <a:gd name="T19" fmla="*/ 2303 h 6572"/>
              <a:gd name="T20" fmla="*/ 6213 w 6618"/>
              <a:gd name="T21" fmla="*/ 1718 h 6572"/>
              <a:gd name="T22" fmla="*/ 5853 w 6618"/>
              <a:gd name="T23" fmla="*/ 1197 h 6572"/>
              <a:gd name="T24" fmla="*/ 5401 w 6618"/>
              <a:gd name="T25" fmla="*/ 749 h 6572"/>
              <a:gd name="T26" fmla="*/ 4876 w 6618"/>
              <a:gd name="T27" fmla="*/ 393 h 6572"/>
              <a:gd name="T28" fmla="*/ 4277 w 6618"/>
              <a:gd name="T29" fmla="*/ 146 h 6572"/>
              <a:gd name="T30" fmla="*/ 3632 w 6618"/>
              <a:gd name="T31" fmla="*/ 18 h 6572"/>
              <a:gd name="T32" fmla="*/ 2959 w 6618"/>
              <a:gd name="T33" fmla="*/ 18 h 6572"/>
              <a:gd name="T34" fmla="*/ 2313 w 6618"/>
              <a:gd name="T35" fmla="*/ 146 h 6572"/>
              <a:gd name="T36" fmla="*/ 1723 w 6618"/>
              <a:gd name="T37" fmla="*/ 393 h 6572"/>
              <a:gd name="T38" fmla="*/ 1198 w 6618"/>
              <a:gd name="T39" fmla="*/ 749 h 6572"/>
              <a:gd name="T40" fmla="*/ 746 w 6618"/>
              <a:gd name="T41" fmla="*/ 1197 h 6572"/>
              <a:gd name="T42" fmla="*/ 387 w 6618"/>
              <a:gd name="T43" fmla="*/ 1718 h 6572"/>
              <a:gd name="T44" fmla="*/ 138 w 6618"/>
              <a:gd name="T45" fmla="*/ 2303 h 6572"/>
              <a:gd name="T46" fmla="*/ 9 w 6618"/>
              <a:gd name="T47" fmla="*/ 2952 h 6572"/>
              <a:gd name="T48" fmla="*/ 9 w 6618"/>
              <a:gd name="T49" fmla="*/ 3620 h 6572"/>
              <a:gd name="T50" fmla="*/ 138 w 6618"/>
              <a:gd name="T51" fmla="*/ 4250 h 6572"/>
              <a:gd name="T52" fmla="*/ 387 w 6618"/>
              <a:gd name="T53" fmla="*/ 4845 h 6572"/>
              <a:gd name="T54" fmla="*/ 746 w 6618"/>
              <a:gd name="T55" fmla="*/ 5375 h 6572"/>
              <a:gd name="T56" fmla="*/ 1198 w 6618"/>
              <a:gd name="T57" fmla="*/ 5813 h 6572"/>
              <a:gd name="T58" fmla="*/ 1723 w 6618"/>
              <a:gd name="T59" fmla="*/ 6170 h 6572"/>
              <a:gd name="T60" fmla="*/ 2313 w 6618"/>
              <a:gd name="T61" fmla="*/ 6417 h 6572"/>
              <a:gd name="T62" fmla="*/ 2959 w 6618"/>
              <a:gd name="T63" fmla="*/ 6554 h 6572"/>
              <a:gd name="T64" fmla="*/ 3309 w 6618"/>
              <a:gd name="T65" fmla="*/ 6572 h 65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618" h="6572">
                <a:moveTo>
                  <a:pt x="3309" y="6572"/>
                </a:moveTo>
                <a:lnTo>
                  <a:pt x="3632" y="6554"/>
                </a:lnTo>
                <a:lnTo>
                  <a:pt x="3963" y="6508"/>
                </a:lnTo>
                <a:lnTo>
                  <a:pt x="4277" y="6417"/>
                </a:lnTo>
                <a:lnTo>
                  <a:pt x="4590" y="6316"/>
                </a:lnTo>
                <a:lnTo>
                  <a:pt x="4876" y="6170"/>
                </a:lnTo>
                <a:lnTo>
                  <a:pt x="5153" y="6015"/>
                </a:lnTo>
                <a:lnTo>
                  <a:pt x="5401" y="5813"/>
                </a:lnTo>
                <a:lnTo>
                  <a:pt x="5641" y="5612"/>
                </a:lnTo>
                <a:lnTo>
                  <a:pt x="5853" y="5375"/>
                </a:lnTo>
                <a:lnTo>
                  <a:pt x="6047" y="5119"/>
                </a:lnTo>
                <a:lnTo>
                  <a:pt x="6213" y="4845"/>
                </a:lnTo>
                <a:lnTo>
                  <a:pt x="6351" y="4561"/>
                </a:lnTo>
                <a:lnTo>
                  <a:pt x="6461" y="4250"/>
                </a:lnTo>
                <a:lnTo>
                  <a:pt x="6554" y="3949"/>
                </a:lnTo>
                <a:lnTo>
                  <a:pt x="6600" y="3620"/>
                </a:lnTo>
                <a:lnTo>
                  <a:pt x="6618" y="3291"/>
                </a:lnTo>
                <a:lnTo>
                  <a:pt x="6600" y="2952"/>
                </a:lnTo>
                <a:lnTo>
                  <a:pt x="6554" y="2623"/>
                </a:lnTo>
                <a:lnTo>
                  <a:pt x="6461" y="2303"/>
                </a:lnTo>
                <a:lnTo>
                  <a:pt x="6351" y="2011"/>
                </a:lnTo>
                <a:lnTo>
                  <a:pt x="6213" y="1718"/>
                </a:lnTo>
                <a:lnTo>
                  <a:pt x="6047" y="1444"/>
                </a:lnTo>
                <a:lnTo>
                  <a:pt x="5853" y="1197"/>
                </a:lnTo>
                <a:lnTo>
                  <a:pt x="5641" y="960"/>
                </a:lnTo>
                <a:lnTo>
                  <a:pt x="5401" y="749"/>
                </a:lnTo>
                <a:lnTo>
                  <a:pt x="5153" y="558"/>
                </a:lnTo>
                <a:lnTo>
                  <a:pt x="4876" y="393"/>
                </a:lnTo>
                <a:lnTo>
                  <a:pt x="4590" y="265"/>
                </a:lnTo>
                <a:lnTo>
                  <a:pt x="4277" y="146"/>
                </a:lnTo>
                <a:lnTo>
                  <a:pt x="3963" y="64"/>
                </a:lnTo>
                <a:lnTo>
                  <a:pt x="3632" y="18"/>
                </a:lnTo>
                <a:lnTo>
                  <a:pt x="3309" y="0"/>
                </a:lnTo>
                <a:lnTo>
                  <a:pt x="2959" y="18"/>
                </a:lnTo>
                <a:lnTo>
                  <a:pt x="2627" y="64"/>
                </a:lnTo>
                <a:lnTo>
                  <a:pt x="2313" y="146"/>
                </a:lnTo>
                <a:lnTo>
                  <a:pt x="2018" y="265"/>
                </a:lnTo>
                <a:lnTo>
                  <a:pt x="1723" y="393"/>
                </a:lnTo>
                <a:lnTo>
                  <a:pt x="1456" y="558"/>
                </a:lnTo>
                <a:lnTo>
                  <a:pt x="1198" y="749"/>
                </a:lnTo>
                <a:lnTo>
                  <a:pt x="968" y="960"/>
                </a:lnTo>
                <a:lnTo>
                  <a:pt x="746" y="1197"/>
                </a:lnTo>
                <a:lnTo>
                  <a:pt x="562" y="1444"/>
                </a:lnTo>
                <a:lnTo>
                  <a:pt x="387" y="1718"/>
                </a:lnTo>
                <a:lnTo>
                  <a:pt x="258" y="2011"/>
                </a:lnTo>
                <a:lnTo>
                  <a:pt x="138" y="2303"/>
                </a:lnTo>
                <a:lnTo>
                  <a:pt x="64" y="2623"/>
                </a:lnTo>
                <a:lnTo>
                  <a:pt x="9" y="2952"/>
                </a:lnTo>
                <a:lnTo>
                  <a:pt x="0" y="3291"/>
                </a:lnTo>
                <a:lnTo>
                  <a:pt x="9" y="3620"/>
                </a:lnTo>
                <a:lnTo>
                  <a:pt x="64" y="3949"/>
                </a:lnTo>
                <a:lnTo>
                  <a:pt x="138" y="4250"/>
                </a:lnTo>
                <a:lnTo>
                  <a:pt x="258" y="4561"/>
                </a:lnTo>
                <a:lnTo>
                  <a:pt x="387" y="4845"/>
                </a:lnTo>
                <a:lnTo>
                  <a:pt x="562" y="5119"/>
                </a:lnTo>
                <a:lnTo>
                  <a:pt x="746" y="5375"/>
                </a:lnTo>
                <a:lnTo>
                  <a:pt x="968" y="5612"/>
                </a:lnTo>
                <a:lnTo>
                  <a:pt x="1198" y="5813"/>
                </a:lnTo>
                <a:lnTo>
                  <a:pt x="1456" y="6015"/>
                </a:lnTo>
                <a:lnTo>
                  <a:pt x="1723" y="6170"/>
                </a:lnTo>
                <a:lnTo>
                  <a:pt x="2018" y="6316"/>
                </a:lnTo>
                <a:lnTo>
                  <a:pt x="2313" y="6417"/>
                </a:lnTo>
                <a:lnTo>
                  <a:pt x="2627" y="6508"/>
                </a:lnTo>
                <a:lnTo>
                  <a:pt x="2959" y="6554"/>
                </a:lnTo>
                <a:lnTo>
                  <a:pt x="3309" y="6572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6" name="Freeform 67">
            <a:extLst>
              <a:ext uri="{FF2B5EF4-FFF2-40B4-BE49-F238E27FC236}">
                <a16:creationId xmlns="" xmlns:a16="http://schemas.microsoft.com/office/drawing/2014/main" id="{00000000-0008-0000-0100-000006000000}"/>
              </a:ext>
            </a:extLst>
          </xdr:cNvPr>
          <xdr:cNvSpPr>
            <a:spLocks/>
          </xdr:cNvSpPr>
        </xdr:nvSpPr>
        <xdr:spPr bwMode="auto">
          <a:xfrm>
            <a:off x="142523" y="39556"/>
            <a:ext cx="490442" cy="485801"/>
          </a:xfrm>
          <a:custGeom>
            <a:avLst/>
            <a:gdLst>
              <a:gd name="T0" fmla="*/ 3365 w 6121"/>
              <a:gd name="T1" fmla="*/ 6051 h 6069"/>
              <a:gd name="T2" fmla="*/ 3955 w 6121"/>
              <a:gd name="T3" fmla="*/ 5923 h 6069"/>
              <a:gd name="T4" fmla="*/ 4508 w 6121"/>
              <a:gd name="T5" fmla="*/ 5694 h 6069"/>
              <a:gd name="T6" fmla="*/ 5006 w 6121"/>
              <a:gd name="T7" fmla="*/ 5374 h 6069"/>
              <a:gd name="T8" fmla="*/ 5421 w 6121"/>
              <a:gd name="T9" fmla="*/ 4963 h 6069"/>
              <a:gd name="T10" fmla="*/ 5743 w 6121"/>
              <a:gd name="T11" fmla="*/ 4470 h 6069"/>
              <a:gd name="T12" fmla="*/ 5974 w 6121"/>
              <a:gd name="T13" fmla="*/ 3930 h 6069"/>
              <a:gd name="T14" fmla="*/ 6103 w 6121"/>
              <a:gd name="T15" fmla="*/ 3336 h 6069"/>
              <a:gd name="T16" fmla="*/ 6103 w 6121"/>
              <a:gd name="T17" fmla="*/ 2724 h 6069"/>
              <a:gd name="T18" fmla="*/ 5974 w 6121"/>
              <a:gd name="T19" fmla="*/ 2130 h 6069"/>
              <a:gd name="T20" fmla="*/ 5743 w 6121"/>
              <a:gd name="T21" fmla="*/ 1581 h 6069"/>
              <a:gd name="T22" fmla="*/ 5421 w 6121"/>
              <a:gd name="T23" fmla="*/ 1097 h 6069"/>
              <a:gd name="T24" fmla="*/ 5006 w 6121"/>
              <a:gd name="T25" fmla="*/ 685 h 6069"/>
              <a:gd name="T26" fmla="*/ 4508 w 6121"/>
              <a:gd name="T27" fmla="*/ 365 h 6069"/>
              <a:gd name="T28" fmla="*/ 3955 w 6121"/>
              <a:gd name="T29" fmla="*/ 128 h 6069"/>
              <a:gd name="T30" fmla="*/ 3365 w 6121"/>
              <a:gd name="T31" fmla="*/ 18 h 6069"/>
              <a:gd name="T32" fmla="*/ 2738 w 6121"/>
              <a:gd name="T33" fmla="*/ 18 h 6069"/>
              <a:gd name="T34" fmla="*/ 2148 w 6121"/>
              <a:gd name="T35" fmla="*/ 128 h 6069"/>
              <a:gd name="T36" fmla="*/ 1595 w 6121"/>
              <a:gd name="T37" fmla="*/ 365 h 6069"/>
              <a:gd name="T38" fmla="*/ 1107 w 6121"/>
              <a:gd name="T39" fmla="*/ 685 h 6069"/>
              <a:gd name="T40" fmla="*/ 692 w 6121"/>
              <a:gd name="T41" fmla="*/ 1097 h 6069"/>
              <a:gd name="T42" fmla="*/ 369 w 6121"/>
              <a:gd name="T43" fmla="*/ 1581 h 6069"/>
              <a:gd name="T44" fmla="*/ 129 w 6121"/>
              <a:gd name="T45" fmla="*/ 2130 h 6069"/>
              <a:gd name="T46" fmla="*/ 19 w 6121"/>
              <a:gd name="T47" fmla="*/ 2724 h 6069"/>
              <a:gd name="T48" fmla="*/ 19 w 6121"/>
              <a:gd name="T49" fmla="*/ 3336 h 6069"/>
              <a:gd name="T50" fmla="*/ 129 w 6121"/>
              <a:gd name="T51" fmla="*/ 3930 h 6069"/>
              <a:gd name="T52" fmla="*/ 369 w 6121"/>
              <a:gd name="T53" fmla="*/ 4470 h 6069"/>
              <a:gd name="T54" fmla="*/ 692 w 6121"/>
              <a:gd name="T55" fmla="*/ 4963 h 6069"/>
              <a:gd name="T56" fmla="*/ 1107 w 6121"/>
              <a:gd name="T57" fmla="*/ 5374 h 6069"/>
              <a:gd name="T58" fmla="*/ 1595 w 6121"/>
              <a:gd name="T59" fmla="*/ 5694 h 6069"/>
              <a:gd name="T60" fmla="*/ 2148 w 6121"/>
              <a:gd name="T61" fmla="*/ 5923 h 6069"/>
              <a:gd name="T62" fmla="*/ 2738 w 6121"/>
              <a:gd name="T63" fmla="*/ 6051 h 6069"/>
              <a:gd name="T64" fmla="*/ 3061 w 6121"/>
              <a:gd name="T65" fmla="*/ 6069 h 60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121" h="6069">
                <a:moveTo>
                  <a:pt x="3061" y="6069"/>
                </a:moveTo>
                <a:lnTo>
                  <a:pt x="3365" y="6051"/>
                </a:lnTo>
                <a:lnTo>
                  <a:pt x="3669" y="6005"/>
                </a:lnTo>
                <a:lnTo>
                  <a:pt x="3955" y="5923"/>
                </a:lnTo>
                <a:lnTo>
                  <a:pt x="4241" y="5832"/>
                </a:lnTo>
                <a:lnTo>
                  <a:pt x="4508" y="5694"/>
                </a:lnTo>
                <a:lnTo>
                  <a:pt x="4766" y="5548"/>
                </a:lnTo>
                <a:lnTo>
                  <a:pt x="5006" y="5374"/>
                </a:lnTo>
                <a:lnTo>
                  <a:pt x="5218" y="5173"/>
                </a:lnTo>
                <a:lnTo>
                  <a:pt x="5421" y="4963"/>
                </a:lnTo>
                <a:lnTo>
                  <a:pt x="5596" y="4725"/>
                </a:lnTo>
                <a:lnTo>
                  <a:pt x="5743" y="4470"/>
                </a:lnTo>
                <a:lnTo>
                  <a:pt x="5881" y="4214"/>
                </a:lnTo>
                <a:lnTo>
                  <a:pt x="5974" y="3930"/>
                </a:lnTo>
                <a:lnTo>
                  <a:pt x="6057" y="3638"/>
                </a:lnTo>
                <a:lnTo>
                  <a:pt x="6103" y="3336"/>
                </a:lnTo>
                <a:lnTo>
                  <a:pt x="6121" y="3034"/>
                </a:lnTo>
                <a:lnTo>
                  <a:pt x="6103" y="2724"/>
                </a:lnTo>
                <a:lnTo>
                  <a:pt x="6057" y="2422"/>
                </a:lnTo>
                <a:lnTo>
                  <a:pt x="5974" y="2130"/>
                </a:lnTo>
                <a:lnTo>
                  <a:pt x="5881" y="1855"/>
                </a:lnTo>
                <a:lnTo>
                  <a:pt x="5743" y="1581"/>
                </a:lnTo>
                <a:lnTo>
                  <a:pt x="5596" y="1343"/>
                </a:lnTo>
                <a:lnTo>
                  <a:pt x="5421" y="1097"/>
                </a:lnTo>
                <a:lnTo>
                  <a:pt x="5218" y="886"/>
                </a:lnTo>
                <a:lnTo>
                  <a:pt x="5006" y="685"/>
                </a:lnTo>
                <a:lnTo>
                  <a:pt x="4766" y="512"/>
                </a:lnTo>
                <a:lnTo>
                  <a:pt x="4508" y="365"/>
                </a:lnTo>
                <a:lnTo>
                  <a:pt x="4241" y="237"/>
                </a:lnTo>
                <a:lnTo>
                  <a:pt x="3955" y="128"/>
                </a:lnTo>
                <a:lnTo>
                  <a:pt x="3669" y="55"/>
                </a:lnTo>
                <a:lnTo>
                  <a:pt x="3365" y="18"/>
                </a:lnTo>
                <a:lnTo>
                  <a:pt x="3061" y="0"/>
                </a:lnTo>
                <a:lnTo>
                  <a:pt x="2738" y="18"/>
                </a:lnTo>
                <a:lnTo>
                  <a:pt x="2443" y="55"/>
                </a:lnTo>
                <a:lnTo>
                  <a:pt x="2148" y="128"/>
                </a:lnTo>
                <a:lnTo>
                  <a:pt x="1872" y="237"/>
                </a:lnTo>
                <a:lnTo>
                  <a:pt x="1595" y="365"/>
                </a:lnTo>
                <a:lnTo>
                  <a:pt x="1346" y="512"/>
                </a:lnTo>
                <a:lnTo>
                  <a:pt x="1107" y="685"/>
                </a:lnTo>
                <a:lnTo>
                  <a:pt x="895" y="886"/>
                </a:lnTo>
                <a:lnTo>
                  <a:pt x="692" y="1097"/>
                </a:lnTo>
                <a:lnTo>
                  <a:pt x="517" y="1343"/>
                </a:lnTo>
                <a:lnTo>
                  <a:pt x="369" y="1581"/>
                </a:lnTo>
                <a:lnTo>
                  <a:pt x="240" y="1855"/>
                </a:lnTo>
                <a:lnTo>
                  <a:pt x="129" y="2130"/>
                </a:lnTo>
                <a:lnTo>
                  <a:pt x="56" y="2422"/>
                </a:lnTo>
                <a:lnTo>
                  <a:pt x="19" y="2724"/>
                </a:lnTo>
                <a:lnTo>
                  <a:pt x="0" y="3034"/>
                </a:lnTo>
                <a:lnTo>
                  <a:pt x="19" y="3336"/>
                </a:lnTo>
                <a:lnTo>
                  <a:pt x="56" y="3638"/>
                </a:lnTo>
                <a:lnTo>
                  <a:pt x="129" y="3930"/>
                </a:lnTo>
                <a:lnTo>
                  <a:pt x="240" y="4214"/>
                </a:lnTo>
                <a:lnTo>
                  <a:pt x="369" y="4470"/>
                </a:lnTo>
                <a:lnTo>
                  <a:pt x="517" y="4725"/>
                </a:lnTo>
                <a:lnTo>
                  <a:pt x="692" y="4963"/>
                </a:lnTo>
                <a:lnTo>
                  <a:pt x="895" y="5173"/>
                </a:lnTo>
                <a:lnTo>
                  <a:pt x="1107" y="5374"/>
                </a:lnTo>
                <a:lnTo>
                  <a:pt x="1346" y="5548"/>
                </a:lnTo>
                <a:lnTo>
                  <a:pt x="1595" y="5694"/>
                </a:lnTo>
                <a:lnTo>
                  <a:pt x="1872" y="5832"/>
                </a:lnTo>
                <a:lnTo>
                  <a:pt x="2148" y="5923"/>
                </a:lnTo>
                <a:lnTo>
                  <a:pt x="2443" y="6005"/>
                </a:lnTo>
                <a:lnTo>
                  <a:pt x="2738" y="6051"/>
                </a:lnTo>
                <a:lnTo>
                  <a:pt x="3061" y="6069"/>
                </a:lnTo>
                <a:close/>
              </a:path>
            </a:pathLst>
          </a:custGeom>
          <a:solidFill>
            <a:srgbClr val="00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" name="Freeform 68">
            <a:extLst>
              <a:ext uri="{FF2B5EF4-FFF2-40B4-BE49-F238E27FC236}">
                <a16:creationId xmlns="" xmlns:a16="http://schemas.microsoft.com/office/drawing/2014/main" id="{00000000-0008-0000-0100-000007000000}"/>
              </a:ext>
            </a:extLst>
          </xdr:cNvPr>
          <xdr:cNvSpPr>
            <a:spLocks/>
          </xdr:cNvSpPr>
        </xdr:nvSpPr>
        <xdr:spPr bwMode="auto">
          <a:xfrm>
            <a:off x="163342" y="59305"/>
            <a:ext cx="448269" cy="445530"/>
          </a:xfrm>
          <a:custGeom>
            <a:avLst/>
            <a:gdLst>
              <a:gd name="T0" fmla="*/ 3069 w 5595"/>
              <a:gd name="T1" fmla="*/ 5548 h 5566"/>
              <a:gd name="T2" fmla="*/ 3613 w 5595"/>
              <a:gd name="T3" fmla="*/ 5429 h 5566"/>
              <a:gd name="T4" fmla="*/ 4120 w 5595"/>
              <a:gd name="T5" fmla="*/ 5219 h 5566"/>
              <a:gd name="T6" fmla="*/ 4572 w 5595"/>
              <a:gd name="T7" fmla="*/ 4926 h 5566"/>
              <a:gd name="T8" fmla="*/ 4950 w 5595"/>
              <a:gd name="T9" fmla="*/ 4542 h 5566"/>
              <a:gd name="T10" fmla="*/ 5244 w 5595"/>
              <a:gd name="T11" fmla="*/ 4104 h 5566"/>
              <a:gd name="T12" fmla="*/ 5466 w 5595"/>
              <a:gd name="T13" fmla="*/ 3601 h 5566"/>
              <a:gd name="T14" fmla="*/ 5576 w 5595"/>
              <a:gd name="T15" fmla="*/ 3062 h 5566"/>
              <a:gd name="T16" fmla="*/ 5576 w 5595"/>
              <a:gd name="T17" fmla="*/ 2495 h 5566"/>
              <a:gd name="T18" fmla="*/ 5466 w 5595"/>
              <a:gd name="T19" fmla="*/ 1946 h 5566"/>
              <a:gd name="T20" fmla="*/ 5244 w 5595"/>
              <a:gd name="T21" fmla="*/ 1444 h 5566"/>
              <a:gd name="T22" fmla="*/ 4950 w 5595"/>
              <a:gd name="T23" fmla="*/ 1005 h 5566"/>
              <a:gd name="T24" fmla="*/ 4572 w 5595"/>
              <a:gd name="T25" fmla="*/ 621 h 5566"/>
              <a:gd name="T26" fmla="*/ 4120 w 5595"/>
              <a:gd name="T27" fmla="*/ 329 h 5566"/>
              <a:gd name="T28" fmla="*/ 3613 w 5595"/>
              <a:gd name="T29" fmla="*/ 118 h 5566"/>
              <a:gd name="T30" fmla="*/ 3069 w 5595"/>
              <a:gd name="T31" fmla="*/ 9 h 5566"/>
              <a:gd name="T32" fmla="*/ 2507 w 5595"/>
              <a:gd name="T33" fmla="*/ 9 h 5566"/>
              <a:gd name="T34" fmla="*/ 1954 w 5595"/>
              <a:gd name="T35" fmla="*/ 118 h 5566"/>
              <a:gd name="T36" fmla="*/ 1456 w 5595"/>
              <a:gd name="T37" fmla="*/ 329 h 5566"/>
              <a:gd name="T38" fmla="*/ 1004 w 5595"/>
              <a:gd name="T39" fmla="*/ 621 h 5566"/>
              <a:gd name="T40" fmla="*/ 626 w 5595"/>
              <a:gd name="T41" fmla="*/ 1005 h 5566"/>
              <a:gd name="T42" fmla="*/ 322 w 5595"/>
              <a:gd name="T43" fmla="*/ 1444 h 5566"/>
              <a:gd name="T44" fmla="*/ 110 w 5595"/>
              <a:gd name="T45" fmla="*/ 1946 h 5566"/>
              <a:gd name="T46" fmla="*/ 9 w 5595"/>
              <a:gd name="T47" fmla="*/ 2495 h 5566"/>
              <a:gd name="T48" fmla="*/ 9 w 5595"/>
              <a:gd name="T49" fmla="*/ 3062 h 5566"/>
              <a:gd name="T50" fmla="*/ 110 w 5595"/>
              <a:gd name="T51" fmla="*/ 3601 h 5566"/>
              <a:gd name="T52" fmla="*/ 322 w 5595"/>
              <a:gd name="T53" fmla="*/ 4104 h 5566"/>
              <a:gd name="T54" fmla="*/ 626 w 5595"/>
              <a:gd name="T55" fmla="*/ 4542 h 5566"/>
              <a:gd name="T56" fmla="*/ 1004 w 5595"/>
              <a:gd name="T57" fmla="*/ 4926 h 5566"/>
              <a:gd name="T58" fmla="*/ 1456 w 5595"/>
              <a:gd name="T59" fmla="*/ 5219 h 5566"/>
              <a:gd name="T60" fmla="*/ 1954 w 5595"/>
              <a:gd name="T61" fmla="*/ 5429 h 5566"/>
              <a:gd name="T62" fmla="*/ 2507 w 5595"/>
              <a:gd name="T63" fmla="*/ 5548 h 5566"/>
              <a:gd name="T64" fmla="*/ 2793 w 5595"/>
              <a:gd name="T65" fmla="*/ 5566 h 55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5595" h="5566">
                <a:moveTo>
                  <a:pt x="2793" y="5566"/>
                </a:moveTo>
                <a:lnTo>
                  <a:pt x="3069" y="5548"/>
                </a:lnTo>
                <a:lnTo>
                  <a:pt x="3355" y="5502"/>
                </a:lnTo>
                <a:lnTo>
                  <a:pt x="3613" y="5429"/>
                </a:lnTo>
                <a:lnTo>
                  <a:pt x="3880" y="5347"/>
                </a:lnTo>
                <a:lnTo>
                  <a:pt x="4120" y="5219"/>
                </a:lnTo>
                <a:lnTo>
                  <a:pt x="4350" y="5082"/>
                </a:lnTo>
                <a:lnTo>
                  <a:pt x="4572" y="4926"/>
                </a:lnTo>
                <a:lnTo>
                  <a:pt x="4774" y="4753"/>
                </a:lnTo>
                <a:lnTo>
                  <a:pt x="4950" y="4542"/>
                </a:lnTo>
                <a:lnTo>
                  <a:pt x="5115" y="4332"/>
                </a:lnTo>
                <a:lnTo>
                  <a:pt x="5244" y="4104"/>
                </a:lnTo>
                <a:lnTo>
                  <a:pt x="5374" y="3866"/>
                </a:lnTo>
                <a:lnTo>
                  <a:pt x="5466" y="3601"/>
                </a:lnTo>
                <a:lnTo>
                  <a:pt x="5530" y="3336"/>
                </a:lnTo>
                <a:lnTo>
                  <a:pt x="5576" y="3062"/>
                </a:lnTo>
                <a:lnTo>
                  <a:pt x="5595" y="2787"/>
                </a:lnTo>
                <a:lnTo>
                  <a:pt x="5576" y="2495"/>
                </a:lnTo>
                <a:lnTo>
                  <a:pt x="5530" y="2221"/>
                </a:lnTo>
                <a:lnTo>
                  <a:pt x="5466" y="1946"/>
                </a:lnTo>
                <a:lnTo>
                  <a:pt x="5374" y="1700"/>
                </a:lnTo>
                <a:lnTo>
                  <a:pt x="5244" y="1444"/>
                </a:lnTo>
                <a:lnTo>
                  <a:pt x="5115" y="1224"/>
                </a:lnTo>
                <a:lnTo>
                  <a:pt x="4950" y="1005"/>
                </a:lnTo>
                <a:lnTo>
                  <a:pt x="4774" y="813"/>
                </a:lnTo>
                <a:lnTo>
                  <a:pt x="4572" y="621"/>
                </a:lnTo>
                <a:lnTo>
                  <a:pt x="4350" y="466"/>
                </a:lnTo>
                <a:lnTo>
                  <a:pt x="4120" y="329"/>
                </a:lnTo>
                <a:lnTo>
                  <a:pt x="3880" y="210"/>
                </a:lnTo>
                <a:lnTo>
                  <a:pt x="3613" y="118"/>
                </a:lnTo>
                <a:lnTo>
                  <a:pt x="3355" y="54"/>
                </a:lnTo>
                <a:lnTo>
                  <a:pt x="3069" y="9"/>
                </a:lnTo>
                <a:lnTo>
                  <a:pt x="2793" y="0"/>
                </a:lnTo>
                <a:lnTo>
                  <a:pt x="2507" y="9"/>
                </a:lnTo>
                <a:lnTo>
                  <a:pt x="2221" y="54"/>
                </a:lnTo>
                <a:lnTo>
                  <a:pt x="1954" y="118"/>
                </a:lnTo>
                <a:lnTo>
                  <a:pt x="1705" y="210"/>
                </a:lnTo>
                <a:lnTo>
                  <a:pt x="1456" y="329"/>
                </a:lnTo>
                <a:lnTo>
                  <a:pt x="1225" y="466"/>
                </a:lnTo>
                <a:lnTo>
                  <a:pt x="1004" y="621"/>
                </a:lnTo>
                <a:lnTo>
                  <a:pt x="811" y="813"/>
                </a:lnTo>
                <a:lnTo>
                  <a:pt x="626" y="1005"/>
                </a:lnTo>
                <a:lnTo>
                  <a:pt x="470" y="1224"/>
                </a:lnTo>
                <a:lnTo>
                  <a:pt x="322" y="1444"/>
                </a:lnTo>
                <a:lnTo>
                  <a:pt x="212" y="1700"/>
                </a:lnTo>
                <a:lnTo>
                  <a:pt x="110" y="1946"/>
                </a:lnTo>
                <a:lnTo>
                  <a:pt x="46" y="2221"/>
                </a:lnTo>
                <a:lnTo>
                  <a:pt x="9" y="2495"/>
                </a:lnTo>
                <a:lnTo>
                  <a:pt x="0" y="2787"/>
                </a:lnTo>
                <a:lnTo>
                  <a:pt x="9" y="3062"/>
                </a:lnTo>
                <a:lnTo>
                  <a:pt x="46" y="3336"/>
                </a:lnTo>
                <a:lnTo>
                  <a:pt x="110" y="3601"/>
                </a:lnTo>
                <a:lnTo>
                  <a:pt x="212" y="3866"/>
                </a:lnTo>
                <a:lnTo>
                  <a:pt x="322" y="4104"/>
                </a:lnTo>
                <a:lnTo>
                  <a:pt x="470" y="4332"/>
                </a:lnTo>
                <a:lnTo>
                  <a:pt x="626" y="4542"/>
                </a:lnTo>
                <a:lnTo>
                  <a:pt x="811" y="4753"/>
                </a:lnTo>
                <a:lnTo>
                  <a:pt x="1004" y="4926"/>
                </a:lnTo>
                <a:lnTo>
                  <a:pt x="1225" y="5082"/>
                </a:lnTo>
                <a:lnTo>
                  <a:pt x="1456" y="5219"/>
                </a:lnTo>
                <a:lnTo>
                  <a:pt x="1705" y="5347"/>
                </a:lnTo>
                <a:lnTo>
                  <a:pt x="1954" y="5429"/>
                </a:lnTo>
                <a:lnTo>
                  <a:pt x="2221" y="5502"/>
                </a:lnTo>
                <a:lnTo>
                  <a:pt x="2507" y="5548"/>
                </a:lnTo>
                <a:lnTo>
                  <a:pt x="2793" y="5566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" name="Freeform 69">
            <a:extLst>
              <a:ext uri="{FF2B5EF4-FFF2-40B4-BE49-F238E27FC236}">
                <a16:creationId xmlns="" xmlns:a16="http://schemas.microsoft.com/office/drawing/2014/main" id="{00000000-0008-0000-0100-000008000000}"/>
              </a:ext>
            </a:extLst>
          </xdr:cNvPr>
          <xdr:cNvSpPr>
            <a:spLocks/>
          </xdr:cNvSpPr>
        </xdr:nvSpPr>
        <xdr:spPr bwMode="auto">
          <a:xfrm>
            <a:off x="182020" y="74949"/>
            <a:ext cx="206051" cy="405379"/>
          </a:xfrm>
          <a:custGeom>
            <a:avLst/>
            <a:gdLst>
              <a:gd name="T0" fmla="*/ 2268 w 2572"/>
              <a:gd name="T1" fmla="*/ 5028 h 5064"/>
              <a:gd name="T2" fmla="*/ 1733 w 2572"/>
              <a:gd name="T3" fmla="*/ 4918 h 5064"/>
              <a:gd name="T4" fmla="*/ 1263 w 2572"/>
              <a:gd name="T5" fmla="*/ 4726 h 5064"/>
              <a:gd name="T6" fmla="*/ 858 w 2572"/>
              <a:gd name="T7" fmla="*/ 4443 h 5064"/>
              <a:gd name="T8" fmla="*/ 507 w 2572"/>
              <a:gd name="T9" fmla="*/ 4095 h 5064"/>
              <a:gd name="T10" fmla="*/ 249 w 2572"/>
              <a:gd name="T11" fmla="*/ 3684 h 5064"/>
              <a:gd name="T12" fmla="*/ 74 w 2572"/>
              <a:gd name="T13" fmla="*/ 3218 h 5064"/>
              <a:gd name="T14" fmla="*/ 0 w 2572"/>
              <a:gd name="T15" fmla="*/ 2706 h 5064"/>
              <a:gd name="T16" fmla="*/ 19 w 2572"/>
              <a:gd name="T17" fmla="*/ 2148 h 5064"/>
              <a:gd name="T18" fmla="*/ 129 w 2572"/>
              <a:gd name="T19" fmla="*/ 1646 h 5064"/>
              <a:gd name="T20" fmla="*/ 332 w 2572"/>
              <a:gd name="T21" fmla="*/ 1189 h 5064"/>
              <a:gd name="T22" fmla="*/ 609 w 2572"/>
              <a:gd name="T23" fmla="*/ 805 h 5064"/>
              <a:gd name="T24" fmla="*/ 950 w 2572"/>
              <a:gd name="T25" fmla="*/ 476 h 5064"/>
              <a:gd name="T26" fmla="*/ 1355 w 2572"/>
              <a:gd name="T27" fmla="*/ 238 h 5064"/>
              <a:gd name="T28" fmla="*/ 1807 w 2572"/>
              <a:gd name="T29" fmla="*/ 64 h 5064"/>
              <a:gd name="T30" fmla="*/ 2305 w 2572"/>
              <a:gd name="T31" fmla="*/ 0 h 5064"/>
              <a:gd name="T32" fmla="*/ 2563 w 2572"/>
              <a:gd name="T33" fmla="*/ 265 h 5064"/>
              <a:gd name="T34" fmla="*/ 2084 w 2572"/>
              <a:gd name="T35" fmla="*/ 293 h 5064"/>
              <a:gd name="T36" fmla="*/ 1641 w 2572"/>
              <a:gd name="T37" fmla="*/ 412 h 5064"/>
              <a:gd name="T38" fmla="*/ 1236 w 2572"/>
              <a:gd name="T39" fmla="*/ 604 h 5064"/>
              <a:gd name="T40" fmla="*/ 904 w 2572"/>
              <a:gd name="T41" fmla="*/ 869 h 5064"/>
              <a:gd name="T42" fmla="*/ 609 w 2572"/>
              <a:gd name="T43" fmla="*/ 1189 h 5064"/>
              <a:gd name="T44" fmla="*/ 406 w 2572"/>
              <a:gd name="T45" fmla="*/ 1573 h 5064"/>
              <a:gd name="T46" fmla="*/ 277 w 2572"/>
              <a:gd name="T47" fmla="*/ 1993 h 5064"/>
              <a:gd name="T48" fmla="*/ 231 w 2572"/>
              <a:gd name="T49" fmla="*/ 2468 h 5064"/>
              <a:gd name="T50" fmla="*/ 277 w 2572"/>
              <a:gd name="T51" fmla="*/ 2925 h 5064"/>
              <a:gd name="T52" fmla="*/ 406 w 2572"/>
              <a:gd name="T53" fmla="*/ 3364 h 5064"/>
              <a:gd name="T54" fmla="*/ 600 w 2572"/>
              <a:gd name="T55" fmla="*/ 3766 h 5064"/>
              <a:gd name="T56" fmla="*/ 885 w 2572"/>
              <a:gd name="T57" fmla="*/ 4123 h 5064"/>
              <a:gd name="T58" fmla="*/ 1208 w 2572"/>
              <a:gd name="T59" fmla="*/ 4406 h 5064"/>
              <a:gd name="T60" fmla="*/ 1614 w 2572"/>
              <a:gd name="T61" fmla="*/ 4626 h 5064"/>
              <a:gd name="T62" fmla="*/ 2056 w 2572"/>
              <a:gd name="T63" fmla="*/ 4772 h 5064"/>
              <a:gd name="T64" fmla="*/ 2563 w 2572"/>
              <a:gd name="T65" fmla="*/ 4827 h 5064"/>
              <a:gd name="T66" fmla="*/ 2563 w 2572"/>
              <a:gd name="T67" fmla="*/ 5064 h 50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572" h="5064">
                <a:moveTo>
                  <a:pt x="2563" y="5064"/>
                </a:moveTo>
                <a:lnTo>
                  <a:pt x="2268" y="5028"/>
                </a:lnTo>
                <a:lnTo>
                  <a:pt x="1991" y="4991"/>
                </a:lnTo>
                <a:lnTo>
                  <a:pt x="1733" y="4918"/>
                </a:lnTo>
                <a:lnTo>
                  <a:pt x="1494" y="4836"/>
                </a:lnTo>
                <a:lnTo>
                  <a:pt x="1263" y="4726"/>
                </a:lnTo>
                <a:lnTo>
                  <a:pt x="1051" y="4598"/>
                </a:lnTo>
                <a:lnTo>
                  <a:pt x="858" y="4443"/>
                </a:lnTo>
                <a:lnTo>
                  <a:pt x="683" y="4287"/>
                </a:lnTo>
                <a:lnTo>
                  <a:pt x="507" y="4095"/>
                </a:lnTo>
                <a:lnTo>
                  <a:pt x="378" y="3903"/>
                </a:lnTo>
                <a:lnTo>
                  <a:pt x="249" y="3684"/>
                </a:lnTo>
                <a:lnTo>
                  <a:pt x="157" y="3474"/>
                </a:lnTo>
                <a:lnTo>
                  <a:pt x="74" y="3218"/>
                </a:lnTo>
                <a:lnTo>
                  <a:pt x="28" y="2971"/>
                </a:lnTo>
                <a:lnTo>
                  <a:pt x="0" y="2706"/>
                </a:lnTo>
                <a:lnTo>
                  <a:pt x="0" y="2432"/>
                </a:lnTo>
                <a:lnTo>
                  <a:pt x="19" y="2148"/>
                </a:lnTo>
                <a:lnTo>
                  <a:pt x="65" y="1892"/>
                </a:lnTo>
                <a:lnTo>
                  <a:pt x="129" y="1646"/>
                </a:lnTo>
                <a:lnTo>
                  <a:pt x="222" y="1408"/>
                </a:lnTo>
                <a:lnTo>
                  <a:pt x="332" y="1189"/>
                </a:lnTo>
                <a:lnTo>
                  <a:pt x="461" y="988"/>
                </a:lnTo>
                <a:lnTo>
                  <a:pt x="609" y="805"/>
                </a:lnTo>
                <a:lnTo>
                  <a:pt x="775" y="631"/>
                </a:lnTo>
                <a:lnTo>
                  <a:pt x="950" y="476"/>
                </a:lnTo>
                <a:lnTo>
                  <a:pt x="1143" y="348"/>
                </a:lnTo>
                <a:lnTo>
                  <a:pt x="1355" y="238"/>
                </a:lnTo>
                <a:lnTo>
                  <a:pt x="1577" y="147"/>
                </a:lnTo>
                <a:lnTo>
                  <a:pt x="1807" y="64"/>
                </a:lnTo>
                <a:lnTo>
                  <a:pt x="2056" y="19"/>
                </a:lnTo>
                <a:lnTo>
                  <a:pt x="2305" y="0"/>
                </a:lnTo>
                <a:lnTo>
                  <a:pt x="2572" y="0"/>
                </a:lnTo>
                <a:lnTo>
                  <a:pt x="2563" y="265"/>
                </a:lnTo>
                <a:lnTo>
                  <a:pt x="2305" y="265"/>
                </a:lnTo>
                <a:lnTo>
                  <a:pt x="2084" y="293"/>
                </a:lnTo>
                <a:lnTo>
                  <a:pt x="1844" y="339"/>
                </a:lnTo>
                <a:lnTo>
                  <a:pt x="1641" y="412"/>
                </a:lnTo>
                <a:lnTo>
                  <a:pt x="1429" y="494"/>
                </a:lnTo>
                <a:lnTo>
                  <a:pt x="1236" y="604"/>
                </a:lnTo>
                <a:lnTo>
                  <a:pt x="1051" y="722"/>
                </a:lnTo>
                <a:lnTo>
                  <a:pt x="904" y="869"/>
                </a:lnTo>
                <a:lnTo>
                  <a:pt x="747" y="1015"/>
                </a:lnTo>
                <a:lnTo>
                  <a:pt x="609" y="1189"/>
                </a:lnTo>
                <a:lnTo>
                  <a:pt x="489" y="1371"/>
                </a:lnTo>
                <a:lnTo>
                  <a:pt x="406" y="1573"/>
                </a:lnTo>
                <a:lnTo>
                  <a:pt x="323" y="1774"/>
                </a:lnTo>
                <a:lnTo>
                  <a:pt x="277" y="1993"/>
                </a:lnTo>
                <a:lnTo>
                  <a:pt x="231" y="2222"/>
                </a:lnTo>
                <a:lnTo>
                  <a:pt x="231" y="2468"/>
                </a:lnTo>
                <a:lnTo>
                  <a:pt x="240" y="2697"/>
                </a:lnTo>
                <a:lnTo>
                  <a:pt x="277" y="2925"/>
                </a:lnTo>
                <a:lnTo>
                  <a:pt x="323" y="3145"/>
                </a:lnTo>
                <a:lnTo>
                  <a:pt x="406" y="3364"/>
                </a:lnTo>
                <a:lnTo>
                  <a:pt x="489" y="3565"/>
                </a:lnTo>
                <a:lnTo>
                  <a:pt x="600" y="3766"/>
                </a:lnTo>
                <a:lnTo>
                  <a:pt x="729" y="3949"/>
                </a:lnTo>
                <a:lnTo>
                  <a:pt x="885" y="4123"/>
                </a:lnTo>
                <a:lnTo>
                  <a:pt x="1033" y="4269"/>
                </a:lnTo>
                <a:lnTo>
                  <a:pt x="1208" y="4406"/>
                </a:lnTo>
                <a:lnTo>
                  <a:pt x="1402" y="4525"/>
                </a:lnTo>
                <a:lnTo>
                  <a:pt x="1614" y="4626"/>
                </a:lnTo>
                <a:lnTo>
                  <a:pt x="1826" y="4708"/>
                </a:lnTo>
                <a:lnTo>
                  <a:pt x="2056" y="4772"/>
                </a:lnTo>
                <a:lnTo>
                  <a:pt x="2296" y="4808"/>
                </a:lnTo>
                <a:lnTo>
                  <a:pt x="2563" y="4827"/>
                </a:lnTo>
                <a:lnTo>
                  <a:pt x="2563" y="5064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" name="Freeform 70">
            <a:extLst>
              <a:ext uri="{FF2B5EF4-FFF2-40B4-BE49-F238E27FC236}">
                <a16:creationId xmlns="" xmlns:a16="http://schemas.microsoft.com/office/drawing/2014/main" id="{00000000-0008-0000-0100-000009000000}"/>
              </a:ext>
            </a:extLst>
          </xdr:cNvPr>
          <xdr:cNvSpPr>
            <a:spLocks/>
          </xdr:cNvSpPr>
        </xdr:nvSpPr>
        <xdr:spPr bwMode="auto">
          <a:xfrm>
            <a:off x="340544" y="87084"/>
            <a:ext cx="421739" cy="127235"/>
          </a:xfrm>
          <a:custGeom>
            <a:avLst/>
            <a:gdLst>
              <a:gd name="T0" fmla="*/ 451 w 5263"/>
              <a:gd name="T1" fmla="*/ 100 h 1590"/>
              <a:gd name="T2" fmla="*/ 507 w 5263"/>
              <a:gd name="T3" fmla="*/ 91 h 1590"/>
              <a:gd name="T4" fmla="*/ 581 w 5263"/>
              <a:gd name="T5" fmla="*/ 91 h 1590"/>
              <a:gd name="T6" fmla="*/ 663 w 5263"/>
              <a:gd name="T7" fmla="*/ 100 h 1590"/>
              <a:gd name="T8" fmla="*/ 756 w 5263"/>
              <a:gd name="T9" fmla="*/ 128 h 1590"/>
              <a:gd name="T10" fmla="*/ 866 w 5263"/>
              <a:gd name="T11" fmla="*/ 164 h 1590"/>
              <a:gd name="T12" fmla="*/ 977 w 5263"/>
              <a:gd name="T13" fmla="*/ 238 h 1590"/>
              <a:gd name="T14" fmla="*/ 1161 w 5263"/>
              <a:gd name="T15" fmla="*/ 393 h 1590"/>
              <a:gd name="T16" fmla="*/ 1364 w 5263"/>
              <a:gd name="T17" fmla="*/ 503 h 1590"/>
              <a:gd name="T18" fmla="*/ 1530 w 5263"/>
              <a:gd name="T19" fmla="*/ 512 h 1590"/>
              <a:gd name="T20" fmla="*/ 1659 w 5263"/>
              <a:gd name="T21" fmla="*/ 448 h 1590"/>
              <a:gd name="T22" fmla="*/ 1770 w 5263"/>
              <a:gd name="T23" fmla="*/ 338 h 1590"/>
              <a:gd name="T24" fmla="*/ 1899 w 5263"/>
              <a:gd name="T25" fmla="*/ 201 h 1590"/>
              <a:gd name="T26" fmla="*/ 2037 w 5263"/>
              <a:gd name="T27" fmla="*/ 91 h 1590"/>
              <a:gd name="T28" fmla="*/ 2231 w 5263"/>
              <a:gd name="T29" fmla="*/ 9 h 1590"/>
              <a:gd name="T30" fmla="*/ 2424 w 5263"/>
              <a:gd name="T31" fmla="*/ 0 h 1590"/>
              <a:gd name="T32" fmla="*/ 2562 w 5263"/>
              <a:gd name="T33" fmla="*/ 36 h 1590"/>
              <a:gd name="T34" fmla="*/ 2691 w 5263"/>
              <a:gd name="T35" fmla="*/ 110 h 1590"/>
              <a:gd name="T36" fmla="*/ 2793 w 5263"/>
              <a:gd name="T37" fmla="*/ 192 h 1590"/>
              <a:gd name="T38" fmla="*/ 2903 w 5263"/>
              <a:gd name="T39" fmla="*/ 292 h 1590"/>
              <a:gd name="T40" fmla="*/ 3005 w 5263"/>
              <a:gd name="T41" fmla="*/ 375 h 1590"/>
              <a:gd name="T42" fmla="*/ 3125 w 5263"/>
              <a:gd name="T43" fmla="*/ 439 h 1590"/>
              <a:gd name="T44" fmla="*/ 3254 w 5263"/>
              <a:gd name="T45" fmla="*/ 484 h 1590"/>
              <a:gd name="T46" fmla="*/ 3410 w 5263"/>
              <a:gd name="T47" fmla="*/ 484 h 1590"/>
              <a:gd name="T48" fmla="*/ 3530 w 5263"/>
              <a:gd name="T49" fmla="*/ 439 h 1590"/>
              <a:gd name="T50" fmla="*/ 3641 w 5263"/>
              <a:gd name="T51" fmla="*/ 375 h 1590"/>
              <a:gd name="T52" fmla="*/ 3733 w 5263"/>
              <a:gd name="T53" fmla="*/ 292 h 1590"/>
              <a:gd name="T54" fmla="*/ 3825 w 5263"/>
              <a:gd name="T55" fmla="*/ 201 h 1590"/>
              <a:gd name="T56" fmla="*/ 3927 w 5263"/>
              <a:gd name="T57" fmla="*/ 119 h 1590"/>
              <a:gd name="T58" fmla="*/ 4046 w 5263"/>
              <a:gd name="T59" fmla="*/ 46 h 1590"/>
              <a:gd name="T60" fmla="*/ 4194 w 5263"/>
              <a:gd name="T61" fmla="*/ 9 h 1590"/>
              <a:gd name="T62" fmla="*/ 4341 w 5263"/>
              <a:gd name="T63" fmla="*/ 18 h 1590"/>
              <a:gd name="T64" fmla="*/ 4470 w 5263"/>
              <a:gd name="T65" fmla="*/ 64 h 1590"/>
              <a:gd name="T66" fmla="*/ 4581 w 5263"/>
              <a:gd name="T67" fmla="*/ 137 h 1590"/>
              <a:gd name="T68" fmla="*/ 4673 w 5263"/>
              <a:gd name="T69" fmla="*/ 238 h 1590"/>
              <a:gd name="T70" fmla="*/ 4756 w 5263"/>
              <a:gd name="T71" fmla="*/ 329 h 1590"/>
              <a:gd name="T72" fmla="*/ 4858 w 5263"/>
              <a:gd name="T73" fmla="*/ 420 h 1590"/>
              <a:gd name="T74" fmla="*/ 4977 w 5263"/>
              <a:gd name="T75" fmla="*/ 484 h 1590"/>
              <a:gd name="T76" fmla="*/ 5143 w 5263"/>
              <a:gd name="T77" fmla="*/ 530 h 1590"/>
              <a:gd name="T78" fmla="*/ 5263 w 5263"/>
              <a:gd name="T79" fmla="*/ 1097 h 1590"/>
              <a:gd name="T80" fmla="*/ 0 w 5263"/>
              <a:gd name="T81" fmla="*/ 1563 h 1590"/>
              <a:gd name="T82" fmla="*/ 442 w 5263"/>
              <a:gd name="T83" fmla="*/ 110 h 15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590">
                <a:moveTo>
                  <a:pt x="442" y="110"/>
                </a:moveTo>
                <a:lnTo>
                  <a:pt x="451" y="100"/>
                </a:lnTo>
                <a:lnTo>
                  <a:pt x="488" y="91"/>
                </a:lnTo>
                <a:lnTo>
                  <a:pt x="507" y="91"/>
                </a:lnTo>
                <a:lnTo>
                  <a:pt x="553" y="91"/>
                </a:lnTo>
                <a:lnTo>
                  <a:pt x="581" y="91"/>
                </a:lnTo>
                <a:lnTo>
                  <a:pt x="627" y="100"/>
                </a:lnTo>
                <a:lnTo>
                  <a:pt x="663" y="100"/>
                </a:lnTo>
                <a:lnTo>
                  <a:pt x="710" y="119"/>
                </a:lnTo>
                <a:lnTo>
                  <a:pt x="756" y="128"/>
                </a:lnTo>
                <a:lnTo>
                  <a:pt x="811" y="146"/>
                </a:lnTo>
                <a:lnTo>
                  <a:pt x="866" y="164"/>
                </a:lnTo>
                <a:lnTo>
                  <a:pt x="922" y="201"/>
                </a:lnTo>
                <a:lnTo>
                  <a:pt x="977" y="238"/>
                </a:lnTo>
                <a:lnTo>
                  <a:pt x="1032" y="292"/>
                </a:lnTo>
                <a:lnTo>
                  <a:pt x="1161" y="393"/>
                </a:lnTo>
                <a:lnTo>
                  <a:pt x="1272" y="466"/>
                </a:lnTo>
                <a:lnTo>
                  <a:pt x="1364" y="503"/>
                </a:lnTo>
                <a:lnTo>
                  <a:pt x="1456" y="530"/>
                </a:lnTo>
                <a:lnTo>
                  <a:pt x="1530" y="512"/>
                </a:lnTo>
                <a:lnTo>
                  <a:pt x="1594" y="493"/>
                </a:lnTo>
                <a:lnTo>
                  <a:pt x="1659" y="448"/>
                </a:lnTo>
                <a:lnTo>
                  <a:pt x="1724" y="402"/>
                </a:lnTo>
                <a:lnTo>
                  <a:pt x="1770" y="338"/>
                </a:lnTo>
                <a:lnTo>
                  <a:pt x="1834" y="274"/>
                </a:lnTo>
                <a:lnTo>
                  <a:pt x="1899" y="201"/>
                </a:lnTo>
                <a:lnTo>
                  <a:pt x="1972" y="146"/>
                </a:lnTo>
                <a:lnTo>
                  <a:pt x="2037" y="91"/>
                </a:lnTo>
                <a:lnTo>
                  <a:pt x="2129" y="46"/>
                </a:lnTo>
                <a:lnTo>
                  <a:pt x="2231" y="9"/>
                </a:lnTo>
                <a:lnTo>
                  <a:pt x="2341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6"/>
                </a:lnTo>
                <a:lnTo>
                  <a:pt x="2636" y="73"/>
                </a:lnTo>
                <a:lnTo>
                  <a:pt x="2691" y="110"/>
                </a:lnTo>
                <a:lnTo>
                  <a:pt x="2747" y="146"/>
                </a:lnTo>
                <a:lnTo>
                  <a:pt x="2793" y="192"/>
                </a:lnTo>
                <a:lnTo>
                  <a:pt x="2857" y="247"/>
                </a:lnTo>
                <a:lnTo>
                  <a:pt x="2903" y="292"/>
                </a:lnTo>
                <a:lnTo>
                  <a:pt x="2950" y="329"/>
                </a:lnTo>
                <a:lnTo>
                  <a:pt x="3005" y="375"/>
                </a:lnTo>
                <a:lnTo>
                  <a:pt x="3060" y="420"/>
                </a:lnTo>
                <a:lnTo>
                  <a:pt x="3125" y="439"/>
                </a:lnTo>
                <a:lnTo>
                  <a:pt x="3189" y="466"/>
                </a:lnTo>
                <a:lnTo>
                  <a:pt x="3254" y="484"/>
                </a:lnTo>
                <a:lnTo>
                  <a:pt x="3337" y="493"/>
                </a:lnTo>
                <a:lnTo>
                  <a:pt x="3410" y="484"/>
                </a:lnTo>
                <a:lnTo>
                  <a:pt x="3466" y="466"/>
                </a:lnTo>
                <a:lnTo>
                  <a:pt x="3530" y="439"/>
                </a:lnTo>
                <a:lnTo>
                  <a:pt x="3586" y="411"/>
                </a:lnTo>
                <a:lnTo>
                  <a:pt x="3641" y="375"/>
                </a:lnTo>
                <a:lnTo>
                  <a:pt x="3687" y="329"/>
                </a:lnTo>
                <a:lnTo>
                  <a:pt x="3733" y="292"/>
                </a:lnTo>
                <a:lnTo>
                  <a:pt x="3788" y="247"/>
                </a:lnTo>
                <a:lnTo>
                  <a:pt x="3825" y="201"/>
                </a:lnTo>
                <a:lnTo>
                  <a:pt x="3881" y="155"/>
                </a:lnTo>
                <a:lnTo>
                  <a:pt x="3927" y="119"/>
                </a:lnTo>
                <a:lnTo>
                  <a:pt x="3991" y="82"/>
                </a:lnTo>
                <a:lnTo>
                  <a:pt x="4046" y="46"/>
                </a:lnTo>
                <a:lnTo>
                  <a:pt x="4111" y="27"/>
                </a:lnTo>
                <a:lnTo>
                  <a:pt x="4194" y="9"/>
                </a:lnTo>
                <a:lnTo>
                  <a:pt x="4277" y="18"/>
                </a:lnTo>
                <a:lnTo>
                  <a:pt x="4341" y="18"/>
                </a:lnTo>
                <a:lnTo>
                  <a:pt x="4415" y="36"/>
                </a:lnTo>
                <a:lnTo>
                  <a:pt x="4470" y="64"/>
                </a:lnTo>
                <a:lnTo>
                  <a:pt x="4535" y="100"/>
                </a:lnTo>
                <a:lnTo>
                  <a:pt x="4581" y="137"/>
                </a:lnTo>
                <a:lnTo>
                  <a:pt x="4627" y="183"/>
                </a:lnTo>
                <a:lnTo>
                  <a:pt x="4673" y="238"/>
                </a:lnTo>
                <a:lnTo>
                  <a:pt x="4719" y="292"/>
                </a:lnTo>
                <a:lnTo>
                  <a:pt x="4756" y="329"/>
                </a:lnTo>
                <a:lnTo>
                  <a:pt x="4812" y="375"/>
                </a:lnTo>
                <a:lnTo>
                  <a:pt x="4858" y="420"/>
                </a:lnTo>
                <a:lnTo>
                  <a:pt x="4922" y="466"/>
                </a:lnTo>
                <a:lnTo>
                  <a:pt x="4977" y="484"/>
                </a:lnTo>
                <a:lnTo>
                  <a:pt x="5060" y="512"/>
                </a:lnTo>
                <a:lnTo>
                  <a:pt x="5143" y="530"/>
                </a:lnTo>
                <a:lnTo>
                  <a:pt x="5254" y="530"/>
                </a:lnTo>
                <a:lnTo>
                  <a:pt x="5263" y="1097"/>
                </a:lnTo>
                <a:lnTo>
                  <a:pt x="3106" y="1590"/>
                </a:lnTo>
                <a:lnTo>
                  <a:pt x="0" y="1563"/>
                </a:lnTo>
                <a:lnTo>
                  <a:pt x="46" y="311"/>
                </a:lnTo>
                <a:lnTo>
                  <a:pt x="442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" name="Freeform 71">
            <a:extLst>
              <a:ext uri="{FF2B5EF4-FFF2-40B4-BE49-F238E27FC236}">
                <a16:creationId xmlns="" xmlns:a16="http://schemas.microsoft.com/office/drawing/2014/main" id="{00000000-0008-0000-0100-00000A000000}"/>
              </a:ext>
            </a:extLst>
          </xdr:cNvPr>
          <xdr:cNvSpPr>
            <a:spLocks/>
          </xdr:cNvSpPr>
        </xdr:nvSpPr>
        <xdr:spPr bwMode="auto">
          <a:xfrm>
            <a:off x="340544" y="98088"/>
            <a:ext cx="422453" cy="112662"/>
          </a:xfrm>
          <a:custGeom>
            <a:avLst/>
            <a:gdLst>
              <a:gd name="T0" fmla="*/ 451 w 5272"/>
              <a:gd name="T1" fmla="*/ 91 h 1408"/>
              <a:gd name="T2" fmla="*/ 507 w 5272"/>
              <a:gd name="T3" fmla="*/ 82 h 1408"/>
              <a:gd name="T4" fmla="*/ 590 w 5272"/>
              <a:gd name="T5" fmla="*/ 82 h 1408"/>
              <a:gd name="T6" fmla="*/ 673 w 5272"/>
              <a:gd name="T7" fmla="*/ 91 h 1408"/>
              <a:gd name="T8" fmla="*/ 765 w 5272"/>
              <a:gd name="T9" fmla="*/ 110 h 1408"/>
              <a:gd name="T10" fmla="*/ 866 w 5272"/>
              <a:gd name="T11" fmla="*/ 155 h 1408"/>
              <a:gd name="T12" fmla="*/ 977 w 5272"/>
              <a:gd name="T13" fmla="*/ 219 h 1408"/>
              <a:gd name="T14" fmla="*/ 1161 w 5272"/>
              <a:gd name="T15" fmla="*/ 347 h 1408"/>
              <a:gd name="T16" fmla="*/ 1364 w 5272"/>
              <a:gd name="T17" fmla="*/ 457 h 1408"/>
              <a:gd name="T18" fmla="*/ 1530 w 5272"/>
              <a:gd name="T19" fmla="*/ 457 h 1408"/>
              <a:gd name="T20" fmla="*/ 1659 w 5272"/>
              <a:gd name="T21" fmla="*/ 402 h 1408"/>
              <a:gd name="T22" fmla="*/ 1770 w 5272"/>
              <a:gd name="T23" fmla="*/ 302 h 1408"/>
              <a:gd name="T24" fmla="*/ 1899 w 5272"/>
              <a:gd name="T25" fmla="*/ 192 h 1408"/>
              <a:gd name="T26" fmla="*/ 2037 w 5272"/>
              <a:gd name="T27" fmla="*/ 82 h 1408"/>
              <a:gd name="T28" fmla="*/ 2231 w 5272"/>
              <a:gd name="T29" fmla="*/ 18 h 1408"/>
              <a:gd name="T30" fmla="*/ 2424 w 5272"/>
              <a:gd name="T31" fmla="*/ 0 h 1408"/>
              <a:gd name="T32" fmla="*/ 2562 w 5272"/>
              <a:gd name="T33" fmla="*/ 37 h 1408"/>
              <a:gd name="T34" fmla="*/ 2691 w 5272"/>
              <a:gd name="T35" fmla="*/ 101 h 1408"/>
              <a:gd name="T36" fmla="*/ 2793 w 5272"/>
              <a:gd name="T37" fmla="*/ 174 h 1408"/>
              <a:gd name="T38" fmla="*/ 2903 w 5272"/>
              <a:gd name="T39" fmla="*/ 265 h 1408"/>
              <a:gd name="T40" fmla="*/ 3005 w 5272"/>
              <a:gd name="T41" fmla="*/ 329 h 1408"/>
              <a:gd name="T42" fmla="*/ 3125 w 5272"/>
              <a:gd name="T43" fmla="*/ 393 h 1408"/>
              <a:gd name="T44" fmla="*/ 3254 w 5272"/>
              <a:gd name="T45" fmla="*/ 439 h 1408"/>
              <a:gd name="T46" fmla="*/ 3410 w 5272"/>
              <a:gd name="T47" fmla="*/ 430 h 1408"/>
              <a:gd name="T48" fmla="*/ 3530 w 5272"/>
              <a:gd name="T49" fmla="*/ 393 h 1408"/>
              <a:gd name="T50" fmla="*/ 3641 w 5272"/>
              <a:gd name="T51" fmla="*/ 329 h 1408"/>
              <a:gd name="T52" fmla="*/ 3733 w 5272"/>
              <a:gd name="T53" fmla="*/ 256 h 1408"/>
              <a:gd name="T54" fmla="*/ 3834 w 5272"/>
              <a:gd name="T55" fmla="*/ 183 h 1408"/>
              <a:gd name="T56" fmla="*/ 3936 w 5272"/>
              <a:gd name="T57" fmla="*/ 110 h 1408"/>
              <a:gd name="T58" fmla="*/ 4056 w 5272"/>
              <a:gd name="T59" fmla="*/ 46 h 1408"/>
              <a:gd name="T60" fmla="*/ 4194 w 5272"/>
              <a:gd name="T61" fmla="*/ 18 h 1408"/>
              <a:gd name="T62" fmla="*/ 4351 w 5272"/>
              <a:gd name="T63" fmla="*/ 18 h 1408"/>
              <a:gd name="T64" fmla="*/ 4480 w 5272"/>
              <a:gd name="T65" fmla="*/ 55 h 1408"/>
              <a:gd name="T66" fmla="*/ 4581 w 5272"/>
              <a:gd name="T67" fmla="*/ 128 h 1408"/>
              <a:gd name="T68" fmla="*/ 4682 w 5272"/>
              <a:gd name="T69" fmla="*/ 210 h 1408"/>
              <a:gd name="T70" fmla="*/ 4765 w 5272"/>
              <a:gd name="T71" fmla="*/ 302 h 1408"/>
              <a:gd name="T72" fmla="*/ 4867 w 5272"/>
              <a:gd name="T73" fmla="*/ 375 h 1408"/>
              <a:gd name="T74" fmla="*/ 4987 w 5272"/>
              <a:gd name="T75" fmla="*/ 439 h 1408"/>
              <a:gd name="T76" fmla="*/ 5153 w 5272"/>
              <a:gd name="T77" fmla="*/ 475 h 1408"/>
              <a:gd name="T78" fmla="*/ 5272 w 5272"/>
              <a:gd name="T79" fmla="*/ 978 h 1408"/>
              <a:gd name="T80" fmla="*/ 0 w 5272"/>
              <a:gd name="T81" fmla="*/ 1389 h 1408"/>
              <a:gd name="T82" fmla="*/ 442 w 5272"/>
              <a:gd name="T83" fmla="*/ 101 h 14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2" h="1408">
                <a:moveTo>
                  <a:pt x="442" y="101"/>
                </a:moveTo>
                <a:lnTo>
                  <a:pt x="451" y="91"/>
                </a:lnTo>
                <a:lnTo>
                  <a:pt x="488" y="82"/>
                </a:lnTo>
                <a:lnTo>
                  <a:pt x="507" y="82"/>
                </a:lnTo>
                <a:lnTo>
                  <a:pt x="553" y="82"/>
                </a:lnTo>
                <a:lnTo>
                  <a:pt x="590" y="82"/>
                </a:lnTo>
                <a:lnTo>
                  <a:pt x="636" y="91"/>
                </a:lnTo>
                <a:lnTo>
                  <a:pt x="673" y="91"/>
                </a:lnTo>
                <a:lnTo>
                  <a:pt x="719" y="101"/>
                </a:lnTo>
                <a:lnTo>
                  <a:pt x="765" y="110"/>
                </a:lnTo>
                <a:lnTo>
                  <a:pt x="820" y="128"/>
                </a:lnTo>
                <a:lnTo>
                  <a:pt x="866" y="155"/>
                </a:lnTo>
                <a:lnTo>
                  <a:pt x="922" y="183"/>
                </a:lnTo>
                <a:lnTo>
                  <a:pt x="977" y="219"/>
                </a:lnTo>
                <a:lnTo>
                  <a:pt x="1032" y="265"/>
                </a:lnTo>
                <a:lnTo>
                  <a:pt x="1161" y="347"/>
                </a:lnTo>
                <a:lnTo>
                  <a:pt x="1272" y="411"/>
                </a:lnTo>
                <a:lnTo>
                  <a:pt x="1364" y="457"/>
                </a:lnTo>
                <a:lnTo>
                  <a:pt x="1456" y="475"/>
                </a:lnTo>
                <a:lnTo>
                  <a:pt x="1530" y="457"/>
                </a:lnTo>
                <a:lnTo>
                  <a:pt x="1594" y="439"/>
                </a:lnTo>
                <a:lnTo>
                  <a:pt x="1659" y="402"/>
                </a:lnTo>
                <a:lnTo>
                  <a:pt x="1724" y="366"/>
                </a:lnTo>
                <a:lnTo>
                  <a:pt x="1770" y="302"/>
                </a:lnTo>
                <a:lnTo>
                  <a:pt x="1834" y="247"/>
                </a:lnTo>
                <a:lnTo>
                  <a:pt x="1899" y="192"/>
                </a:lnTo>
                <a:lnTo>
                  <a:pt x="1972" y="137"/>
                </a:lnTo>
                <a:lnTo>
                  <a:pt x="2037" y="82"/>
                </a:lnTo>
                <a:lnTo>
                  <a:pt x="2129" y="46"/>
                </a:lnTo>
                <a:lnTo>
                  <a:pt x="2231" y="18"/>
                </a:lnTo>
                <a:lnTo>
                  <a:pt x="2350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7"/>
                </a:lnTo>
                <a:lnTo>
                  <a:pt x="2636" y="64"/>
                </a:lnTo>
                <a:lnTo>
                  <a:pt x="2691" y="101"/>
                </a:lnTo>
                <a:lnTo>
                  <a:pt x="2747" y="137"/>
                </a:lnTo>
                <a:lnTo>
                  <a:pt x="2793" y="174"/>
                </a:lnTo>
                <a:lnTo>
                  <a:pt x="2857" y="219"/>
                </a:lnTo>
                <a:lnTo>
                  <a:pt x="2903" y="265"/>
                </a:lnTo>
                <a:lnTo>
                  <a:pt x="2950" y="302"/>
                </a:lnTo>
                <a:lnTo>
                  <a:pt x="3005" y="329"/>
                </a:lnTo>
                <a:lnTo>
                  <a:pt x="3060" y="366"/>
                </a:lnTo>
                <a:lnTo>
                  <a:pt x="3125" y="393"/>
                </a:lnTo>
                <a:lnTo>
                  <a:pt x="3189" y="420"/>
                </a:lnTo>
                <a:lnTo>
                  <a:pt x="3254" y="439"/>
                </a:lnTo>
                <a:lnTo>
                  <a:pt x="3337" y="439"/>
                </a:lnTo>
                <a:lnTo>
                  <a:pt x="3410" y="430"/>
                </a:lnTo>
                <a:lnTo>
                  <a:pt x="3466" y="411"/>
                </a:lnTo>
                <a:lnTo>
                  <a:pt x="3530" y="393"/>
                </a:lnTo>
                <a:lnTo>
                  <a:pt x="3595" y="366"/>
                </a:lnTo>
                <a:lnTo>
                  <a:pt x="3641" y="329"/>
                </a:lnTo>
                <a:lnTo>
                  <a:pt x="3687" y="292"/>
                </a:lnTo>
                <a:lnTo>
                  <a:pt x="3733" y="256"/>
                </a:lnTo>
                <a:lnTo>
                  <a:pt x="3788" y="219"/>
                </a:lnTo>
                <a:lnTo>
                  <a:pt x="3834" y="183"/>
                </a:lnTo>
                <a:lnTo>
                  <a:pt x="3881" y="146"/>
                </a:lnTo>
                <a:lnTo>
                  <a:pt x="3936" y="110"/>
                </a:lnTo>
                <a:lnTo>
                  <a:pt x="3991" y="82"/>
                </a:lnTo>
                <a:lnTo>
                  <a:pt x="4056" y="46"/>
                </a:lnTo>
                <a:lnTo>
                  <a:pt x="4120" y="27"/>
                </a:lnTo>
                <a:lnTo>
                  <a:pt x="4194" y="18"/>
                </a:lnTo>
                <a:lnTo>
                  <a:pt x="4277" y="18"/>
                </a:lnTo>
                <a:lnTo>
                  <a:pt x="4351" y="18"/>
                </a:lnTo>
                <a:lnTo>
                  <a:pt x="4424" y="37"/>
                </a:lnTo>
                <a:lnTo>
                  <a:pt x="4480" y="55"/>
                </a:lnTo>
                <a:lnTo>
                  <a:pt x="4535" y="91"/>
                </a:lnTo>
                <a:lnTo>
                  <a:pt x="4581" y="128"/>
                </a:lnTo>
                <a:lnTo>
                  <a:pt x="4636" y="174"/>
                </a:lnTo>
                <a:lnTo>
                  <a:pt x="4682" y="210"/>
                </a:lnTo>
                <a:lnTo>
                  <a:pt x="4729" y="265"/>
                </a:lnTo>
                <a:lnTo>
                  <a:pt x="4765" y="302"/>
                </a:lnTo>
                <a:lnTo>
                  <a:pt x="4821" y="347"/>
                </a:lnTo>
                <a:lnTo>
                  <a:pt x="4867" y="375"/>
                </a:lnTo>
                <a:lnTo>
                  <a:pt x="4931" y="411"/>
                </a:lnTo>
                <a:lnTo>
                  <a:pt x="4987" y="439"/>
                </a:lnTo>
                <a:lnTo>
                  <a:pt x="5070" y="466"/>
                </a:lnTo>
                <a:lnTo>
                  <a:pt x="5153" y="475"/>
                </a:lnTo>
                <a:lnTo>
                  <a:pt x="5254" y="475"/>
                </a:lnTo>
                <a:lnTo>
                  <a:pt x="5272" y="978"/>
                </a:lnTo>
                <a:lnTo>
                  <a:pt x="3115" y="1408"/>
                </a:lnTo>
                <a:lnTo>
                  <a:pt x="0" y="1389"/>
                </a:lnTo>
                <a:lnTo>
                  <a:pt x="46" y="283"/>
                </a:lnTo>
                <a:lnTo>
                  <a:pt x="442" y="101"/>
                </a:lnTo>
                <a:close/>
              </a:path>
            </a:pathLst>
          </a:custGeom>
          <a:solidFill>
            <a:srgbClr val="FFCC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" name="Freeform 72">
            <a:extLst>
              <a:ext uri="{FF2B5EF4-FFF2-40B4-BE49-F238E27FC236}">
                <a16:creationId xmlns="" xmlns:a16="http://schemas.microsoft.com/office/drawing/2014/main" id="{00000000-0008-0000-0100-00000B000000}"/>
              </a:ext>
            </a:extLst>
          </xdr:cNvPr>
          <xdr:cNvSpPr>
            <a:spLocks/>
          </xdr:cNvSpPr>
        </xdr:nvSpPr>
        <xdr:spPr bwMode="auto">
          <a:xfrm>
            <a:off x="342685" y="107011"/>
            <a:ext cx="421679" cy="98088"/>
          </a:xfrm>
          <a:custGeom>
            <a:avLst/>
            <a:gdLst>
              <a:gd name="T0" fmla="*/ 452 w 5263"/>
              <a:gd name="T1" fmla="*/ 83 h 1225"/>
              <a:gd name="T2" fmla="*/ 507 w 5263"/>
              <a:gd name="T3" fmla="*/ 73 h 1225"/>
              <a:gd name="T4" fmla="*/ 581 w 5263"/>
              <a:gd name="T5" fmla="*/ 73 h 1225"/>
              <a:gd name="T6" fmla="*/ 664 w 5263"/>
              <a:gd name="T7" fmla="*/ 73 h 1225"/>
              <a:gd name="T8" fmla="*/ 756 w 5263"/>
              <a:gd name="T9" fmla="*/ 92 h 1225"/>
              <a:gd name="T10" fmla="*/ 866 w 5263"/>
              <a:gd name="T11" fmla="*/ 128 h 1225"/>
              <a:gd name="T12" fmla="*/ 977 w 5263"/>
              <a:gd name="T13" fmla="*/ 183 h 1225"/>
              <a:gd name="T14" fmla="*/ 1152 w 5263"/>
              <a:gd name="T15" fmla="*/ 293 h 1225"/>
              <a:gd name="T16" fmla="*/ 1364 w 5263"/>
              <a:gd name="T17" fmla="*/ 384 h 1225"/>
              <a:gd name="T18" fmla="*/ 1521 w 5263"/>
              <a:gd name="T19" fmla="*/ 393 h 1225"/>
              <a:gd name="T20" fmla="*/ 1650 w 5263"/>
              <a:gd name="T21" fmla="*/ 338 h 1225"/>
              <a:gd name="T22" fmla="*/ 1770 w 5263"/>
              <a:gd name="T23" fmla="*/ 256 h 1225"/>
              <a:gd name="T24" fmla="*/ 1890 w 5263"/>
              <a:gd name="T25" fmla="*/ 156 h 1225"/>
              <a:gd name="T26" fmla="*/ 2037 w 5263"/>
              <a:gd name="T27" fmla="*/ 64 h 1225"/>
              <a:gd name="T28" fmla="*/ 2222 w 5263"/>
              <a:gd name="T29" fmla="*/ 9 h 1225"/>
              <a:gd name="T30" fmla="*/ 2415 w 5263"/>
              <a:gd name="T31" fmla="*/ 0 h 1225"/>
              <a:gd name="T32" fmla="*/ 2563 w 5263"/>
              <a:gd name="T33" fmla="*/ 28 h 1225"/>
              <a:gd name="T34" fmla="*/ 2682 w 5263"/>
              <a:gd name="T35" fmla="*/ 83 h 1225"/>
              <a:gd name="T36" fmla="*/ 2793 w 5263"/>
              <a:gd name="T37" fmla="*/ 156 h 1225"/>
              <a:gd name="T38" fmla="*/ 2894 w 5263"/>
              <a:gd name="T39" fmla="*/ 220 h 1225"/>
              <a:gd name="T40" fmla="*/ 3005 w 5263"/>
              <a:gd name="T41" fmla="*/ 293 h 1225"/>
              <a:gd name="T42" fmla="*/ 3116 w 5263"/>
              <a:gd name="T43" fmla="*/ 338 h 1225"/>
              <a:gd name="T44" fmla="*/ 3245 w 5263"/>
              <a:gd name="T45" fmla="*/ 375 h 1225"/>
              <a:gd name="T46" fmla="*/ 3401 w 5263"/>
              <a:gd name="T47" fmla="*/ 375 h 1225"/>
              <a:gd name="T48" fmla="*/ 3530 w 5263"/>
              <a:gd name="T49" fmla="*/ 338 h 1225"/>
              <a:gd name="T50" fmla="*/ 3632 w 5263"/>
              <a:gd name="T51" fmla="*/ 293 h 1225"/>
              <a:gd name="T52" fmla="*/ 3733 w 5263"/>
              <a:gd name="T53" fmla="*/ 220 h 1225"/>
              <a:gd name="T54" fmla="*/ 3825 w 5263"/>
              <a:gd name="T55" fmla="*/ 156 h 1225"/>
              <a:gd name="T56" fmla="*/ 3927 w 5263"/>
              <a:gd name="T57" fmla="*/ 92 h 1225"/>
              <a:gd name="T58" fmla="*/ 4047 w 5263"/>
              <a:gd name="T59" fmla="*/ 37 h 1225"/>
              <a:gd name="T60" fmla="*/ 4185 w 5263"/>
              <a:gd name="T61" fmla="*/ 9 h 1225"/>
              <a:gd name="T62" fmla="*/ 4342 w 5263"/>
              <a:gd name="T63" fmla="*/ 19 h 1225"/>
              <a:gd name="T64" fmla="*/ 4471 w 5263"/>
              <a:gd name="T65" fmla="*/ 46 h 1225"/>
              <a:gd name="T66" fmla="*/ 4572 w 5263"/>
              <a:gd name="T67" fmla="*/ 110 h 1225"/>
              <a:gd name="T68" fmla="*/ 4673 w 5263"/>
              <a:gd name="T69" fmla="*/ 183 h 1225"/>
              <a:gd name="T70" fmla="*/ 4756 w 5263"/>
              <a:gd name="T71" fmla="*/ 256 h 1225"/>
              <a:gd name="T72" fmla="*/ 4858 w 5263"/>
              <a:gd name="T73" fmla="*/ 329 h 1225"/>
              <a:gd name="T74" fmla="*/ 4978 w 5263"/>
              <a:gd name="T75" fmla="*/ 375 h 1225"/>
              <a:gd name="T76" fmla="*/ 5144 w 5263"/>
              <a:gd name="T77" fmla="*/ 402 h 1225"/>
              <a:gd name="T78" fmla="*/ 5263 w 5263"/>
              <a:gd name="T79" fmla="*/ 841 h 1225"/>
              <a:gd name="T80" fmla="*/ 0 w 5263"/>
              <a:gd name="T81" fmla="*/ 1198 h 1225"/>
              <a:gd name="T82" fmla="*/ 442 w 5263"/>
              <a:gd name="T83" fmla="*/ 92 h 12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225">
                <a:moveTo>
                  <a:pt x="442" y="92"/>
                </a:moveTo>
                <a:lnTo>
                  <a:pt x="452" y="83"/>
                </a:lnTo>
                <a:lnTo>
                  <a:pt x="489" y="73"/>
                </a:lnTo>
                <a:lnTo>
                  <a:pt x="507" y="73"/>
                </a:lnTo>
                <a:lnTo>
                  <a:pt x="544" y="73"/>
                </a:lnTo>
                <a:lnTo>
                  <a:pt x="581" y="73"/>
                </a:lnTo>
                <a:lnTo>
                  <a:pt x="627" y="73"/>
                </a:lnTo>
                <a:lnTo>
                  <a:pt x="664" y="73"/>
                </a:lnTo>
                <a:lnTo>
                  <a:pt x="710" y="83"/>
                </a:lnTo>
                <a:lnTo>
                  <a:pt x="756" y="92"/>
                </a:lnTo>
                <a:lnTo>
                  <a:pt x="811" y="119"/>
                </a:lnTo>
                <a:lnTo>
                  <a:pt x="866" y="128"/>
                </a:lnTo>
                <a:lnTo>
                  <a:pt x="913" y="156"/>
                </a:lnTo>
                <a:lnTo>
                  <a:pt x="977" y="183"/>
                </a:lnTo>
                <a:lnTo>
                  <a:pt x="1032" y="220"/>
                </a:lnTo>
                <a:lnTo>
                  <a:pt x="1152" y="293"/>
                </a:lnTo>
                <a:lnTo>
                  <a:pt x="1263" y="357"/>
                </a:lnTo>
                <a:lnTo>
                  <a:pt x="1364" y="384"/>
                </a:lnTo>
                <a:lnTo>
                  <a:pt x="1447" y="393"/>
                </a:lnTo>
                <a:lnTo>
                  <a:pt x="1521" y="393"/>
                </a:lnTo>
                <a:lnTo>
                  <a:pt x="1585" y="375"/>
                </a:lnTo>
                <a:lnTo>
                  <a:pt x="1650" y="338"/>
                </a:lnTo>
                <a:lnTo>
                  <a:pt x="1715" y="311"/>
                </a:lnTo>
                <a:lnTo>
                  <a:pt x="1770" y="256"/>
                </a:lnTo>
                <a:lnTo>
                  <a:pt x="1825" y="210"/>
                </a:lnTo>
                <a:lnTo>
                  <a:pt x="1890" y="156"/>
                </a:lnTo>
                <a:lnTo>
                  <a:pt x="1963" y="119"/>
                </a:lnTo>
                <a:lnTo>
                  <a:pt x="2037" y="64"/>
                </a:lnTo>
                <a:lnTo>
                  <a:pt x="2129" y="28"/>
                </a:lnTo>
                <a:lnTo>
                  <a:pt x="2222" y="9"/>
                </a:lnTo>
                <a:lnTo>
                  <a:pt x="2341" y="9"/>
                </a:lnTo>
                <a:lnTo>
                  <a:pt x="2415" y="0"/>
                </a:lnTo>
                <a:lnTo>
                  <a:pt x="2498" y="9"/>
                </a:lnTo>
                <a:lnTo>
                  <a:pt x="2563" y="28"/>
                </a:lnTo>
                <a:lnTo>
                  <a:pt x="2636" y="55"/>
                </a:lnTo>
                <a:lnTo>
                  <a:pt x="2682" y="83"/>
                </a:lnTo>
                <a:lnTo>
                  <a:pt x="2738" y="119"/>
                </a:lnTo>
                <a:lnTo>
                  <a:pt x="2793" y="156"/>
                </a:lnTo>
                <a:lnTo>
                  <a:pt x="2848" y="192"/>
                </a:lnTo>
                <a:lnTo>
                  <a:pt x="2894" y="220"/>
                </a:lnTo>
                <a:lnTo>
                  <a:pt x="2950" y="256"/>
                </a:lnTo>
                <a:lnTo>
                  <a:pt x="3005" y="293"/>
                </a:lnTo>
                <a:lnTo>
                  <a:pt x="3060" y="320"/>
                </a:lnTo>
                <a:lnTo>
                  <a:pt x="3116" y="338"/>
                </a:lnTo>
                <a:lnTo>
                  <a:pt x="3180" y="366"/>
                </a:lnTo>
                <a:lnTo>
                  <a:pt x="3245" y="375"/>
                </a:lnTo>
                <a:lnTo>
                  <a:pt x="3328" y="384"/>
                </a:lnTo>
                <a:lnTo>
                  <a:pt x="3401" y="375"/>
                </a:lnTo>
                <a:lnTo>
                  <a:pt x="3466" y="357"/>
                </a:lnTo>
                <a:lnTo>
                  <a:pt x="3530" y="338"/>
                </a:lnTo>
                <a:lnTo>
                  <a:pt x="3586" y="320"/>
                </a:lnTo>
                <a:lnTo>
                  <a:pt x="3632" y="293"/>
                </a:lnTo>
                <a:lnTo>
                  <a:pt x="3687" y="256"/>
                </a:lnTo>
                <a:lnTo>
                  <a:pt x="3733" y="220"/>
                </a:lnTo>
                <a:lnTo>
                  <a:pt x="3789" y="192"/>
                </a:lnTo>
                <a:lnTo>
                  <a:pt x="3825" y="156"/>
                </a:lnTo>
                <a:lnTo>
                  <a:pt x="3872" y="119"/>
                </a:lnTo>
                <a:lnTo>
                  <a:pt x="3927" y="92"/>
                </a:lnTo>
                <a:lnTo>
                  <a:pt x="3982" y="64"/>
                </a:lnTo>
                <a:lnTo>
                  <a:pt x="4047" y="37"/>
                </a:lnTo>
                <a:lnTo>
                  <a:pt x="4111" y="28"/>
                </a:lnTo>
                <a:lnTo>
                  <a:pt x="4185" y="9"/>
                </a:lnTo>
                <a:lnTo>
                  <a:pt x="4268" y="19"/>
                </a:lnTo>
                <a:lnTo>
                  <a:pt x="4342" y="19"/>
                </a:lnTo>
                <a:lnTo>
                  <a:pt x="4415" y="28"/>
                </a:lnTo>
                <a:lnTo>
                  <a:pt x="4471" y="46"/>
                </a:lnTo>
                <a:lnTo>
                  <a:pt x="4526" y="83"/>
                </a:lnTo>
                <a:lnTo>
                  <a:pt x="4572" y="110"/>
                </a:lnTo>
                <a:lnTo>
                  <a:pt x="4627" y="146"/>
                </a:lnTo>
                <a:lnTo>
                  <a:pt x="4673" y="183"/>
                </a:lnTo>
                <a:lnTo>
                  <a:pt x="4720" y="220"/>
                </a:lnTo>
                <a:lnTo>
                  <a:pt x="4756" y="256"/>
                </a:lnTo>
                <a:lnTo>
                  <a:pt x="4812" y="293"/>
                </a:lnTo>
                <a:lnTo>
                  <a:pt x="4858" y="329"/>
                </a:lnTo>
                <a:lnTo>
                  <a:pt x="4922" y="357"/>
                </a:lnTo>
                <a:lnTo>
                  <a:pt x="4978" y="375"/>
                </a:lnTo>
                <a:lnTo>
                  <a:pt x="5061" y="393"/>
                </a:lnTo>
                <a:lnTo>
                  <a:pt x="5144" y="402"/>
                </a:lnTo>
                <a:lnTo>
                  <a:pt x="5245" y="412"/>
                </a:lnTo>
                <a:lnTo>
                  <a:pt x="5263" y="841"/>
                </a:lnTo>
                <a:lnTo>
                  <a:pt x="3106" y="1225"/>
                </a:lnTo>
                <a:lnTo>
                  <a:pt x="0" y="1198"/>
                </a:lnTo>
                <a:lnTo>
                  <a:pt x="46" y="247"/>
                </a:lnTo>
                <a:lnTo>
                  <a:pt x="442" y="92"/>
                </a:lnTo>
                <a:close/>
              </a:path>
            </a:pathLst>
          </a:custGeom>
          <a:solidFill>
            <a:srgbClr val="DBE8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2" name="Freeform 73">
            <a:extLst>
              <a:ext uri="{FF2B5EF4-FFF2-40B4-BE49-F238E27FC236}">
                <a16:creationId xmlns="" xmlns:a16="http://schemas.microsoft.com/office/drawing/2014/main" id="{00000000-0008-0000-0100-00000C000000}"/>
              </a:ext>
            </a:extLst>
          </xdr:cNvPr>
          <xdr:cNvSpPr>
            <a:spLocks/>
          </xdr:cNvSpPr>
        </xdr:nvSpPr>
        <xdr:spPr bwMode="auto">
          <a:xfrm>
            <a:off x="345838" y="123844"/>
            <a:ext cx="422512" cy="83396"/>
          </a:xfrm>
          <a:custGeom>
            <a:avLst/>
            <a:gdLst>
              <a:gd name="T0" fmla="*/ 452 w 5273"/>
              <a:gd name="T1" fmla="*/ 73 h 1042"/>
              <a:gd name="T2" fmla="*/ 507 w 5273"/>
              <a:gd name="T3" fmla="*/ 64 h 1042"/>
              <a:gd name="T4" fmla="*/ 590 w 5273"/>
              <a:gd name="T5" fmla="*/ 64 h 1042"/>
              <a:gd name="T6" fmla="*/ 673 w 5273"/>
              <a:gd name="T7" fmla="*/ 73 h 1042"/>
              <a:gd name="T8" fmla="*/ 765 w 5273"/>
              <a:gd name="T9" fmla="*/ 83 h 1042"/>
              <a:gd name="T10" fmla="*/ 866 w 5273"/>
              <a:gd name="T11" fmla="*/ 119 h 1042"/>
              <a:gd name="T12" fmla="*/ 977 w 5273"/>
              <a:gd name="T13" fmla="*/ 156 h 1042"/>
              <a:gd name="T14" fmla="*/ 1152 w 5273"/>
              <a:gd name="T15" fmla="*/ 256 h 1042"/>
              <a:gd name="T16" fmla="*/ 1364 w 5273"/>
              <a:gd name="T17" fmla="*/ 329 h 1042"/>
              <a:gd name="T18" fmla="*/ 1521 w 5273"/>
              <a:gd name="T19" fmla="*/ 339 h 1042"/>
              <a:gd name="T20" fmla="*/ 1650 w 5273"/>
              <a:gd name="T21" fmla="*/ 302 h 1042"/>
              <a:gd name="T22" fmla="*/ 1770 w 5273"/>
              <a:gd name="T23" fmla="*/ 220 h 1042"/>
              <a:gd name="T24" fmla="*/ 1899 w 5273"/>
              <a:gd name="T25" fmla="*/ 137 h 1042"/>
              <a:gd name="T26" fmla="*/ 2037 w 5273"/>
              <a:gd name="T27" fmla="*/ 64 h 1042"/>
              <a:gd name="T28" fmla="*/ 2222 w 5273"/>
              <a:gd name="T29" fmla="*/ 9 h 1042"/>
              <a:gd name="T30" fmla="*/ 2415 w 5273"/>
              <a:gd name="T31" fmla="*/ 0 h 1042"/>
              <a:gd name="T32" fmla="*/ 2563 w 5273"/>
              <a:gd name="T33" fmla="*/ 28 h 1042"/>
              <a:gd name="T34" fmla="*/ 2682 w 5273"/>
              <a:gd name="T35" fmla="*/ 73 h 1042"/>
              <a:gd name="T36" fmla="*/ 2793 w 5273"/>
              <a:gd name="T37" fmla="*/ 128 h 1042"/>
              <a:gd name="T38" fmla="*/ 2894 w 5273"/>
              <a:gd name="T39" fmla="*/ 192 h 1042"/>
              <a:gd name="T40" fmla="*/ 3005 w 5273"/>
              <a:gd name="T41" fmla="*/ 247 h 1042"/>
              <a:gd name="T42" fmla="*/ 3116 w 5273"/>
              <a:gd name="T43" fmla="*/ 293 h 1042"/>
              <a:gd name="T44" fmla="*/ 3245 w 5273"/>
              <a:gd name="T45" fmla="*/ 329 h 1042"/>
              <a:gd name="T46" fmla="*/ 3401 w 5273"/>
              <a:gd name="T47" fmla="*/ 320 h 1042"/>
              <a:gd name="T48" fmla="*/ 3530 w 5273"/>
              <a:gd name="T49" fmla="*/ 293 h 1042"/>
              <a:gd name="T50" fmla="*/ 3632 w 5273"/>
              <a:gd name="T51" fmla="*/ 247 h 1042"/>
              <a:gd name="T52" fmla="*/ 3733 w 5273"/>
              <a:gd name="T53" fmla="*/ 192 h 1042"/>
              <a:gd name="T54" fmla="*/ 3825 w 5273"/>
              <a:gd name="T55" fmla="*/ 137 h 1042"/>
              <a:gd name="T56" fmla="*/ 3927 w 5273"/>
              <a:gd name="T57" fmla="*/ 83 h 1042"/>
              <a:gd name="T58" fmla="*/ 4047 w 5273"/>
              <a:gd name="T59" fmla="*/ 46 h 1042"/>
              <a:gd name="T60" fmla="*/ 4185 w 5273"/>
              <a:gd name="T61" fmla="*/ 19 h 1042"/>
              <a:gd name="T62" fmla="*/ 4351 w 5273"/>
              <a:gd name="T63" fmla="*/ 19 h 1042"/>
              <a:gd name="T64" fmla="*/ 4480 w 5273"/>
              <a:gd name="T65" fmla="*/ 46 h 1042"/>
              <a:gd name="T66" fmla="*/ 4581 w 5273"/>
              <a:gd name="T67" fmla="*/ 92 h 1042"/>
              <a:gd name="T68" fmla="*/ 4683 w 5273"/>
              <a:gd name="T69" fmla="*/ 156 h 1042"/>
              <a:gd name="T70" fmla="*/ 4766 w 5273"/>
              <a:gd name="T71" fmla="*/ 220 h 1042"/>
              <a:gd name="T72" fmla="*/ 4858 w 5273"/>
              <a:gd name="T73" fmla="*/ 284 h 1042"/>
              <a:gd name="T74" fmla="*/ 4987 w 5273"/>
              <a:gd name="T75" fmla="*/ 320 h 1042"/>
              <a:gd name="T76" fmla="*/ 5153 w 5273"/>
              <a:gd name="T77" fmla="*/ 348 h 1042"/>
              <a:gd name="T78" fmla="*/ 5273 w 5273"/>
              <a:gd name="T79" fmla="*/ 713 h 1042"/>
              <a:gd name="T80" fmla="*/ 0 w 5273"/>
              <a:gd name="T81" fmla="*/ 1015 h 1042"/>
              <a:gd name="T82" fmla="*/ 442 w 5273"/>
              <a:gd name="T83" fmla="*/ 83 h 10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1042">
                <a:moveTo>
                  <a:pt x="442" y="83"/>
                </a:moveTo>
                <a:lnTo>
                  <a:pt x="452" y="73"/>
                </a:lnTo>
                <a:lnTo>
                  <a:pt x="489" y="73"/>
                </a:lnTo>
                <a:lnTo>
                  <a:pt x="507" y="64"/>
                </a:lnTo>
                <a:lnTo>
                  <a:pt x="544" y="64"/>
                </a:lnTo>
                <a:lnTo>
                  <a:pt x="590" y="64"/>
                </a:lnTo>
                <a:lnTo>
                  <a:pt x="627" y="73"/>
                </a:lnTo>
                <a:lnTo>
                  <a:pt x="673" y="73"/>
                </a:lnTo>
                <a:lnTo>
                  <a:pt x="719" y="83"/>
                </a:lnTo>
                <a:lnTo>
                  <a:pt x="765" y="83"/>
                </a:lnTo>
                <a:lnTo>
                  <a:pt x="820" y="110"/>
                </a:lnTo>
                <a:lnTo>
                  <a:pt x="866" y="119"/>
                </a:lnTo>
                <a:lnTo>
                  <a:pt x="922" y="137"/>
                </a:lnTo>
                <a:lnTo>
                  <a:pt x="977" y="156"/>
                </a:lnTo>
                <a:lnTo>
                  <a:pt x="1032" y="192"/>
                </a:lnTo>
                <a:lnTo>
                  <a:pt x="1152" y="256"/>
                </a:lnTo>
                <a:lnTo>
                  <a:pt x="1263" y="302"/>
                </a:lnTo>
                <a:lnTo>
                  <a:pt x="1364" y="329"/>
                </a:lnTo>
                <a:lnTo>
                  <a:pt x="1456" y="348"/>
                </a:lnTo>
                <a:lnTo>
                  <a:pt x="1521" y="339"/>
                </a:lnTo>
                <a:lnTo>
                  <a:pt x="1595" y="329"/>
                </a:lnTo>
                <a:lnTo>
                  <a:pt x="1650" y="302"/>
                </a:lnTo>
                <a:lnTo>
                  <a:pt x="1724" y="265"/>
                </a:lnTo>
                <a:lnTo>
                  <a:pt x="1770" y="220"/>
                </a:lnTo>
                <a:lnTo>
                  <a:pt x="1825" y="183"/>
                </a:lnTo>
                <a:lnTo>
                  <a:pt x="1899" y="137"/>
                </a:lnTo>
                <a:lnTo>
                  <a:pt x="1963" y="101"/>
                </a:lnTo>
                <a:lnTo>
                  <a:pt x="2037" y="64"/>
                </a:lnTo>
                <a:lnTo>
                  <a:pt x="2129" y="37"/>
                </a:lnTo>
                <a:lnTo>
                  <a:pt x="2222" y="9"/>
                </a:lnTo>
                <a:lnTo>
                  <a:pt x="2351" y="9"/>
                </a:lnTo>
                <a:lnTo>
                  <a:pt x="2415" y="0"/>
                </a:lnTo>
                <a:lnTo>
                  <a:pt x="2498" y="19"/>
                </a:lnTo>
                <a:lnTo>
                  <a:pt x="2563" y="28"/>
                </a:lnTo>
                <a:lnTo>
                  <a:pt x="2636" y="55"/>
                </a:lnTo>
                <a:lnTo>
                  <a:pt x="2682" y="73"/>
                </a:lnTo>
                <a:lnTo>
                  <a:pt x="2738" y="110"/>
                </a:lnTo>
                <a:lnTo>
                  <a:pt x="2793" y="128"/>
                </a:lnTo>
                <a:lnTo>
                  <a:pt x="2848" y="174"/>
                </a:lnTo>
                <a:lnTo>
                  <a:pt x="2894" y="192"/>
                </a:lnTo>
                <a:lnTo>
                  <a:pt x="2950" y="220"/>
                </a:lnTo>
                <a:lnTo>
                  <a:pt x="3005" y="247"/>
                </a:lnTo>
                <a:lnTo>
                  <a:pt x="3060" y="284"/>
                </a:lnTo>
                <a:lnTo>
                  <a:pt x="3116" y="293"/>
                </a:lnTo>
                <a:lnTo>
                  <a:pt x="3180" y="311"/>
                </a:lnTo>
                <a:lnTo>
                  <a:pt x="3245" y="329"/>
                </a:lnTo>
                <a:lnTo>
                  <a:pt x="3328" y="329"/>
                </a:lnTo>
                <a:lnTo>
                  <a:pt x="3401" y="320"/>
                </a:lnTo>
                <a:lnTo>
                  <a:pt x="3466" y="311"/>
                </a:lnTo>
                <a:lnTo>
                  <a:pt x="3530" y="293"/>
                </a:lnTo>
                <a:lnTo>
                  <a:pt x="3595" y="275"/>
                </a:lnTo>
                <a:lnTo>
                  <a:pt x="3632" y="247"/>
                </a:lnTo>
                <a:lnTo>
                  <a:pt x="3687" y="220"/>
                </a:lnTo>
                <a:lnTo>
                  <a:pt x="3733" y="192"/>
                </a:lnTo>
                <a:lnTo>
                  <a:pt x="3789" y="174"/>
                </a:lnTo>
                <a:lnTo>
                  <a:pt x="3825" y="137"/>
                </a:lnTo>
                <a:lnTo>
                  <a:pt x="3872" y="110"/>
                </a:lnTo>
                <a:lnTo>
                  <a:pt x="3927" y="83"/>
                </a:lnTo>
                <a:lnTo>
                  <a:pt x="3982" y="64"/>
                </a:lnTo>
                <a:lnTo>
                  <a:pt x="4047" y="46"/>
                </a:lnTo>
                <a:lnTo>
                  <a:pt x="4111" y="28"/>
                </a:lnTo>
                <a:lnTo>
                  <a:pt x="4185" y="19"/>
                </a:lnTo>
                <a:lnTo>
                  <a:pt x="4268" y="19"/>
                </a:lnTo>
                <a:lnTo>
                  <a:pt x="4351" y="19"/>
                </a:lnTo>
                <a:lnTo>
                  <a:pt x="4415" y="37"/>
                </a:lnTo>
                <a:lnTo>
                  <a:pt x="4480" y="46"/>
                </a:lnTo>
                <a:lnTo>
                  <a:pt x="4535" y="73"/>
                </a:lnTo>
                <a:lnTo>
                  <a:pt x="4581" y="92"/>
                </a:lnTo>
                <a:lnTo>
                  <a:pt x="4637" y="128"/>
                </a:lnTo>
                <a:lnTo>
                  <a:pt x="4683" y="156"/>
                </a:lnTo>
                <a:lnTo>
                  <a:pt x="4729" y="192"/>
                </a:lnTo>
                <a:lnTo>
                  <a:pt x="4766" y="220"/>
                </a:lnTo>
                <a:lnTo>
                  <a:pt x="4812" y="256"/>
                </a:lnTo>
                <a:lnTo>
                  <a:pt x="4858" y="284"/>
                </a:lnTo>
                <a:lnTo>
                  <a:pt x="4922" y="302"/>
                </a:lnTo>
                <a:lnTo>
                  <a:pt x="4987" y="320"/>
                </a:lnTo>
                <a:lnTo>
                  <a:pt x="5070" y="339"/>
                </a:lnTo>
                <a:lnTo>
                  <a:pt x="5153" y="348"/>
                </a:lnTo>
                <a:lnTo>
                  <a:pt x="5254" y="357"/>
                </a:lnTo>
                <a:lnTo>
                  <a:pt x="5273" y="713"/>
                </a:lnTo>
                <a:lnTo>
                  <a:pt x="3116" y="1042"/>
                </a:lnTo>
                <a:lnTo>
                  <a:pt x="0" y="1015"/>
                </a:lnTo>
                <a:lnTo>
                  <a:pt x="46" y="211"/>
                </a:lnTo>
                <a:lnTo>
                  <a:pt x="442" y="83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3" name="Freeform 74">
            <a:extLst>
              <a:ext uri="{FF2B5EF4-FFF2-40B4-BE49-F238E27FC236}">
                <a16:creationId xmlns="" xmlns:a16="http://schemas.microsoft.com/office/drawing/2014/main" id="{00000000-0008-0000-0100-00000D000000}"/>
              </a:ext>
            </a:extLst>
          </xdr:cNvPr>
          <xdr:cNvSpPr>
            <a:spLocks/>
          </xdr:cNvSpPr>
        </xdr:nvSpPr>
        <xdr:spPr bwMode="auto">
          <a:xfrm>
            <a:off x="341317" y="133183"/>
            <a:ext cx="422453" cy="67335"/>
          </a:xfrm>
          <a:custGeom>
            <a:avLst/>
            <a:gdLst>
              <a:gd name="T0" fmla="*/ 461 w 5273"/>
              <a:gd name="T1" fmla="*/ 45 h 841"/>
              <a:gd name="T2" fmla="*/ 516 w 5273"/>
              <a:gd name="T3" fmla="*/ 36 h 841"/>
              <a:gd name="T4" fmla="*/ 590 w 5273"/>
              <a:gd name="T5" fmla="*/ 36 h 841"/>
              <a:gd name="T6" fmla="*/ 673 w 5273"/>
              <a:gd name="T7" fmla="*/ 45 h 841"/>
              <a:gd name="T8" fmla="*/ 765 w 5273"/>
              <a:gd name="T9" fmla="*/ 55 h 841"/>
              <a:gd name="T10" fmla="*/ 866 w 5273"/>
              <a:gd name="T11" fmla="*/ 82 h 841"/>
              <a:gd name="T12" fmla="*/ 977 w 5273"/>
              <a:gd name="T13" fmla="*/ 119 h 841"/>
              <a:gd name="T14" fmla="*/ 1161 w 5273"/>
              <a:gd name="T15" fmla="*/ 201 h 841"/>
              <a:gd name="T16" fmla="*/ 1373 w 5273"/>
              <a:gd name="T17" fmla="*/ 256 h 841"/>
              <a:gd name="T18" fmla="*/ 1521 w 5273"/>
              <a:gd name="T19" fmla="*/ 265 h 841"/>
              <a:gd name="T20" fmla="*/ 1650 w 5273"/>
              <a:gd name="T21" fmla="*/ 228 h 841"/>
              <a:gd name="T22" fmla="*/ 1779 w 5273"/>
              <a:gd name="T23" fmla="*/ 173 h 841"/>
              <a:gd name="T24" fmla="*/ 1899 w 5273"/>
              <a:gd name="T25" fmla="*/ 100 h 841"/>
              <a:gd name="T26" fmla="*/ 2046 w 5273"/>
              <a:gd name="T27" fmla="*/ 36 h 841"/>
              <a:gd name="T28" fmla="*/ 2231 w 5273"/>
              <a:gd name="T29" fmla="*/ 0 h 841"/>
              <a:gd name="T30" fmla="*/ 2424 w 5273"/>
              <a:gd name="T31" fmla="*/ 0 h 841"/>
              <a:gd name="T32" fmla="*/ 2572 w 5273"/>
              <a:gd name="T33" fmla="*/ 18 h 841"/>
              <a:gd name="T34" fmla="*/ 2692 w 5273"/>
              <a:gd name="T35" fmla="*/ 55 h 841"/>
              <a:gd name="T36" fmla="*/ 2802 w 5273"/>
              <a:gd name="T37" fmla="*/ 100 h 841"/>
              <a:gd name="T38" fmla="*/ 2904 w 5273"/>
              <a:gd name="T39" fmla="*/ 146 h 841"/>
              <a:gd name="T40" fmla="*/ 3005 w 5273"/>
              <a:gd name="T41" fmla="*/ 192 h 841"/>
              <a:gd name="T42" fmla="*/ 3125 w 5273"/>
              <a:gd name="T43" fmla="*/ 228 h 841"/>
              <a:gd name="T44" fmla="*/ 3254 w 5273"/>
              <a:gd name="T45" fmla="*/ 256 h 841"/>
              <a:gd name="T46" fmla="*/ 3411 w 5273"/>
              <a:gd name="T47" fmla="*/ 247 h 841"/>
              <a:gd name="T48" fmla="*/ 3530 w 5273"/>
              <a:gd name="T49" fmla="*/ 219 h 841"/>
              <a:gd name="T50" fmla="*/ 3641 w 5273"/>
              <a:gd name="T51" fmla="*/ 192 h 841"/>
              <a:gd name="T52" fmla="*/ 3742 w 5273"/>
              <a:gd name="T53" fmla="*/ 146 h 841"/>
              <a:gd name="T54" fmla="*/ 3835 w 5273"/>
              <a:gd name="T55" fmla="*/ 100 h 841"/>
              <a:gd name="T56" fmla="*/ 3936 w 5273"/>
              <a:gd name="T57" fmla="*/ 55 h 841"/>
              <a:gd name="T58" fmla="*/ 4047 w 5273"/>
              <a:gd name="T59" fmla="*/ 18 h 841"/>
              <a:gd name="T60" fmla="*/ 4194 w 5273"/>
              <a:gd name="T61" fmla="*/ 0 h 841"/>
              <a:gd name="T62" fmla="*/ 4351 w 5273"/>
              <a:gd name="T63" fmla="*/ 9 h 841"/>
              <a:gd name="T64" fmla="*/ 4480 w 5273"/>
              <a:gd name="T65" fmla="*/ 27 h 841"/>
              <a:gd name="T66" fmla="*/ 4581 w 5273"/>
              <a:gd name="T67" fmla="*/ 64 h 841"/>
              <a:gd name="T68" fmla="*/ 4683 w 5273"/>
              <a:gd name="T69" fmla="*/ 119 h 841"/>
              <a:gd name="T70" fmla="*/ 4766 w 5273"/>
              <a:gd name="T71" fmla="*/ 173 h 841"/>
              <a:gd name="T72" fmla="*/ 4858 w 5273"/>
              <a:gd name="T73" fmla="*/ 210 h 841"/>
              <a:gd name="T74" fmla="*/ 4987 w 5273"/>
              <a:gd name="T75" fmla="*/ 256 h 841"/>
              <a:gd name="T76" fmla="*/ 5153 w 5273"/>
              <a:gd name="T77" fmla="*/ 274 h 841"/>
              <a:gd name="T78" fmla="*/ 5273 w 5273"/>
              <a:gd name="T79" fmla="*/ 585 h 841"/>
              <a:gd name="T80" fmla="*/ 0 w 5273"/>
              <a:gd name="T81" fmla="*/ 822 h 841"/>
              <a:gd name="T82" fmla="*/ 452 w 5273"/>
              <a:gd name="T83" fmla="*/ 55 h 8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841">
                <a:moveTo>
                  <a:pt x="452" y="55"/>
                </a:moveTo>
                <a:lnTo>
                  <a:pt x="461" y="45"/>
                </a:lnTo>
                <a:lnTo>
                  <a:pt x="498" y="45"/>
                </a:lnTo>
                <a:lnTo>
                  <a:pt x="516" y="36"/>
                </a:lnTo>
                <a:lnTo>
                  <a:pt x="553" y="36"/>
                </a:lnTo>
                <a:lnTo>
                  <a:pt x="590" y="36"/>
                </a:lnTo>
                <a:lnTo>
                  <a:pt x="627" y="45"/>
                </a:lnTo>
                <a:lnTo>
                  <a:pt x="673" y="45"/>
                </a:lnTo>
                <a:lnTo>
                  <a:pt x="719" y="45"/>
                </a:lnTo>
                <a:lnTo>
                  <a:pt x="765" y="55"/>
                </a:lnTo>
                <a:lnTo>
                  <a:pt x="820" y="73"/>
                </a:lnTo>
                <a:lnTo>
                  <a:pt x="866" y="82"/>
                </a:lnTo>
                <a:lnTo>
                  <a:pt x="922" y="100"/>
                </a:lnTo>
                <a:lnTo>
                  <a:pt x="977" y="119"/>
                </a:lnTo>
                <a:lnTo>
                  <a:pt x="1042" y="146"/>
                </a:lnTo>
                <a:lnTo>
                  <a:pt x="1161" y="201"/>
                </a:lnTo>
                <a:lnTo>
                  <a:pt x="1272" y="237"/>
                </a:lnTo>
                <a:lnTo>
                  <a:pt x="1373" y="256"/>
                </a:lnTo>
                <a:lnTo>
                  <a:pt x="1456" y="274"/>
                </a:lnTo>
                <a:lnTo>
                  <a:pt x="1521" y="265"/>
                </a:lnTo>
                <a:lnTo>
                  <a:pt x="1595" y="256"/>
                </a:lnTo>
                <a:lnTo>
                  <a:pt x="1650" y="228"/>
                </a:lnTo>
                <a:lnTo>
                  <a:pt x="1724" y="210"/>
                </a:lnTo>
                <a:lnTo>
                  <a:pt x="1779" y="173"/>
                </a:lnTo>
                <a:lnTo>
                  <a:pt x="1834" y="137"/>
                </a:lnTo>
                <a:lnTo>
                  <a:pt x="1899" y="100"/>
                </a:lnTo>
                <a:lnTo>
                  <a:pt x="1973" y="73"/>
                </a:lnTo>
                <a:lnTo>
                  <a:pt x="2046" y="36"/>
                </a:lnTo>
                <a:lnTo>
                  <a:pt x="2129" y="18"/>
                </a:lnTo>
                <a:lnTo>
                  <a:pt x="2231" y="0"/>
                </a:lnTo>
                <a:lnTo>
                  <a:pt x="2351" y="0"/>
                </a:lnTo>
                <a:lnTo>
                  <a:pt x="2424" y="0"/>
                </a:lnTo>
                <a:lnTo>
                  <a:pt x="2507" y="0"/>
                </a:lnTo>
                <a:lnTo>
                  <a:pt x="2572" y="18"/>
                </a:lnTo>
                <a:lnTo>
                  <a:pt x="2636" y="36"/>
                </a:lnTo>
                <a:lnTo>
                  <a:pt x="2692" y="55"/>
                </a:lnTo>
                <a:lnTo>
                  <a:pt x="2747" y="73"/>
                </a:lnTo>
                <a:lnTo>
                  <a:pt x="2802" y="100"/>
                </a:lnTo>
                <a:lnTo>
                  <a:pt x="2858" y="128"/>
                </a:lnTo>
                <a:lnTo>
                  <a:pt x="2904" y="146"/>
                </a:lnTo>
                <a:lnTo>
                  <a:pt x="2959" y="173"/>
                </a:lnTo>
                <a:lnTo>
                  <a:pt x="3005" y="192"/>
                </a:lnTo>
                <a:lnTo>
                  <a:pt x="3070" y="210"/>
                </a:lnTo>
                <a:lnTo>
                  <a:pt x="3125" y="228"/>
                </a:lnTo>
                <a:lnTo>
                  <a:pt x="3189" y="247"/>
                </a:lnTo>
                <a:lnTo>
                  <a:pt x="3254" y="256"/>
                </a:lnTo>
                <a:lnTo>
                  <a:pt x="3337" y="256"/>
                </a:lnTo>
                <a:lnTo>
                  <a:pt x="3411" y="247"/>
                </a:lnTo>
                <a:lnTo>
                  <a:pt x="3475" y="237"/>
                </a:lnTo>
                <a:lnTo>
                  <a:pt x="3530" y="219"/>
                </a:lnTo>
                <a:lnTo>
                  <a:pt x="3595" y="210"/>
                </a:lnTo>
                <a:lnTo>
                  <a:pt x="3641" y="192"/>
                </a:lnTo>
                <a:lnTo>
                  <a:pt x="3696" y="173"/>
                </a:lnTo>
                <a:lnTo>
                  <a:pt x="3742" y="146"/>
                </a:lnTo>
                <a:lnTo>
                  <a:pt x="3789" y="128"/>
                </a:lnTo>
                <a:lnTo>
                  <a:pt x="3835" y="100"/>
                </a:lnTo>
                <a:lnTo>
                  <a:pt x="3881" y="73"/>
                </a:lnTo>
                <a:lnTo>
                  <a:pt x="3936" y="55"/>
                </a:lnTo>
                <a:lnTo>
                  <a:pt x="3991" y="36"/>
                </a:lnTo>
                <a:lnTo>
                  <a:pt x="4047" y="18"/>
                </a:lnTo>
                <a:lnTo>
                  <a:pt x="4120" y="9"/>
                </a:lnTo>
                <a:lnTo>
                  <a:pt x="4194" y="0"/>
                </a:lnTo>
                <a:lnTo>
                  <a:pt x="4277" y="9"/>
                </a:lnTo>
                <a:lnTo>
                  <a:pt x="4351" y="9"/>
                </a:lnTo>
                <a:lnTo>
                  <a:pt x="4415" y="18"/>
                </a:lnTo>
                <a:lnTo>
                  <a:pt x="4480" y="27"/>
                </a:lnTo>
                <a:lnTo>
                  <a:pt x="4535" y="45"/>
                </a:lnTo>
                <a:lnTo>
                  <a:pt x="4581" y="64"/>
                </a:lnTo>
                <a:lnTo>
                  <a:pt x="4637" y="91"/>
                </a:lnTo>
                <a:lnTo>
                  <a:pt x="4683" y="119"/>
                </a:lnTo>
                <a:lnTo>
                  <a:pt x="4729" y="146"/>
                </a:lnTo>
                <a:lnTo>
                  <a:pt x="4766" y="173"/>
                </a:lnTo>
                <a:lnTo>
                  <a:pt x="4812" y="192"/>
                </a:lnTo>
                <a:lnTo>
                  <a:pt x="4858" y="210"/>
                </a:lnTo>
                <a:lnTo>
                  <a:pt x="4922" y="237"/>
                </a:lnTo>
                <a:lnTo>
                  <a:pt x="4987" y="256"/>
                </a:lnTo>
                <a:lnTo>
                  <a:pt x="5070" y="265"/>
                </a:lnTo>
                <a:lnTo>
                  <a:pt x="5153" y="274"/>
                </a:lnTo>
                <a:lnTo>
                  <a:pt x="5254" y="274"/>
                </a:lnTo>
                <a:lnTo>
                  <a:pt x="5273" y="585"/>
                </a:lnTo>
                <a:lnTo>
                  <a:pt x="3116" y="841"/>
                </a:lnTo>
                <a:lnTo>
                  <a:pt x="0" y="822"/>
                </a:lnTo>
                <a:lnTo>
                  <a:pt x="46" y="164"/>
                </a:lnTo>
                <a:lnTo>
                  <a:pt x="452" y="55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4" name="Freeform 75">
            <a:extLst>
              <a:ext uri="{FF2B5EF4-FFF2-40B4-BE49-F238E27FC236}">
                <a16:creationId xmlns="" xmlns:a16="http://schemas.microsoft.com/office/drawing/2014/main" id="{00000000-0008-0000-0100-00000E000000}"/>
              </a:ext>
            </a:extLst>
          </xdr:cNvPr>
          <xdr:cNvSpPr>
            <a:spLocks/>
          </xdr:cNvSpPr>
        </xdr:nvSpPr>
        <xdr:spPr bwMode="auto">
          <a:xfrm>
            <a:off x="212000" y="94341"/>
            <a:ext cx="176547" cy="184517"/>
          </a:xfrm>
          <a:custGeom>
            <a:avLst/>
            <a:gdLst>
              <a:gd name="T0" fmla="*/ 2203 w 2203"/>
              <a:gd name="T1" fmla="*/ 0 h 2304"/>
              <a:gd name="T2" fmla="*/ 1973 w 2203"/>
              <a:gd name="T3" fmla="*/ 0 h 2304"/>
              <a:gd name="T4" fmla="*/ 1751 w 2203"/>
              <a:gd name="T5" fmla="*/ 37 h 2304"/>
              <a:gd name="T6" fmla="*/ 1539 w 2203"/>
              <a:gd name="T7" fmla="*/ 83 h 2304"/>
              <a:gd name="T8" fmla="*/ 1336 w 2203"/>
              <a:gd name="T9" fmla="*/ 156 h 2304"/>
              <a:gd name="T10" fmla="*/ 1143 w 2203"/>
              <a:gd name="T11" fmla="*/ 220 h 2304"/>
              <a:gd name="T12" fmla="*/ 968 w 2203"/>
              <a:gd name="T13" fmla="*/ 320 h 2304"/>
              <a:gd name="T14" fmla="*/ 802 w 2203"/>
              <a:gd name="T15" fmla="*/ 430 h 2304"/>
              <a:gd name="T16" fmla="*/ 654 w 2203"/>
              <a:gd name="T17" fmla="*/ 549 h 2304"/>
              <a:gd name="T18" fmla="*/ 498 w 2203"/>
              <a:gd name="T19" fmla="*/ 677 h 2304"/>
              <a:gd name="T20" fmla="*/ 378 w 2203"/>
              <a:gd name="T21" fmla="*/ 814 h 2304"/>
              <a:gd name="T22" fmla="*/ 267 w 2203"/>
              <a:gd name="T23" fmla="*/ 960 h 2304"/>
              <a:gd name="T24" fmla="*/ 175 w 2203"/>
              <a:gd name="T25" fmla="*/ 1106 h 2304"/>
              <a:gd name="T26" fmla="*/ 101 w 2203"/>
              <a:gd name="T27" fmla="*/ 1262 h 2304"/>
              <a:gd name="T28" fmla="*/ 46 w 2203"/>
              <a:gd name="T29" fmla="*/ 1426 h 2304"/>
              <a:gd name="T30" fmla="*/ 18 w 2203"/>
              <a:gd name="T31" fmla="*/ 1582 h 2304"/>
              <a:gd name="T32" fmla="*/ 0 w 2203"/>
              <a:gd name="T33" fmla="*/ 1746 h 2304"/>
              <a:gd name="T34" fmla="*/ 18 w 2203"/>
              <a:gd name="T35" fmla="*/ 1746 h 2304"/>
              <a:gd name="T36" fmla="*/ 92 w 2203"/>
              <a:gd name="T37" fmla="*/ 1774 h 2304"/>
              <a:gd name="T38" fmla="*/ 193 w 2203"/>
              <a:gd name="T39" fmla="*/ 1801 h 2304"/>
              <a:gd name="T40" fmla="*/ 341 w 2203"/>
              <a:gd name="T41" fmla="*/ 1838 h 2304"/>
              <a:gd name="T42" fmla="*/ 498 w 2203"/>
              <a:gd name="T43" fmla="*/ 1874 h 2304"/>
              <a:gd name="T44" fmla="*/ 691 w 2203"/>
              <a:gd name="T45" fmla="*/ 1920 h 2304"/>
              <a:gd name="T46" fmla="*/ 885 w 2203"/>
              <a:gd name="T47" fmla="*/ 1975 h 2304"/>
              <a:gd name="T48" fmla="*/ 1097 w 2203"/>
              <a:gd name="T49" fmla="*/ 2030 h 2304"/>
              <a:gd name="T50" fmla="*/ 1300 w 2203"/>
              <a:gd name="T51" fmla="*/ 2075 h 2304"/>
              <a:gd name="T52" fmla="*/ 1502 w 2203"/>
              <a:gd name="T53" fmla="*/ 2130 h 2304"/>
              <a:gd name="T54" fmla="*/ 1678 w 2203"/>
              <a:gd name="T55" fmla="*/ 2176 h 2304"/>
              <a:gd name="T56" fmla="*/ 1853 w 2203"/>
              <a:gd name="T57" fmla="*/ 2212 h 2304"/>
              <a:gd name="T58" fmla="*/ 1982 w 2203"/>
              <a:gd name="T59" fmla="*/ 2249 h 2304"/>
              <a:gd name="T60" fmla="*/ 2102 w 2203"/>
              <a:gd name="T61" fmla="*/ 2276 h 2304"/>
              <a:gd name="T62" fmla="*/ 2166 w 2203"/>
              <a:gd name="T63" fmla="*/ 2295 h 2304"/>
              <a:gd name="T64" fmla="*/ 2203 w 2203"/>
              <a:gd name="T65" fmla="*/ 2304 h 2304"/>
              <a:gd name="T66" fmla="*/ 2203 w 2203"/>
              <a:gd name="T67" fmla="*/ 0 h 2304"/>
              <a:gd name="T68" fmla="*/ 2203 w 2203"/>
              <a:gd name="T69" fmla="*/ 0 h 23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203" h="2304">
                <a:moveTo>
                  <a:pt x="2203" y="0"/>
                </a:moveTo>
                <a:lnTo>
                  <a:pt x="1973" y="0"/>
                </a:lnTo>
                <a:lnTo>
                  <a:pt x="1751" y="37"/>
                </a:lnTo>
                <a:lnTo>
                  <a:pt x="1539" y="83"/>
                </a:lnTo>
                <a:lnTo>
                  <a:pt x="1336" y="156"/>
                </a:lnTo>
                <a:lnTo>
                  <a:pt x="1143" y="220"/>
                </a:lnTo>
                <a:lnTo>
                  <a:pt x="968" y="320"/>
                </a:lnTo>
                <a:lnTo>
                  <a:pt x="802" y="430"/>
                </a:lnTo>
                <a:lnTo>
                  <a:pt x="654" y="549"/>
                </a:lnTo>
                <a:lnTo>
                  <a:pt x="498" y="677"/>
                </a:lnTo>
                <a:lnTo>
                  <a:pt x="378" y="814"/>
                </a:lnTo>
                <a:lnTo>
                  <a:pt x="267" y="960"/>
                </a:lnTo>
                <a:lnTo>
                  <a:pt x="175" y="1106"/>
                </a:lnTo>
                <a:lnTo>
                  <a:pt x="101" y="1262"/>
                </a:lnTo>
                <a:lnTo>
                  <a:pt x="46" y="1426"/>
                </a:lnTo>
                <a:lnTo>
                  <a:pt x="18" y="1582"/>
                </a:lnTo>
                <a:lnTo>
                  <a:pt x="0" y="1746"/>
                </a:lnTo>
                <a:lnTo>
                  <a:pt x="18" y="1746"/>
                </a:lnTo>
                <a:lnTo>
                  <a:pt x="92" y="1774"/>
                </a:lnTo>
                <a:lnTo>
                  <a:pt x="193" y="1801"/>
                </a:lnTo>
                <a:lnTo>
                  <a:pt x="341" y="1838"/>
                </a:lnTo>
                <a:lnTo>
                  <a:pt x="498" y="1874"/>
                </a:lnTo>
                <a:lnTo>
                  <a:pt x="691" y="1920"/>
                </a:lnTo>
                <a:lnTo>
                  <a:pt x="885" y="1975"/>
                </a:lnTo>
                <a:lnTo>
                  <a:pt x="1097" y="2030"/>
                </a:lnTo>
                <a:lnTo>
                  <a:pt x="1300" y="2075"/>
                </a:lnTo>
                <a:lnTo>
                  <a:pt x="1502" y="2130"/>
                </a:lnTo>
                <a:lnTo>
                  <a:pt x="1678" y="2176"/>
                </a:lnTo>
                <a:lnTo>
                  <a:pt x="1853" y="2212"/>
                </a:lnTo>
                <a:lnTo>
                  <a:pt x="1982" y="2249"/>
                </a:lnTo>
                <a:lnTo>
                  <a:pt x="2102" y="2276"/>
                </a:lnTo>
                <a:lnTo>
                  <a:pt x="2166" y="2295"/>
                </a:lnTo>
                <a:lnTo>
                  <a:pt x="2203" y="2304"/>
                </a:lnTo>
                <a:lnTo>
                  <a:pt x="2203" y="0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5" name="Freeform 76">
            <a:extLst>
              <a:ext uri="{FF2B5EF4-FFF2-40B4-BE49-F238E27FC236}">
                <a16:creationId xmlns="" xmlns:a16="http://schemas.microsoft.com/office/drawing/2014/main" id="{00000000-0008-0000-0100-00000F000000}"/>
              </a:ext>
            </a:extLst>
          </xdr:cNvPr>
          <xdr:cNvSpPr>
            <a:spLocks/>
          </xdr:cNvSpPr>
        </xdr:nvSpPr>
        <xdr:spPr bwMode="auto">
          <a:xfrm>
            <a:off x="239422" y="15126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B8B8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6" name="Freeform 77">
            <a:extLst>
              <a:ext uri="{FF2B5EF4-FFF2-40B4-BE49-F238E27FC236}">
                <a16:creationId xmlns="" xmlns:a16="http://schemas.microsoft.com/office/drawing/2014/main" id="{00000000-0008-0000-0100-000010000000}"/>
              </a:ext>
            </a:extLst>
          </xdr:cNvPr>
          <xdr:cNvSpPr>
            <a:spLocks/>
          </xdr:cNvSpPr>
        </xdr:nvSpPr>
        <xdr:spPr bwMode="auto">
          <a:xfrm>
            <a:off x="0" y="163877"/>
            <a:ext cx="762996" cy="236922"/>
          </a:xfrm>
          <a:custGeom>
            <a:avLst/>
            <a:gdLst>
              <a:gd name="T0" fmla="*/ 0 w 9522"/>
              <a:gd name="T1" fmla="*/ 2961 h 2961"/>
              <a:gd name="T2" fmla="*/ 9522 w 9522"/>
              <a:gd name="T3" fmla="*/ 2961 h 2961"/>
              <a:gd name="T4" fmla="*/ 9522 w 9522"/>
              <a:gd name="T5" fmla="*/ 0 h 2961"/>
              <a:gd name="T6" fmla="*/ 0 w 9522"/>
              <a:gd name="T7" fmla="*/ 0 h 2961"/>
              <a:gd name="T8" fmla="*/ 0 w 9522"/>
              <a:gd name="T9" fmla="*/ 2961 h 2961"/>
              <a:gd name="T10" fmla="*/ 0 w 9522"/>
              <a:gd name="T11" fmla="*/ 2961 h 29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9522" h="2961">
                <a:moveTo>
                  <a:pt x="0" y="2961"/>
                </a:moveTo>
                <a:lnTo>
                  <a:pt x="9522" y="2961"/>
                </a:lnTo>
                <a:lnTo>
                  <a:pt x="9522" y="0"/>
                </a:lnTo>
                <a:lnTo>
                  <a:pt x="0" y="0"/>
                </a:lnTo>
                <a:lnTo>
                  <a:pt x="0" y="2961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7" name="Freeform 78">
            <a:extLst>
              <a:ext uri="{FF2B5EF4-FFF2-40B4-BE49-F238E27FC236}">
                <a16:creationId xmlns="" xmlns:a16="http://schemas.microsoft.com/office/drawing/2014/main" id="{00000000-0008-0000-0100-000011000000}"/>
              </a:ext>
            </a:extLst>
          </xdr:cNvPr>
          <xdr:cNvSpPr>
            <a:spLocks/>
          </xdr:cNvSpPr>
        </xdr:nvSpPr>
        <xdr:spPr bwMode="auto">
          <a:xfrm>
            <a:off x="204683" y="140440"/>
            <a:ext cx="92319" cy="124439"/>
          </a:xfrm>
          <a:custGeom>
            <a:avLst/>
            <a:gdLst>
              <a:gd name="T0" fmla="*/ 728 w 1152"/>
              <a:gd name="T1" fmla="*/ 0 h 1554"/>
              <a:gd name="T2" fmla="*/ 709 w 1152"/>
              <a:gd name="T3" fmla="*/ 0 h 1554"/>
              <a:gd name="T4" fmla="*/ 682 w 1152"/>
              <a:gd name="T5" fmla="*/ 28 h 1554"/>
              <a:gd name="T6" fmla="*/ 645 w 1152"/>
              <a:gd name="T7" fmla="*/ 55 h 1554"/>
              <a:gd name="T8" fmla="*/ 608 w 1152"/>
              <a:gd name="T9" fmla="*/ 119 h 1554"/>
              <a:gd name="T10" fmla="*/ 544 w 1152"/>
              <a:gd name="T11" fmla="*/ 174 h 1554"/>
              <a:gd name="T12" fmla="*/ 488 w 1152"/>
              <a:gd name="T13" fmla="*/ 247 h 1554"/>
              <a:gd name="T14" fmla="*/ 415 w 1152"/>
              <a:gd name="T15" fmla="*/ 338 h 1554"/>
              <a:gd name="T16" fmla="*/ 350 w 1152"/>
              <a:gd name="T17" fmla="*/ 448 h 1554"/>
              <a:gd name="T18" fmla="*/ 285 w 1152"/>
              <a:gd name="T19" fmla="*/ 558 h 1554"/>
              <a:gd name="T20" fmla="*/ 221 w 1152"/>
              <a:gd name="T21" fmla="*/ 667 h 1554"/>
              <a:gd name="T22" fmla="*/ 156 w 1152"/>
              <a:gd name="T23" fmla="*/ 795 h 1554"/>
              <a:gd name="T24" fmla="*/ 101 w 1152"/>
              <a:gd name="T25" fmla="*/ 942 h 1554"/>
              <a:gd name="T26" fmla="*/ 46 w 1152"/>
              <a:gd name="T27" fmla="*/ 1070 h 1554"/>
              <a:gd name="T28" fmla="*/ 18 w 1152"/>
              <a:gd name="T29" fmla="*/ 1225 h 1554"/>
              <a:gd name="T30" fmla="*/ 0 w 1152"/>
              <a:gd name="T31" fmla="*/ 1380 h 1554"/>
              <a:gd name="T32" fmla="*/ 0 w 1152"/>
              <a:gd name="T33" fmla="*/ 1554 h 1554"/>
              <a:gd name="T34" fmla="*/ 18 w 1152"/>
              <a:gd name="T35" fmla="*/ 1554 h 1554"/>
              <a:gd name="T36" fmla="*/ 46 w 1152"/>
              <a:gd name="T37" fmla="*/ 1554 h 1554"/>
              <a:gd name="T38" fmla="*/ 92 w 1152"/>
              <a:gd name="T39" fmla="*/ 1554 h 1554"/>
              <a:gd name="T40" fmla="*/ 129 w 1152"/>
              <a:gd name="T41" fmla="*/ 1554 h 1554"/>
              <a:gd name="T42" fmla="*/ 184 w 1152"/>
              <a:gd name="T43" fmla="*/ 1554 h 1554"/>
              <a:gd name="T44" fmla="*/ 239 w 1152"/>
              <a:gd name="T45" fmla="*/ 1554 h 1554"/>
              <a:gd name="T46" fmla="*/ 304 w 1152"/>
              <a:gd name="T47" fmla="*/ 1554 h 1554"/>
              <a:gd name="T48" fmla="*/ 350 w 1152"/>
              <a:gd name="T49" fmla="*/ 1545 h 1554"/>
              <a:gd name="T50" fmla="*/ 415 w 1152"/>
              <a:gd name="T51" fmla="*/ 1536 h 1554"/>
              <a:gd name="T52" fmla="*/ 461 w 1152"/>
              <a:gd name="T53" fmla="*/ 1527 h 1554"/>
              <a:gd name="T54" fmla="*/ 516 w 1152"/>
              <a:gd name="T55" fmla="*/ 1527 h 1554"/>
              <a:gd name="T56" fmla="*/ 553 w 1152"/>
              <a:gd name="T57" fmla="*/ 1527 h 1554"/>
              <a:gd name="T58" fmla="*/ 580 w 1152"/>
              <a:gd name="T59" fmla="*/ 1527 h 1554"/>
              <a:gd name="T60" fmla="*/ 599 w 1152"/>
              <a:gd name="T61" fmla="*/ 1527 h 1554"/>
              <a:gd name="T62" fmla="*/ 617 w 1152"/>
              <a:gd name="T63" fmla="*/ 1527 h 1554"/>
              <a:gd name="T64" fmla="*/ 1152 w 1152"/>
              <a:gd name="T65" fmla="*/ 274 h 1554"/>
              <a:gd name="T66" fmla="*/ 728 w 1152"/>
              <a:gd name="T67" fmla="*/ 274 h 1554"/>
              <a:gd name="T68" fmla="*/ 728 w 1152"/>
              <a:gd name="T69" fmla="*/ 0 h 1554"/>
              <a:gd name="T70" fmla="*/ 728 w 1152"/>
              <a:gd name="T71" fmla="*/ 0 h 15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1152" h="1554">
                <a:moveTo>
                  <a:pt x="728" y="0"/>
                </a:moveTo>
                <a:lnTo>
                  <a:pt x="709" y="0"/>
                </a:lnTo>
                <a:lnTo>
                  <a:pt x="682" y="28"/>
                </a:lnTo>
                <a:lnTo>
                  <a:pt x="645" y="55"/>
                </a:lnTo>
                <a:lnTo>
                  <a:pt x="608" y="119"/>
                </a:lnTo>
                <a:lnTo>
                  <a:pt x="544" y="174"/>
                </a:lnTo>
                <a:lnTo>
                  <a:pt x="488" y="247"/>
                </a:lnTo>
                <a:lnTo>
                  <a:pt x="415" y="338"/>
                </a:lnTo>
                <a:lnTo>
                  <a:pt x="350" y="448"/>
                </a:lnTo>
                <a:lnTo>
                  <a:pt x="285" y="558"/>
                </a:lnTo>
                <a:lnTo>
                  <a:pt x="221" y="667"/>
                </a:lnTo>
                <a:lnTo>
                  <a:pt x="156" y="795"/>
                </a:lnTo>
                <a:lnTo>
                  <a:pt x="101" y="942"/>
                </a:lnTo>
                <a:lnTo>
                  <a:pt x="46" y="1070"/>
                </a:lnTo>
                <a:lnTo>
                  <a:pt x="18" y="1225"/>
                </a:lnTo>
                <a:lnTo>
                  <a:pt x="0" y="1380"/>
                </a:lnTo>
                <a:lnTo>
                  <a:pt x="0" y="1554"/>
                </a:lnTo>
                <a:lnTo>
                  <a:pt x="18" y="1554"/>
                </a:lnTo>
                <a:lnTo>
                  <a:pt x="46" y="1554"/>
                </a:lnTo>
                <a:lnTo>
                  <a:pt x="92" y="1554"/>
                </a:lnTo>
                <a:lnTo>
                  <a:pt x="129" y="1554"/>
                </a:lnTo>
                <a:lnTo>
                  <a:pt x="184" y="1554"/>
                </a:lnTo>
                <a:lnTo>
                  <a:pt x="239" y="1554"/>
                </a:lnTo>
                <a:lnTo>
                  <a:pt x="304" y="1554"/>
                </a:lnTo>
                <a:lnTo>
                  <a:pt x="350" y="1545"/>
                </a:lnTo>
                <a:lnTo>
                  <a:pt x="415" y="1536"/>
                </a:lnTo>
                <a:lnTo>
                  <a:pt x="461" y="1527"/>
                </a:lnTo>
                <a:lnTo>
                  <a:pt x="516" y="1527"/>
                </a:lnTo>
                <a:lnTo>
                  <a:pt x="553" y="1527"/>
                </a:lnTo>
                <a:lnTo>
                  <a:pt x="580" y="1527"/>
                </a:lnTo>
                <a:lnTo>
                  <a:pt x="599" y="1527"/>
                </a:lnTo>
                <a:lnTo>
                  <a:pt x="617" y="1527"/>
                </a:lnTo>
                <a:lnTo>
                  <a:pt x="1152" y="274"/>
                </a:lnTo>
                <a:lnTo>
                  <a:pt x="728" y="274"/>
                </a:lnTo>
                <a:lnTo>
                  <a:pt x="728" y="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8" name="Freeform 79">
            <a:extLst>
              <a:ext uri="{FF2B5EF4-FFF2-40B4-BE49-F238E27FC236}">
                <a16:creationId xmlns="" xmlns:a16="http://schemas.microsoft.com/office/drawing/2014/main" id="{00000000-0008-0000-0100-000012000000}"/>
              </a:ext>
            </a:extLst>
          </xdr:cNvPr>
          <xdr:cNvSpPr>
            <a:spLocks/>
          </xdr:cNvSpPr>
        </xdr:nvSpPr>
        <xdr:spPr bwMode="auto">
          <a:xfrm>
            <a:off x="50383" y="252091"/>
            <a:ext cx="181722" cy="45326"/>
          </a:xfrm>
          <a:custGeom>
            <a:avLst/>
            <a:gdLst>
              <a:gd name="T0" fmla="*/ 2194 w 2268"/>
              <a:gd name="T1" fmla="*/ 64 h 567"/>
              <a:gd name="T2" fmla="*/ 2120 w 2268"/>
              <a:gd name="T3" fmla="*/ 36 h 567"/>
              <a:gd name="T4" fmla="*/ 2028 w 2268"/>
              <a:gd name="T5" fmla="*/ 9 h 567"/>
              <a:gd name="T6" fmla="*/ 1963 w 2268"/>
              <a:gd name="T7" fmla="*/ 9 h 567"/>
              <a:gd name="T8" fmla="*/ 1880 w 2268"/>
              <a:gd name="T9" fmla="*/ 0 h 567"/>
              <a:gd name="T10" fmla="*/ 1807 w 2268"/>
              <a:gd name="T11" fmla="*/ 9 h 567"/>
              <a:gd name="T12" fmla="*/ 1715 w 2268"/>
              <a:gd name="T13" fmla="*/ 36 h 567"/>
              <a:gd name="T14" fmla="*/ 1641 w 2268"/>
              <a:gd name="T15" fmla="*/ 55 h 567"/>
              <a:gd name="T16" fmla="*/ 1576 w 2268"/>
              <a:gd name="T17" fmla="*/ 100 h 567"/>
              <a:gd name="T18" fmla="*/ 1503 w 2268"/>
              <a:gd name="T19" fmla="*/ 164 h 567"/>
              <a:gd name="T20" fmla="*/ 1420 w 2268"/>
              <a:gd name="T21" fmla="*/ 210 h 567"/>
              <a:gd name="T22" fmla="*/ 1318 w 2268"/>
              <a:gd name="T23" fmla="*/ 247 h 567"/>
              <a:gd name="T24" fmla="*/ 1244 w 2268"/>
              <a:gd name="T25" fmla="*/ 256 h 567"/>
              <a:gd name="T26" fmla="*/ 1180 w 2268"/>
              <a:gd name="T27" fmla="*/ 237 h 567"/>
              <a:gd name="T28" fmla="*/ 1106 w 2268"/>
              <a:gd name="T29" fmla="*/ 210 h 567"/>
              <a:gd name="T30" fmla="*/ 1032 w 2268"/>
              <a:gd name="T31" fmla="*/ 183 h 567"/>
              <a:gd name="T32" fmla="*/ 949 w 2268"/>
              <a:gd name="T33" fmla="*/ 155 h 567"/>
              <a:gd name="T34" fmla="*/ 866 w 2268"/>
              <a:gd name="T35" fmla="*/ 128 h 567"/>
              <a:gd name="T36" fmla="*/ 784 w 2268"/>
              <a:gd name="T37" fmla="*/ 119 h 567"/>
              <a:gd name="T38" fmla="*/ 682 w 2268"/>
              <a:gd name="T39" fmla="*/ 119 h 567"/>
              <a:gd name="T40" fmla="*/ 590 w 2268"/>
              <a:gd name="T41" fmla="*/ 137 h 567"/>
              <a:gd name="T42" fmla="*/ 498 w 2268"/>
              <a:gd name="T43" fmla="*/ 164 h 567"/>
              <a:gd name="T44" fmla="*/ 415 w 2268"/>
              <a:gd name="T45" fmla="*/ 210 h 567"/>
              <a:gd name="T46" fmla="*/ 341 w 2268"/>
              <a:gd name="T47" fmla="*/ 237 h 567"/>
              <a:gd name="T48" fmla="*/ 267 w 2268"/>
              <a:gd name="T49" fmla="*/ 274 h 567"/>
              <a:gd name="T50" fmla="*/ 175 w 2268"/>
              <a:gd name="T51" fmla="*/ 329 h 567"/>
              <a:gd name="T52" fmla="*/ 92 w 2268"/>
              <a:gd name="T53" fmla="*/ 347 h 567"/>
              <a:gd name="T54" fmla="*/ 28 w 2268"/>
              <a:gd name="T55" fmla="*/ 356 h 567"/>
              <a:gd name="T56" fmla="*/ 0 w 2268"/>
              <a:gd name="T57" fmla="*/ 356 h 567"/>
              <a:gd name="T58" fmla="*/ 28 w 2268"/>
              <a:gd name="T59" fmla="*/ 365 h 567"/>
              <a:gd name="T60" fmla="*/ 101 w 2268"/>
              <a:gd name="T61" fmla="*/ 384 h 567"/>
              <a:gd name="T62" fmla="*/ 194 w 2268"/>
              <a:gd name="T63" fmla="*/ 402 h 567"/>
              <a:gd name="T64" fmla="*/ 267 w 2268"/>
              <a:gd name="T65" fmla="*/ 402 h 567"/>
              <a:gd name="T66" fmla="*/ 350 w 2268"/>
              <a:gd name="T67" fmla="*/ 402 h 567"/>
              <a:gd name="T68" fmla="*/ 433 w 2268"/>
              <a:gd name="T69" fmla="*/ 384 h 567"/>
              <a:gd name="T70" fmla="*/ 507 w 2268"/>
              <a:gd name="T71" fmla="*/ 356 h 567"/>
              <a:gd name="T72" fmla="*/ 590 w 2268"/>
              <a:gd name="T73" fmla="*/ 338 h 567"/>
              <a:gd name="T74" fmla="*/ 691 w 2268"/>
              <a:gd name="T75" fmla="*/ 329 h 567"/>
              <a:gd name="T76" fmla="*/ 820 w 2268"/>
              <a:gd name="T77" fmla="*/ 356 h 567"/>
              <a:gd name="T78" fmla="*/ 922 w 2268"/>
              <a:gd name="T79" fmla="*/ 402 h 567"/>
              <a:gd name="T80" fmla="*/ 1005 w 2268"/>
              <a:gd name="T81" fmla="*/ 439 h 567"/>
              <a:gd name="T82" fmla="*/ 1078 w 2268"/>
              <a:gd name="T83" fmla="*/ 475 h 567"/>
              <a:gd name="T84" fmla="*/ 1152 w 2268"/>
              <a:gd name="T85" fmla="*/ 512 h 567"/>
              <a:gd name="T86" fmla="*/ 1244 w 2268"/>
              <a:gd name="T87" fmla="*/ 539 h 567"/>
              <a:gd name="T88" fmla="*/ 1364 w 2268"/>
              <a:gd name="T89" fmla="*/ 557 h 567"/>
              <a:gd name="T90" fmla="*/ 1466 w 2268"/>
              <a:gd name="T91" fmla="*/ 539 h 567"/>
              <a:gd name="T92" fmla="*/ 1549 w 2268"/>
              <a:gd name="T93" fmla="*/ 512 h 567"/>
              <a:gd name="T94" fmla="*/ 1650 w 2268"/>
              <a:gd name="T95" fmla="*/ 466 h 567"/>
              <a:gd name="T96" fmla="*/ 1751 w 2268"/>
              <a:gd name="T97" fmla="*/ 429 h 567"/>
              <a:gd name="T98" fmla="*/ 1844 w 2268"/>
              <a:gd name="T99" fmla="*/ 402 h 567"/>
              <a:gd name="T100" fmla="*/ 1963 w 2268"/>
              <a:gd name="T101" fmla="*/ 420 h 567"/>
              <a:gd name="T102" fmla="*/ 2083 w 2268"/>
              <a:gd name="T103" fmla="*/ 457 h 567"/>
              <a:gd name="T104" fmla="*/ 2194 w 2268"/>
              <a:gd name="T105" fmla="*/ 512 h 567"/>
              <a:gd name="T106" fmla="*/ 2258 w 2268"/>
              <a:gd name="T107" fmla="*/ 557 h 567"/>
              <a:gd name="T108" fmla="*/ 2203 w 2268"/>
              <a:gd name="T109" fmla="*/ 73 h 5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268" h="567">
                <a:moveTo>
                  <a:pt x="2203" y="73"/>
                </a:moveTo>
                <a:lnTo>
                  <a:pt x="2194" y="64"/>
                </a:lnTo>
                <a:lnTo>
                  <a:pt x="2166" y="55"/>
                </a:lnTo>
                <a:lnTo>
                  <a:pt x="2120" y="36"/>
                </a:lnTo>
                <a:lnTo>
                  <a:pt x="2074" y="27"/>
                </a:lnTo>
                <a:lnTo>
                  <a:pt x="2028" y="9"/>
                </a:lnTo>
                <a:lnTo>
                  <a:pt x="2000" y="9"/>
                </a:lnTo>
                <a:lnTo>
                  <a:pt x="1963" y="9"/>
                </a:lnTo>
                <a:lnTo>
                  <a:pt x="1927" y="9"/>
                </a:lnTo>
                <a:lnTo>
                  <a:pt x="1880" y="0"/>
                </a:lnTo>
                <a:lnTo>
                  <a:pt x="1844" y="9"/>
                </a:lnTo>
                <a:lnTo>
                  <a:pt x="1807" y="9"/>
                </a:lnTo>
                <a:lnTo>
                  <a:pt x="1770" y="27"/>
                </a:lnTo>
                <a:lnTo>
                  <a:pt x="1715" y="36"/>
                </a:lnTo>
                <a:lnTo>
                  <a:pt x="1678" y="46"/>
                </a:lnTo>
                <a:lnTo>
                  <a:pt x="1641" y="55"/>
                </a:lnTo>
                <a:lnTo>
                  <a:pt x="1622" y="82"/>
                </a:lnTo>
                <a:lnTo>
                  <a:pt x="1576" y="100"/>
                </a:lnTo>
                <a:lnTo>
                  <a:pt x="1539" y="137"/>
                </a:lnTo>
                <a:lnTo>
                  <a:pt x="1503" y="164"/>
                </a:lnTo>
                <a:lnTo>
                  <a:pt x="1466" y="183"/>
                </a:lnTo>
                <a:lnTo>
                  <a:pt x="1420" y="210"/>
                </a:lnTo>
                <a:lnTo>
                  <a:pt x="1355" y="247"/>
                </a:lnTo>
                <a:lnTo>
                  <a:pt x="1318" y="247"/>
                </a:lnTo>
                <a:lnTo>
                  <a:pt x="1281" y="256"/>
                </a:lnTo>
                <a:lnTo>
                  <a:pt x="1244" y="256"/>
                </a:lnTo>
                <a:lnTo>
                  <a:pt x="1217" y="256"/>
                </a:lnTo>
                <a:lnTo>
                  <a:pt x="1180" y="237"/>
                </a:lnTo>
                <a:lnTo>
                  <a:pt x="1134" y="228"/>
                </a:lnTo>
                <a:lnTo>
                  <a:pt x="1106" y="210"/>
                </a:lnTo>
                <a:lnTo>
                  <a:pt x="1069" y="210"/>
                </a:lnTo>
                <a:lnTo>
                  <a:pt x="1032" y="183"/>
                </a:lnTo>
                <a:lnTo>
                  <a:pt x="986" y="174"/>
                </a:lnTo>
                <a:lnTo>
                  <a:pt x="949" y="155"/>
                </a:lnTo>
                <a:lnTo>
                  <a:pt x="913" y="146"/>
                </a:lnTo>
                <a:lnTo>
                  <a:pt x="866" y="128"/>
                </a:lnTo>
                <a:lnTo>
                  <a:pt x="830" y="119"/>
                </a:lnTo>
                <a:lnTo>
                  <a:pt x="784" y="119"/>
                </a:lnTo>
                <a:lnTo>
                  <a:pt x="737" y="119"/>
                </a:lnTo>
                <a:lnTo>
                  <a:pt x="682" y="119"/>
                </a:lnTo>
                <a:lnTo>
                  <a:pt x="636" y="128"/>
                </a:lnTo>
                <a:lnTo>
                  <a:pt x="590" y="137"/>
                </a:lnTo>
                <a:lnTo>
                  <a:pt x="544" y="155"/>
                </a:lnTo>
                <a:lnTo>
                  <a:pt x="498" y="164"/>
                </a:lnTo>
                <a:lnTo>
                  <a:pt x="461" y="183"/>
                </a:lnTo>
                <a:lnTo>
                  <a:pt x="415" y="210"/>
                </a:lnTo>
                <a:lnTo>
                  <a:pt x="378" y="228"/>
                </a:lnTo>
                <a:lnTo>
                  <a:pt x="341" y="237"/>
                </a:lnTo>
                <a:lnTo>
                  <a:pt x="304" y="256"/>
                </a:lnTo>
                <a:lnTo>
                  <a:pt x="267" y="274"/>
                </a:lnTo>
                <a:lnTo>
                  <a:pt x="240" y="292"/>
                </a:lnTo>
                <a:lnTo>
                  <a:pt x="175" y="329"/>
                </a:lnTo>
                <a:lnTo>
                  <a:pt x="138" y="347"/>
                </a:lnTo>
                <a:lnTo>
                  <a:pt x="92" y="347"/>
                </a:lnTo>
                <a:lnTo>
                  <a:pt x="46" y="356"/>
                </a:lnTo>
                <a:lnTo>
                  <a:pt x="28" y="356"/>
                </a:lnTo>
                <a:lnTo>
                  <a:pt x="9" y="356"/>
                </a:lnTo>
                <a:lnTo>
                  <a:pt x="0" y="356"/>
                </a:lnTo>
                <a:lnTo>
                  <a:pt x="9" y="365"/>
                </a:lnTo>
                <a:lnTo>
                  <a:pt x="28" y="365"/>
                </a:lnTo>
                <a:lnTo>
                  <a:pt x="55" y="375"/>
                </a:lnTo>
                <a:lnTo>
                  <a:pt x="101" y="384"/>
                </a:lnTo>
                <a:lnTo>
                  <a:pt x="166" y="402"/>
                </a:lnTo>
                <a:lnTo>
                  <a:pt x="194" y="402"/>
                </a:lnTo>
                <a:lnTo>
                  <a:pt x="230" y="402"/>
                </a:lnTo>
                <a:lnTo>
                  <a:pt x="267" y="402"/>
                </a:lnTo>
                <a:lnTo>
                  <a:pt x="313" y="402"/>
                </a:lnTo>
                <a:lnTo>
                  <a:pt x="350" y="402"/>
                </a:lnTo>
                <a:lnTo>
                  <a:pt x="387" y="402"/>
                </a:lnTo>
                <a:lnTo>
                  <a:pt x="433" y="384"/>
                </a:lnTo>
                <a:lnTo>
                  <a:pt x="479" y="384"/>
                </a:lnTo>
                <a:lnTo>
                  <a:pt x="507" y="356"/>
                </a:lnTo>
                <a:lnTo>
                  <a:pt x="544" y="347"/>
                </a:lnTo>
                <a:lnTo>
                  <a:pt x="590" y="338"/>
                </a:lnTo>
                <a:lnTo>
                  <a:pt x="627" y="338"/>
                </a:lnTo>
                <a:lnTo>
                  <a:pt x="691" y="329"/>
                </a:lnTo>
                <a:lnTo>
                  <a:pt x="765" y="338"/>
                </a:lnTo>
                <a:lnTo>
                  <a:pt x="820" y="356"/>
                </a:lnTo>
                <a:lnTo>
                  <a:pt x="894" y="384"/>
                </a:lnTo>
                <a:lnTo>
                  <a:pt x="922" y="402"/>
                </a:lnTo>
                <a:lnTo>
                  <a:pt x="959" y="420"/>
                </a:lnTo>
                <a:lnTo>
                  <a:pt x="1005" y="439"/>
                </a:lnTo>
                <a:lnTo>
                  <a:pt x="1051" y="466"/>
                </a:lnTo>
                <a:lnTo>
                  <a:pt x="1078" y="475"/>
                </a:lnTo>
                <a:lnTo>
                  <a:pt x="1115" y="493"/>
                </a:lnTo>
                <a:lnTo>
                  <a:pt x="1152" y="512"/>
                </a:lnTo>
                <a:lnTo>
                  <a:pt x="1189" y="521"/>
                </a:lnTo>
                <a:lnTo>
                  <a:pt x="1244" y="539"/>
                </a:lnTo>
                <a:lnTo>
                  <a:pt x="1309" y="557"/>
                </a:lnTo>
                <a:lnTo>
                  <a:pt x="1364" y="557"/>
                </a:lnTo>
                <a:lnTo>
                  <a:pt x="1420" y="557"/>
                </a:lnTo>
                <a:lnTo>
                  <a:pt x="1466" y="539"/>
                </a:lnTo>
                <a:lnTo>
                  <a:pt x="1512" y="539"/>
                </a:lnTo>
                <a:lnTo>
                  <a:pt x="1549" y="512"/>
                </a:lnTo>
                <a:lnTo>
                  <a:pt x="1604" y="484"/>
                </a:lnTo>
                <a:lnTo>
                  <a:pt x="1650" y="466"/>
                </a:lnTo>
                <a:lnTo>
                  <a:pt x="1705" y="448"/>
                </a:lnTo>
                <a:lnTo>
                  <a:pt x="1751" y="429"/>
                </a:lnTo>
                <a:lnTo>
                  <a:pt x="1797" y="420"/>
                </a:lnTo>
                <a:lnTo>
                  <a:pt x="1844" y="402"/>
                </a:lnTo>
                <a:lnTo>
                  <a:pt x="1899" y="411"/>
                </a:lnTo>
                <a:lnTo>
                  <a:pt x="1963" y="420"/>
                </a:lnTo>
                <a:lnTo>
                  <a:pt x="2028" y="439"/>
                </a:lnTo>
                <a:lnTo>
                  <a:pt x="2083" y="457"/>
                </a:lnTo>
                <a:lnTo>
                  <a:pt x="2148" y="484"/>
                </a:lnTo>
                <a:lnTo>
                  <a:pt x="2194" y="512"/>
                </a:lnTo>
                <a:lnTo>
                  <a:pt x="2231" y="539"/>
                </a:lnTo>
                <a:lnTo>
                  <a:pt x="2258" y="557"/>
                </a:lnTo>
                <a:lnTo>
                  <a:pt x="2268" y="567"/>
                </a:lnTo>
                <a:lnTo>
                  <a:pt x="2203" y="73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9" name="Freeform 80">
            <a:extLst>
              <a:ext uri="{FF2B5EF4-FFF2-40B4-BE49-F238E27FC236}">
                <a16:creationId xmlns="" xmlns:a16="http://schemas.microsoft.com/office/drawing/2014/main" id="{00000000-0008-0000-0100-000013000000}"/>
              </a:ext>
            </a:extLst>
          </xdr:cNvPr>
          <xdr:cNvSpPr>
            <a:spLocks/>
          </xdr:cNvSpPr>
        </xdr:nvSpPr>
        <xdr:spPr bwMode="auto">
          <a:xfrm>
            <a:off x="396161" y="267675"/>
            <a:ext cx="172740" cy="170539"/>
          </a:xfrm>
          <a:custGeom>
            <a:avLst/>
            <a:gdLst>
              <a:gd name="T0" fmla="*/ 857 w 2157"/>
              <a:gd name="T1" fmla="*/ 2130 h 2130"/>
              <a:gd name="T2" fmla="*/ 1032 w 2157"/>
              <a:gd name="T3" fmla="*/ 2038 h 2130"/>
              <a:gd name="T4" fmla="*/ 1189 w 2157"/>
              <a:gd name="T5" fmla="*/ 1947 h 2130"/>
              <a:gd name="T6" fmla="*/ 1336 w 2157"/>
              <a:gd name="T7" fmla="*/ 1837 h 2130"/>
              <a:gd name="T8" fmla="*/ 1475 w 2157"/>
              <a:gd name="T9" fmla="*/ 1718 h 2130"/>
              <a:gd name="T10" fmla="*/ 1585 w 2157"/>
              <a:gd name="T11" fmla="*/ 1590 h 2130"/>
              <a:gd name="T12" fmla="*/ 1696 w 2157"/>
              <a:gd name="T13" fmla="*/ 1453 h 2130"/>
              <a:gd name="T14" fmla="*/ 1788 w 2157"/>
              <a:gd name="T15" fmla="*/ 1316 h 2130"/>
              <a:gd name="T16" fmla="*/ 1871 w 2157"/>
              <a:gd name="T17" fmla="*/ 1170 h 2130"/>
              <a:gd name="T18" fmla="*/ 1935 w 2157"/>
              <a:gd name="T19" fmla="*/ 1014 h 2130"/>
              <a:gd name="T20" fmla="*/ 1991 w 2157"/>
              <a:gd name="T21" fmla="*/ 868 h 2130"/>
              <a:gd name="T22" fmla="*/ 2037 w 2157"/>
              <a:gd name="T23" fmla="*/ 713 h 2130"/>
              <a:gd name="T24" fmla="*/ 2083 w 2157"/>
              <a:gd name="T25" fmla="*/ 566 h 2130"/>
              <a:gd name="T26" fmla="*/ 2111 w 2157"/>
              <a:gd name="T27" fmla="*/ 420 h 2130"/>
              <a:gd name="T28" fmla="*/ 2138 w 2157"/>
              <a:gd name="T29" fmla="*/ 274 h 2130"/>
              <a:gd name="T30" fmla="*/ 2147 w 2157"/>
              <a:gd name="T31" fmla="*/ 137 h 2130"/>
              <a:gd name="T32" fmla="*/ 2157 w 2157"/>
              <a:gd name="T33" fmla="*/ 9 h 2130"/>
              <a:gd name="T34" fmla="*/ 2129 w 2157"/>
              <a:gd name="T35" fmla="*/ 0 h 2130"/>
              <a:gd name="T36" fmla="*/ 2064 w 2157"/>
              <a:gd name="T37" fmla="*/ 0 h 2130"/>
              <a:gd name="T38" fmla="*/ 1954 w 2157"/>
              <a:gd name="T39" fmla="*/ 0 h 2130"/>
              <a:gd name="T40" fmla="*/ 1816 w 2157"/>
              <a:gd name="T41" fmla="*/ 0 h 2130"/>
              <a:gd name="T42" fmla="*/ 1650 w 2157"/>
              <a:gd name="T43" fmla="*/ 0 h 2130"/>
              <a:gd name="T44" fmla="*/ 1465 w 2157"/>
              <a:gd name="T45" fmla="*/ 0 h 2130"/>
              <a:gd name="T46" fmla="*/ 1272 w 2157"/>
              <a:gd name="T47" fmla="*/ 0 h 2130"/>
              <a:gd name="T48" fmla="*/ 1078 w 2157"/>
              <a:gd name="T49" fmla="*/ 9 h 2130"/>
              <a:gd name="T50" fmla="*/ 866 w 2157"/>
              <a:gd name="T51" fmla="*/ 9 h 2130"/>
              <a:gd name="T52" fmla="*/ 673 w 2157"/>
              <a:gd name="T53" fmla="*/ 9 h 2130"/>
              <a:gd name="T54" fmla="*/ 497 w 2157"/>
              <a:gd name="T55" fmla="*/ 9 h 2130"/>
              <a:gd name="T56" fmla="*/ 332 w 2157"/>
              <a:gd name="T57" fmla="*/ 18 h 2130"/>
              <a:gd name="T58" fmla="*/ 184 w 2157"/>
              <a:gd name="T59" fmla="*/ 18 h 2130"/>
              <a:gd name="T60" fmla="*/ 83 w 2157"/>
              <a:gd name="T61" fmla="*/ 18 h 2130"/>
              <a:gd name="T62" fmla="*/ 18 w 2157"/>
              <a:gd name="T63" fmla="*/ 18 h 2130"/>
              <a:gd name="T64" fmla="*/ 0 w 2157"/>
              <a:gd name="T65" fmla="*/ 18 h 2130"/>
              <a:gd name="T66" fmla="*/ 857 w 2157"/>
              <a:gd name="T67" fmla="*/ 2130 h 2130"/>
              <a:gd name="T68" fmla="*/ 857 w 2157"/>
              <a:gd name="T69" fmla="*/ 2130 h 21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157" h="2130">
                <a:moveTo>
                  <a:pt x="857" y="2130"/>
                </a:moveTo>
                <a:lnTo>
                  <a:pt x="1032" y="2038"/>
                </a:lnTo>
                <a:lnTo>
                  <a:pt x="1189" y="1947"/>
                </a:lnTo>
                <a:lnTo>
                  <a:pt x="1336" y="1837"/>
                </a:lnTo>
                <a:lnTo>
                  <a:pt x="1475" y="1718"/>
                </a:lnTo>
                <a:lnTo>
                  <a:pt x="1585" y="1590"/>
                </a:lnTo>
                <a:lnTo>
                  <a:pt x="1696" y="1453"/>
                </a:lnTo>
                <a:lnTo>
                  <a:pt x="1788" y="1316"/>
                </a:lnTo>
                <a:lnTo>
                  <a:pt x="1871" y="1170"/>
                </a:lnTo>
                <a:lnTo>
                  <a:pt x="1935" y="1014"/>
                </a:lnTo>
                <a:lnTo>
                  <a:pt x="1991" y="868"/>
                </a:lnTo>
                <a:lnTo>
                  <a:pt x="2037" y="713"/>
                </a:lnTo>
                <a:lnTo>
                  <a:pt x="2083" y="566"/>
                </a:lnTo>
                <a:lnTo>
                  <a:pt x="2111" y="420"/>
                </a:lnTo>
                <a:lnTo>
                  <a:pt x="2138" y="274"/>
                </a:lnTo>
                <a:lnTo>
                  <a:pt x="2147" y="137"/>
                </a:lnTo>
                <a:lnTo>
                  <a:pt x="2157" y="9"/>
                </a:lnTo>
                <a:lnTo>
                  <a:pt x="2129" y="0"/>
                </a:lnTo>
                <a:lnTo>
                  <a:pt x="2064" y="0"/>
                </a:lnTo>
                <a:lnTo>
                  <a:pt x="1954" y="0"/>
                </a:lnTo>
                <a:lnTo>
                  <a:pt x="1816" y="0"/>
                </a:lnTo>
                <a:lnTo>
                  <a:pt x="1650" y="0"/>
                </a:lnTo>
                <a:lnTo>
                  <a:pt x="1465" y="0"/>
                </a:lnTo>
                <a:lnTo>
                  <a:pt x="1272" y="0"/>
                </a:lnTo>
                <a:lnTo>
                  <a:pt x="1078" y="9"/>
                </a:lnTo>
                <a:lnTo>
                  <a:pt x="866" y="9"/>
                </a:lnTo>
                <a:lnTo>
                  <a:pt x="673" y="9"/>
                </a:lnTo>
                <a:lnTo>
                  <a:pt x="497" y="9"/>
                </a:lnTo>
                <a:lnTo>
                  <a:pt x="332" y="18"/>
                </a:lnTo>
                <a:lnTo>
                  <a:pt x="184" y="18"/>
                </a:lnTo>
                <a:lnTo>
                  <a:pt x="83" y="18"/>
                </a:lnTo>
                <a:lnTo>
                  <a:pt x="18" y="18"/>
                </a:lnTo>
                <a:lnTo>
                  <a:pt x="0" y="18"/>
                </a:lnTo>
                <a:lnTo>
                  <a:pt x="857" y="213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0" name="Freeform 81">
            <a:extLst>
              <a:ext uri="{FF2B5EF4-FFF2-40B4-BE49-F238E27FC236}">
                <a16:creationId xmlns="" xmlns:a16="http://schemas.microsoft.com/office/drawing/2014/main" id="{00000000-0008-0000-0100-000014000000}"/>
              </a:ext>
            </a:extLst>
          </xdr:cNvPr>
          <xdr:cNvSpPr>
            <a:spLocks/>
          </xdr:cNvSpPr>
        </xdr:nvSpPr>
        <xdr:spPr bwMode="auto">
          <a:xfrm>
            <a:off x="235555" y="128484"/>
            <a:ext cx="307233" cy="305090"/>
          </a:xfrm>
          <a:custGeom>
            <a:avLst/>
            <a:gdLst>
              <a:gd name="T0" fmla="*/ 2101 w 3834"/>
              <a:gd name="T1" fmla="*/ 3793 h 3812"/>
              <a:gd name="T2" fmla="*/ 2470 w 3834"/>
              <a:gd name="T3" fmla="*/ 3711 h 3812"/>
              <a:gd name="T4" fmla="*/ 2820 w 3834"/>
              <a:gd name="T5" fmla="*/ 3574 h 3812"/>
              <a:gd name="T6" fmla="*/ 3125 w 3834"/>
              <a:gd name="T7" fmla="*/ 3364 h 3812"/>
              <a:gd name="T8" fmla="*/ 3383 w 3834"/>
              <a:gd name="T9" fmla="*/ 3108 h 3812"/>
              <a:gd name="T10" fmla="*/ 3595 w 3834"/>
              <a:gd name="T11" fmla="*/ 2806 h 3812"/>
              <a:gd name="T12" fmla="*/ 3733 w 3834"/>
              <a:gd name="T13" fmla="*/ 2459 h 3812"/>
              <a:gd name="T14" fmla="*/ 3825 w 3834"/>
              <a:gd name="T15" fmla="*/ 2093 h 3812"/>
              <a:gd name="T16" fmla="*/ 3825 w 3834"/>
              <a:gd name="T17" fmla="*/ 1709 h 3812"/>
              <a:gd name="T18" fmla="*/ 3733 w 3834"/>
              <a:gd name="T19" fmla="*/ 1335 h 3812"/>
              <a:gd name="T20" fmla="*/ 3595 w 3834"/>
              <a:gd name="T21" fmla="*/ 987 h 3812"/>
              <a:gd name="T22" fmla="*/ 3383 w 3834"/>
              <a:gd name="T23" fmla="*/ 686 h 3812"/>
              <a:gd name="T24" fmla="*/ 3125 w 3834"/>
              <a:gd name="T25" fmla="*/ 430 h 3812"/>
              <a:gd name="T26" fmla="*/ 2820 w 3834"/>
              <a:gd name="T27" fmla="*/ 229 h 3812"/>
              <a:gd name="T28" fmla="*/ 2470 w 3834"/>
              <a:gd name="T29" fmla="*/ 82 h 3812"/>
              <a:gd name="T30" fmla="*/ 2101 w 3834"/>
              <a:gd name="T31" fmla="*/ 9 h 3812"/>
              <a:gd name="T32" fmla="*/ 1714 w 3834"/>
              <a:gd name="T33" fmla="*/ 9 h 3812"/>
              <a:gd name="T34" fmla="*/ 1336 w 3834"/>
              <a:gd name="T35" fmla="*/ 82 h 3812"/>
              <a:gd name="T36" fmla="*/ 995 w 3834"/>
              <a:gd name="T37" fmla="*/ 229 h 3812"/>
              <a:gd name="T38" fmla="*/ 691 w 3834"/>
              <a:gd name="T39" fmla="*/ 430 h 3812"/>
              <a:gd name="T40" fmla="*/ 424 w 3834"/>
              <a:gd name="T41" fmla="*/ 686 h 3812"/>
              <a:gd name="T42" fmla="*/ 230 w 3834"/>
              <a:gd name="T43" fmla="*/ 987 h 3812"/>
              <a:gd name="T44" fmla="*/ 74 w 3834"/>
              <a:gd name="T45" fmla="*/ 1335 h 3812"/>
              <a:gd name="T46" fmla="*/ 9 w 3834"/>
              <a:gd name="T47" fmla="*/ 1709 h 3812"/>
              <a:gd name="T48" fmla="*/ 9 w 3834"/>
              <a:gd name="T49" fmla="*/ 2093 h 3812"/>
              <a:gd name="T50" fmla="*/ 74 w 3834"/>
              <a:gd name="T51" fmla="*/ 2459 h 3812"/>
              <a:gd name="T52" fmla="*/ 230 w 3834"/>
              <a:gd name="T53" fmla="*/ 2806 h 3812"/>
              <a:gd name="T54" fmla="*/ 424 w 3834"/>
              <a:gd name="T55" fmla="*/ 3108 h 3812"/>
              <a:gd name="T56" fmla="*/ 691 w 3834"/>
              <a:gd name="T57" fmla="*/ 3364 h 3812"/>
              <a:gd name="T58" fmla="*/ 995 w 3834"/>
              <a:gd name="T59" fmla="*/ 3574 h 3812"/>
              <a:gd name="T60" fmla="*/ 1336 w 3834"/>
              <a:gd name="T61" fmla="*/ 3711 h 3812"/>
              <a:gd name="T62" fmla="*/ 1714 w 3834"/>
              <a:gd name="T63" fmla="*/ 3793 h 3812"/>
              <a:gd name="T64" fmla="*/ 1917 w 3834"/>
              <a:gd name="T65" fmla="*/ 3812 h 38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834" h="3812">
                <a:moveTo>
                  <a:pt x="1917" y="3812"/>
                </a:moveTo>
                <a:lnTo>
                  <a:pt x="2101" y="3793"/>
                </a:lnTo>
                <a:lnTo>
                  <a:pt x="2295" y="3766"/>
                </a:lnTo>
                <a:lnTo>
                  <a:pt x="2470" y="3711"/>
                </a:lnTo>
                <a:lnTo>
                  <a:pt x="2655" y="3656"/>
                </a:lnTo>
                <a:lnTo>
                  <a:pt x="2820" y="3574"/>
                </a:lnTo>
                <a:lnTo>
                  <a:pt x="2977" y="3474"/>
                </a:lnTo>
                <a:lnTo>
                  <a:pt x="3125" y="3364"/>
                </a:lnTo>
                <a:lnTo>
                  <a:pt x="3272" y="3245"/>
                </a:lnTo>
                <a:lnTo>
                  <a:pt x="3383" y="3108"/>
                </a:lnTo>
                <a:lnTo>
                  <a:pt x="3493" y="2962"/>
                </a:lnTo>
                <a:lnTo>
                  <a:pt x="3595" y="2806"/>
                </a:lnTo>
                <a:lnTo>
                  <a:pt x="3678" y="2642"/>
                </a:lnTo>
                <a:lnTo>
                  <a:pt x="3733" y="2459"/>
                </a:lnTo>
                <a:lnTo>
                  <a:pt x="3788" y="2276"/>
                </a:lnTo>
                <a:lnTo>
                  <a:pt x="3825" y="2093"/>
                </a:lnTo>
                <a:lnTo>
                  <a:pt x="3834" y="1901"/>
                </a:lnTo>
                <a:lnTo>
                  <a:pt x="3825" y="1709"/>
                </a:lnTo>
                <a:lnTo>
                  <a:pt x="3788" y="1517"/>
                </a:lnTo>
                <a:lnTo>
                  <a:pt x="3733" y="1335"/>
                </a:lnTo>
                <a:lnTo>
                  <a:pt x="3678" y="1161"/>
                </a:lnTo>
                <a:lnTo>
                  <a:pt x="3595" y="987"/>
                </a:lnTo>
                <a:lnTo>
                  <a:pt x="3493" y="841"/>
                </a:lnTo>
                <a:lnTo>
                  <a:pt x="3383" y="686"/>
                </a:lnTo>
                <a:lnTo>
                  <a:pt x="3272" y="558"/>
                </a:lnTo>
                <a:lnTo>
                  <a:pt x="3125" y="430"/>
                </a:lnTo>
                <a:lnTo>
                  <a:pt x="2977" y="320"/>
                </a:lnTo>
                <a:lnTo>
                  <a:pt x="2820" y="229"/>
                </a:lnTo>
                <a:lnTo>
                  <a:pt x="2655" y="146"/>
                </a:lnTo>
                <a:lnTo>
                  <a:pt x="2470" y="82"/>
                </a:lnTo>
                <a:lnTo>
                  <a:pt x="2295" y="37"/>
                </a:lnTo>
                <a:lnTo>
                  <a:pt x="2101" y="9"/>
                </a:lnTo>
                <a:lnTo>
                  <a:pt x="1917" y="0"/>
                </a:lnTo>
                <a:lnTo>
                  <a:pt x="1714" y="9"/>
                </a:lnTo>
                <a:lnTo>
                  <a:pt x="1530" y="37"/>
                </a:lnTo>
                <a:lnTo>
                  <a:pt x="1336" y="82"/>
                </a:lnTo>
                <a:lnTo>
                  <a:pt x="1161" y="146"/>
                </a:lnTo>
                <a:lnTo>
                  <a:pt x="995" y="229"/>
                </a:lnTo>
                <a:lnTo>
                  <a:pt x="839" y="320"/>
                </a:lnTo>
                <a:lnTo>
                  <a:pt x="691" y="430"/>
                </a:lnTo>
                <a:lnTo>
                  <a:pt x="553" y="558"/>
                </a:lnTo>
                <a:lnTo>
                  <a:pt x="424" y="686"/>
                </a:lnTo>
                <a:lnTo>
                  <a:pt x="322" y="841"/>
                </a:lnTo>
                <a:lnTo>
                  <a:pt x="230" y="987"/>
                </a:lnTo>
                <a:lnTo>
                  <a:pt x="147" y="1161"/>
                </a:lnTo>
                <a:lnTo>
                  <a:pt x="74" y="1335"/>
                </a:lnTo>
                <a:lnTo>
                  <a:pt x="37" y="1517"/>
                </a:lnTo>
                <a:lnTo>
                  <a:pt x="9" y="1709"/>
                </a:lnTo>
                <a:lnTo>
                  <a:pt x="0" y="1901"/>
                </a:lnTo>
                <a:lnTo>
                  <a:pt x="9" y="2093"/>
                </a:lnTo>
                <a:lnTo>
                  <a:pt x="37" y="2276"/>
                </a:lnTo>
                <a:lnTo>
                  <a:pt x="74" y="2459"/>
                </a:lnTo>
                <a:lnTo>
                  <a:pt x="147" y="2642"/>
                </a:lnTo>
                <a:lnTo>
                  <a:pt x="230" y="2806"/>
                </a:lnTo>
                <a:lnTo>
                  <a:pt x="322" y="2962"/>
                </a:lnTo>
                <a:lnTo>
                  <a:pt x="424" y="3108"/>
                </a:lnTo>
                <a:lnTo>
                  <a:pt x="553" y="3245"/>
                </a:lnTo>
                <a:lnTo>
                  <a:pt x="691" y="3364"/>
                </a:lnTo>
                <a:lnTo>
                  <a:pt x="839" y="3474"/>
                </a:lnTo>
                <a:lnTo>
                  <a:pt x="995" y="3574"/>
                </a:lnTo>
                <a:lnTo>
                  <a:pt x="1161" y="3656"/>
                </a:lnTo>
                <a:lnTo>
                  <a:pt x="1336" y="3711"/>
                </a:lnTo>
                <a:lnTo>
                  <a:pt x="1530" y="3766"/>
                </a:lnTo>
                <a:lnTo>
                  <a:pt x="1714" y="3793"/>
                </a:lnTo>
                <a:lnTo>
                  <a:pt x="1917" y="3812"/>
                </a:lnTo>
                <a:close/>
              </a:path>
            </a:pathLst>
          </a:custGeom>
          <a:solidFill>
            <a:srgbClr val="E6FF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1" name="Freeform 82">
            <a:extLst>
              <a:ext uri="{FF2B5EF4-FFF2-40B4-BE49-F238E27FC236}">
                <a16:creationId xmlns="" xmlns:a16="http://schemas.microsoft.com/office/drawing/2014/main" id="{00000000-0008-0000-0100-000015000000}"/>
              </a:ext>
            </a:extLst>
          </xdr:cNvPr>
          <xdr:cNvSpPr>
            <a:spLocks/>
          </xdr:cNvSpPr>
        </xdr:nvSpPr>
        <xdr:spPr bwMode="auto">
          <a:xfrm>
            <a:off x="234722" y="128068"/>
            <a:ext cx="258575" cy="256790"/>
          </a:xfrm>
          <a:custGeom>
            <a:avLst/>
            <a:gdLst>
              <a:gd name="T0" fmla="*/ 1779 w 3227"/>
              <a:gd name="T1" fmla="*/ 3190 h 3208"/>
              <a:gd name="T2" fmla="*/ 2083 w 3227"/>
              <a:gd name="T3" fmla="*/ 3126 h 3208"/>
              <a:gd name="T4" fmla="*/ 2369 w 3227"/>
              <a:gd name="T5" fmla="*/ 2998 h 3208"/>
              <a:gd name="T6" fmla="*/ 2627 w 3227"/>
              <a:gd name="T7" fmla="*/ 2825 h 3208"/>
              <a:gd name="T8" fmla="*/ 2849 w 3227"/>
              <a:gd name="T9" fmla="*/ 2605 h 3208"/>
              <a:gd name="T10" fmla="*/ 3024 w 3227"/>
              <a:gd name="T11" fmla="*/ 2349 h 3208"/>
              <a:gd name="T12" fmla="*/ 3153 w 3227"/>
              <a:gd name="T13" fmla="*/ 2066 h 3208"/>
              <a:gd name="T14" fmla="*/ 3217 w 3227"/>
              <a:gd name="T15" fmla="*/ 1755 h 3208"/>
              <a:gd name="T16" fmla="*/ 3217 w 3227"/>
              <a:gd name="T17" fmla="*/ 1426 h 3208"/>
              <a:gd name="T18" fmla="*/ 3153 w 3227"/>
              <a:gd name="T19" fmla="*/ 1124 h 3208"/>
              <a:gd name="T20" fmla="*/ 3024 w 3227"/>
              <a:gd name="T21" fmla="*/ 832 h 3208"/>
              <a:gd name="T22" fmla="*/ 2849 w 3227"/>
              <a:gd name="T23" fmla="*/ 585 h 3208"/>
              <a:gd name="T24" fmla="*/ 2627 w 3227"/>
              <a:gd name="T25" fmla="*/ 366 h 3208"/>
              <a:gd name="T26" fmla="*/ 2369 w 3227"/>
              <a:gd name="T27" fmla="*/ 192 h 3208"/>
              <a:gd name="T28" fmla="*/ 2083 w 3227"/>
              <a:gd name="T29" fmla="*/ 64 h 3208"/>
              <a:gd name="T30" fmla="*/ 1779 w 3227"/>
              <a:gd name="T31" fmla="*/ 9 h 3208"/>
              <a:gd name="T32" fmla="*/ 1438 w 3227"/>
              <a:gd name="T33" fmla="*/ 9 h 3208"/>
              <a:gd name="T34" fmla="*/ 1125 w 3227"/>
              <a:gd name="T35" fmla="*/ 64 h 3208"/>
              <a:gd name="T36" fmla="*/ 839 w 3227"/>
              <a:gd name="T37" fmla="*/ 192 h 3208"/>
              <a:gd name="T38" fmla="*/ 581 w 3227"/>
              <a:gd name="T39" fmla="*/ 366 h 3208"/>
              <a:gd name="T40" fmla="*/ 369 w 3227"/>
              <a:gd name="T41" fmla="*/ 585 h 3208"/>
              <a:gd name="T42" fmla="*/ 194 w 3227"/>
              <a:gd name="T43" fmla="*/ 832 h 3208"/>
              <a:gd name="T44" fmla="*/ 65 w 3227"/>
              <a:gd name="T45" fmla="*/ 1124 h 3208"/>
              <a:gd name="T46" fmla="*/ 9 w 3227"/>
              <a:gd name="T47" fmla="*/ 1426 h 3208"/>
              <a:gd name="T48" fmla="*/ 9 w 3227"/>
              <a:gd name="T49" fmla="*/ 1755 h 3208"/>
              <a:gd name="T50" fmla="*/ 65 w 3227"/>
              <a:gd name="T51" fmla="*/ 2066 h 3208"/>
              <a:gd name="T52" fmla="*/ 194 w 3227"/>
              <a:gd name="T53" fmla="*/ 2349 h 3208"/>
              <a:gd name="T54" fmla="*/ 369 w 3227"/>
              <a:gd name="T55" fmla="*/ 2605 h 3208"/>
              <a:gd name="T56" fmla="*/ 581 w 3227"/>
              <a:gd name="T57" fmla="*/ 2825 h 3208"/>
              <a:gd name="T58" fmla="*/ 839 w 3227"/>
              <a:gd name="T59" fmla="*/ 2998 h 3208"/>
              <a:gd name="T60" fmla="*/ 1125 w 3227"/>
              <a:gd name="T61" fmla="*/ 3126 h 3208"/>
              <a:gd name="T62" fmla="*/ 1438 w 3227"/>
              <a:gd name="T63" fmla="*/ 3190 h 3208"/>
              <a:gd name="T64" fmla="*/ 1613 w 3227"/>
              <a:gd name="T65" fmla="*/ 3208 h 3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227" h="3208">
                <a:moveTo>
                  <a:pt x="1613" y="3208"/>
                </a:moveTo>
                <a:lnTo>
                  <a:pt x="1779" y="3190"/>
                </a:lnTo>
                <a:lnTo>
                  <a:pt x="1936" y="3163"/>
                </a:lnTo>
                <a:lnTo>
                  <a:pt x="2083" y="3126"/>
                </a:lnTo>
                <a:lnTo>
                  <a:pt x="2240" y="3080"/>
                </a:lnTo>
                <a:lnTo>
                  <a:pt x="2369" y="2998"/>
                </a:lnTo>
                <a:lnTo>
                  <a:pt x="2508" y="2925"/>
                </a:lnTo>
                <a:lnTo>
                  <a:pt x="2627" y="2825"/>
                </a:lnTo>
                <a:lnTo>
                  <a:pt x="2756" y="2733"/>
                </a:lnTo>
                <a:lnTo>
                  <a:pt x="2849" y="2605"/>
                </a:lnTo>
                <a:lnTo>
                  <a:pt x="2941" y="2486"/>
                </a:lnTo>
                <a:lnTo>
                  <a:pt x="3024" y="2349"/>
                </a:lnTo>
                <a:lnTo>
                  <a:pt x="3097" y="2221"/>
                </a:lnTo>
                <a:lnTo>
                  <a:pt x="3153" y="2066"/>
                </a:lnTo>
                <a:lnTo>
                  <a:pt x="3190" y="1920"/>
                </a:lnTo>
                <a:lnTo>
                  <a:pt x="3217" y="1755"/>
                </a:lnTo>
                <a:lnTo>
                  <a:pt x="3227" y="1600"/>
                </a:lnTo>
                <a:lnTo>
                  <a:pt x="3217" y="1426"/>
                </a:lnTo>
                <a:lnTo>
                  <a:pt x="3190" y="1280"/>
                </a:lnTo>
                <a:lnTo>
                  <a:pt x="3153" y="1124"/>
                </a:lnTo>
                <a:lnTo>
                  <a:pt x="3097" y="978"/>
                </a:lnTo>
                <a:lnTo>
                  <a:pt x="3024" y="832"/>
                </a:lnTo>
                <a:lnTo>
                  <a:pt x="2941" y="704"/>
                </a:lnTo>
                <a:lnTo>
                  <a:pt x="2849" y="585"/>
                </a:lnTo>
                <a:lnTo>
                  <a:pt x="2756" y="475"/>
                </a:lnTo>
                <a:lnTo>
                  <a:pt x="2627" y="366"/>
                </a:lnTo>
                <a:lnTo>
                  <a:pt x="2508" y="274"/>
                </a:lnTo>
                <a:lnTo>
                  <a:pt x="2369" y="192"/>
                </a:lnTo>
                <a:lnTo>
                  <a:pt x="2240" y="128"/>
                </a:lnTo>
                <a:lnTo>
                  <a:pt x="2083" y="64"/>
                </a:lnTo>
                <a:lnTo>
                  <a:pt x="1936" y="37"/>
                </a:lnTo>
                <a:lnTo>
                  <a:pt x="1779" y="9"/>
                </a:lnTo>
                <a:lnTo>
                  <a:pt x="1613" y="0"/>
                </a:lnTo>
                <a:lnTo>
                  <a:pt x="1438" y="9"/>
                </a:lnTo>
                <a:lnTo>
                  <a:pt x="1282" y="37"/>
                </a:lnTo>
                <a:lnTo>
                  <a:pt x="1125" y="64"/>
                </a:lnTo>
                <a:lnTo>
                  <a:pt x="987" y="128"/>
                </a:lnTo>
                <a:lnTo>
                  <a:pt x="839" y="192"/>
                </a:lnTo>
                <a:lnTo>
                  <a:pt x="710" y="274"/>
                </a:lnTo>
                <a:lnTo>
                  <a:pt x="581" y="366"/>
                </a:lnTo>
                <a:lnTo>
                  <a:pt x="470" y="475"/>
                </a:lnTo>
                <a:lnTo>
                  <a:pt x="369" y="585"/>
                </a:lnTo>
                <a:lnTo>
                  <a:pt x="277" y="704"/>
                </a:lnTo>
                <a:lnTo>
                  <a:pt x="194" y="832"/>
                </a:lnTo>
                <a:lnTo>
                  <a:pt x="129" y="978"/>
                </a:lnTo>
                <a:lnTo>
                  <a:pt x="65" y="1124"/>
                </a:lnTo>
                <a:lnTo>
                  <a:pt x="37" y="1280"/>
                </a:lnTo>
                <a:lnTo>
                  <a:pt x="9" y="1426"/>
                </a:lnTo>
                <a:lnTo>
                  <a:pt x="0" y="1600"/>
                </a:lnTo>
                <a:lnTo>
                  <a:pt x="9" y="1755"/>
                </a:lnTo>
                <a:lnTo>
                  <a:pt x="37" y="1920"/>
                </a:lnTo>
                <a:lnTo>
                  <a:pt x="65" y="2066"/>
                </a:lnTo>
                <a:lnTo>
                  <a:pt x="129" y="2221"/>
                </a:lnTo>
                <a:lnTo>
                  <a:pt x="194" y="2349"/>
                </a:lnTo>
                <a:lnTo>
                  <a:pt x="277" y="2486"/>
                </a:lnTo>
                <a:lnTo>
                  <a:pt x="369" y="2605"/>
                </a:lnTo>
                <a:lnTo>
                  <a:pt x="470" y="2733"/>
                </a:lnTo>
                <a:lnTo>
                  <a:pt x="581" y="2825"/>
                </a:lnTo>
                <a:lnTo>
                  <a:pt x="710" y="2925"/>
                </a:lnTo>
                <a:lnTo>
                  <a:pt x="839" y="2998"/>
                </a:lnTo>
                <a:lnTo>
                  <a:pt x="987" y="3080"/>
                </a:lnTo>
                <a:lnTo>
                  <a:pt x="1125" y="3126"/>
                </a:lnTo>
                <a:lnTo>
                  <a:pt x="1282" y="3163"/>
                </a:lnTo>
                <a:lnTo>
                  <a:pt x="1438" y="3190"/>
                </a:lnTo>
                <a:lnTo>
                  <a:pt x="1613" y="3208"/>
                </a:lnTo>
                <a:close/>
              </a:path>
            </a:pathLst>
          </a:custGeom>
          <a:solidFill>
            <a:srgbClr val="EDFF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2" name="Freeform 83">
            <a:extLst>
              <a:ext uri="{FF2B5EF4-FFF2-40B4-BE49-F238E27FC236}">
                <a16:creationId xmlns="" xmlns:a16="http://schemas.microsoft.com/office/drawing/2014/main" id="{00000000-0008-0000-0100-000016000000}"/>
              </a:ext>
            </a:extLst>
          </xdr:cNvPr>
          <xdr:cNvSpPr>
            <a:spLocks/>
          </xdr:cNvSpPr>
        </xdr:nvSpPr>
        <xdr:spPr bwMode="auto">
          <a:xfrm>
            <a:off x="256315" y="144901"/>
            <a:ext cx="209799" cy="208489"/>
          </a:xfrm>
          <a:custGeom>
            <a:avLst/>
            <a:gdLst>
              <a:gd name="T0" fmla="*/ 1438 w 2618"/>
              <a:gd name="T1" fmla="*/ 2587 h 2605"/>
              <a:gd name="T2" fmla="*/ 1687 w 2618"/>
              <a:gd name="T3" fmla="*/ 2532 h 2605"/>
              <a:gd name="T4" fmla="*/ 1926 w 2618"/>
              <a:gd name="T5" fmla="*/ 2431 h 2605"/>
              <a:gd name="T6" fmla="*/ 2129 w 2618"/>
              <a:gd name="T7" fmla="*/ 2294 h 2605"/>
              <a:gd name="T8" fmla="*/ 2304 w 2618"/>
              <a:gd name="T9" fmla="*/ 2121 h 2605"/>
              <a:gd name="T10" fmla="*/ 2452 w 2618"/>
              <a:gd name="T11" fmla="*/ 1910 h 2605"/>
              <a:gd name="T12" fmla="*/ 2544 w 2618"/>
              <a:gd name="T13" fmla="*/ 1682 h 2605"/>
              <a:gd name="T14" fmla="*/ 2609 w 2618"/>
              <a:gd name="T15" fmla="*/ 1435 h 2605"/>
              <a:gd name="T16" fmla="*/ 2609 w 2618"/>
              <a:gd name="T17" fmla="*/ 1170 h 2605"/>
              <a:gd name="T18" fmla="*/ 2544 w 2618"/>
              <a:gd name="T19" fmla="*/ 914 h 2605"/>
              <a:gd name="T20" fmla="*/ 2452 w 2618"/>
              <a:gd name="T21" fmla="*/ 676 h 2605"/>
              <a:gd name="T22" fmla="*/ 2304 w 2618"/>
              <a:gd name="T23" fmla="*/ 466 h 2605"/>
              <a:gd name="T24" fmla="*/ 2129 w 2618"/>
              <a:gd name="T25" fmla="*/ 292 h 2605"/>
              <a:gd name="T26" fmla="*/ 1926 w 2618"/>
              <a:gd name="T27" fmla="*/ 155 h 2605"/>
              <a:gd name="T28" fmla="*/ 1687 w 2618"/>
              <a:gd name="T29" fmla="*/ 55 h 2605"/>
              <a:gd name="T30" fmla="*/ 1438 w 2618"/>
              <a:gd name="T31" fmla="*/ 0 h 2605"/>
              <a:gd name="T32" fmla="*/ 1171 w 2618"/>
              <a:gd name="T33" fmla="*/ 0 h 2605"/>
              <a:gd name="T34" fmla="*/ 913 w 2618"/>
              <a:gd name="T35" fmla="*/ 55 h 2605"/>
              <a:gd name="T36" fmla="*/ 673 w 2618"/>
              <a:gd name="T37" fmla="*/ 155 h 2605"/>
              <a:gd name="T38" fmla="*/ 470 w 2618"/>
              <a:gd name="T39" fmla="*/ 292 h 2605"/>
              <a:gd name="T40" fmla="*/ 295 w 2618"/>
              <a:gd name="T41" fmla="*/ 466 h 2605"/>
              <a:gd name="T42" fmla="*/ 147 w 2618"/>
              <a:gd name="T43" fmla="*/ 676 h 2605"/>
              <a:gd name="T44" fmla="*/ 55 w 2618"/>
              <a:gd name="T45" fmla="*/ 914 h 2605"/>
              <a:gd name="T46" fmla="*/ 0 w 2618"/>
              <a:gd name="T47" fmla="*/ 1170 h 2605"/>
              <a:gd name="T48" fmla="*/ 0 w 2618"/>
              <a:gd name="T49" fmla="*/ 1435 h 2605"/>
              <a:gd name="T50" fmla="*/ 55 w 2618"/>
              <a:gd name="T51" fmla="*/ 1682 h 2605"/>
              <a:gd name="T52" fmla="*/ 147 w 2618"/>
              <a:gd name="T53" fmla="*/ 1910 h 2605"/>
              <a:gd name="T54" fmla="*/ 295 w 2618"/>
              <a:gd name="T55" fmla="*/ 2121 h 2605"/>
              <a:gd name="T56" fmla="*/ 470 w 2618"/>
              <a:gd name="T57" fmla="*/ 2294 h 2605"/>
              <a:gd name="T58" fmla="*/ 673 w 2618"/>
              <a:gd name="T59" fmla="*/ 2431 h 2605"/>
              <a:gd name="T60" fmla="*/ 913 w 2618"/>
              <a:gd name="T61" fmla="*/ 2532 h 2605"/>
              <a:gd name="T62" fmla="*/ 1171 w 2618"/>
              <a:gd name="T63" fmla="*/ 2587 h 2605"/>
              <a:gd name="T64" fmla="*/ 1309 w 2618"/>
              <a:gd name="T65" fmla="*/ 2605 h 26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618" h="2605">
                <a:moveTo>
                  <a:pt x="1309" y="2605"/>
                </a:moveTo>
                <a:lnTo>
                  <a:pt x="1438" y="2587"/>
                </a:lnTo>
                <a:lnTo>
                  <a:pt x="1567" y="2569"/>
                </a:lnTo>
                <a:lnTo>
                  <a:pt x="1687" y="2532"/>
                </a:lnTo>
                <a:lnTo>
                  <a:pt x="1816" y="2495"/>
                </a:lnTo>
                <a:lnTo>
                  <a:pt x="1926" y="2431"/>
                </a:lnTo>
                <a:lnTo>
                  <a:pt x="2037" y="2367"/>
                </a:lnTo>
                <a:lnTo>
                  <a:pt x="2129" y="2294"/>
                </a:lnTo>
                <a:lnTo>
                  <a:pt x="2231" y="2212"/>
                </a:lnTo>
                <a:lnTo>
                  <a:pt x="2304" y="2121"/>
                </a:lnTo>
                <a:lnTo>
                  <a:pt x="2387" y="2020"/>
                </a:lnTo>
                <a:lnTo>
                  <a:pt x="2452" y="1910"/>
                </a:lnTo>
                <a:lnTo>
                  <a:pt x="2507" y="1801"/>
                </a:lnTo>
                <a:lnTo>
                  <a:pt x="2544" y="1682"/>
                </a:lnTo>
                <a:lnTo>
                  <a:pt x="2581" y="1563"/>
                </a:lnTo>
                <a:lnTo>
                  <a:pt x="2609" y="1435"/>
                </a:lnTo>
                <a:lnTo>
                  <a:pt x="2618" y="1298"/>
                </a:lnTo>
                <a:lnTo>
                  <a:pt x="2609" y="1170"/>
                </a:lnTo>
                <a:lnTo>
                  <a:pt x="2581" y="1042"/>
                </a:lnTo>
                <a:lnTo>
                  <a:pt x="2544" y="914"/>
                </a:lnTo>
                <a:lnTo>
                  <a:pt x="2507" y="795"/>
                </a:lnTo>
                <a:lnTo>
                  <a:pt x="2452" y="676"/>
                </a:lnTo>
                <a:lnTo>
                  <a:pt x="2387" y="567"/>
                </a:lnTo>
                <a:lnTo>
                  <a:pt x="2304" y="466"/>
                </a:lnTo>
                <a:lnTo>
                  <a:pt x="2231" y="384"/>
                </a:lnTo>
                <a:lnTo>
                  <a:pt x="2129" y="292"/>
                </a:lnTo>
                <a:lnTo>
                  <a:pt x="2037" y="219"/>
                </a:lnTo>
                <a:lnTo>
                  <a:pt x="1926" y="155"/>
                </a:lnTo>
                <a:lnTo>
                  <a:pt x="1816" y="101"/>
                </a:lnTo>
                <a:lnTo>
                  <a:pt x="1687" y="55"/>
                </a:lnTo>
                <a:lnTo>
                  <a:pt x="1567" y="27"/>
                </a:lnTo>
                <a:lnTo>
                  <a:pt x="1438" y="0"/>
                </a:lnTo>
                <a:lnTo>
                  <a:pt x="1309" y="0"/>
                </a:lnTo>
                <a:lnTo>
                  <a:pt x="1171" y="0"/>
                </a:lnTo>
                <a:lnTo>
                  <a:pt x="1042" y="27"/>
                </a:lnTo>
                <a:lnTo>
                  <a:pt x="913" y="55"/>
                </a:lnTo>
                <a:lnTo>
                  <a:pt x="802" y="101"/>
                </a:lnTo>
                <a:lnTo>
                  <a:pt x="673" y="155"/>
                </a:lnTo>
                <a:lnTo>
                  <a:pt x="571" y="219"/>
                </a:lnTo>
                <a:lnTo>
                  <a:pt x="470" y="292"/>
                </a:lnTo>
                <a:lnTo>
                  <a:pt x="387" y="384"/>
                </a:lnTo>
                <a:lnTo>
                  <a:pt x="295" y="466"/>
                </a:lnTo>
                <a:lnTo>
                  <a:pt x="212" y="567"/>
                </a:lnTo>
                <a:lnTo>
                  <a:pt x="147" y="676"/>
                </a:lnTo>
                <a:lnTo>
                  <a:pt x="101" y="795"/>
                </a:lnTo>
                <a:lnTo>
                  <a:pt x="55" y="914"/>
                </a:lnTo>
                <a:lnTo>
                  <a:pt x="18" y="1042"/>
                </a:lnTo>
                <a:lnTo>
                  <a:pt x="0" y="1170"/>
                </a:lnTo>
                <a:lnTo>
                  <a:pt x="0" y="1298"/>
                </a:lnTo>
                <a:lnTo>
                  <a:pt x="0" y="1435"/>
                </a:lnTo>
                <a:lnTo>
                  <a:pt x="18" y="1563"/>
                </a:lnTo>
                <a:lnTo>
                  <a:pt x="55" y="1682"/>
                </a:lnTo>
                <a:lnTo>
                  <a:pt x="101" y="1801"/>
                </a:lnTo>
                <a:lnTo>
                  <a:pt x="147" y="1910"/>
                </a:lnTo>
                <a:lnTo>
                  <a:pt x="212" y="2020"/>
                </a:lnTo>
                <a:lnTo>
                  <a:pt x="295" y="2121"/>
                </a:lnTo>
                <a:lnTo>
                  <a:pt x="387" y="2212"/>
                </a:lnTo>
                <a:lnTo>
                  <a:pt x="470" y="2294"/>
                </a:lnTo>
                <a:lnTo>
                  <a:pt x="571" y="2367"/>
                </a:lnTo>
                <a:lnTo>
                  <a:pt x="673" y="2431"/>
                </a:lnTo>
                <a:lnTo>
                  <a:pt x="802" y="2495"/>
                </a:lnTo>
                <a:lnTo>
                  <a:pt x="913" y="2532"/>
                </a:lnTo>
                <a:lnTo>
                  <a:pt x="1042" y="2569"/>
                </a:lnTo>
                <a:lnTo>
                  <a:pt x="1171" y="2587"/>
                </a:lnTo>
                <a:lnTo>
                  <a:pt x="1309" y="2605"/>
                </a:lnTo>
                <a:close/>
              </a:path>
            </a:pathLst>
          </a:custGeom>
          <a:solidFill>
            <a:srgbClr val="F0FCD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3" name="Freeform 84">
            <a:extLst>
              <a:ext uri="{FF2B5EF4-FFF2-40B4-BE49-F238E27FC236}">
                <a16:creationId xmlns="" xmlns:a16="http://schemas.microsoft.com/office/drawing/2014/main" id="{00000000-0008-0000-0100-000017000000}"/>
              </a:ext>
            </a:extLst>
          </xdr:cNvPr>
          <xdr:cNvSpPr>
            <a:spLocks/>
          </xdr:cNvSpPr>
        </xdr:nvSpPr>
        <xdr:spPr bwMode="auto">
          <a:xfrm>
            <a:off x="268093" y="155073"/>
            <a:ext cx="161082" cy="159534"/>
          </a:xfrm>
          <a:custGeom>
            <a:avLst/>
            <a:gdLst>
              <a:gd name="T0" fmla="*/ 1107 w 2010"/>
              <a:gd name="T1" fmla="*/ 1974 h 1993"/>
              <a:gd name="T2" fmla="*/ 1291 w 2010"/>
              <a:gd name="T3" fmla="*/ 1938 h 1993"/>
              <a:gd name="T4" fmla="*/ 1475 w 2010"/>
              <a:gd name="T5" fmla="*/ 1865 h 1993"/>
              <a:gd name="T6" fmla="*/ 1632 w 2010"/>
              <a:gd name="T7" fmla="*/ 1755 h 1993"/>
              <a:gd name="T8" fmla="*/ 1770 w 2010"/>
              <a:gd name="T9" fmla="*/ 1618 h 1993"/>
              <a:gd name="T10" fmla="*/ 1881 w 2010"/>
              <a:gd name="T11" fmla="*/ 1462 h 1993"/>
              <a:gd name="T12" fmla="*/ 1955 w 2010"/>
              <a:gd name="T13" fmla="*/ 1280 h 1993"/>
              <a:gd name="T14" fmla="*/ 2001 w 2010"/>
              <a:gd name="T15" fmla="*/ 1097 h 1993"/>
              <a:gd name="T16" fmla="*/ 2001 w 2010"/>
              <a:gd name="T17" fmla="*/ 887 h 1993"/>
              <a:gd name="T18" fmla="*/ 1955 w 2010"/>
              <a:gd name="T19" fmla="*/ 695 h 1993"/>
              <a:gd name="T20" fmla="*/ 1881 w 2010"/>
              <a:gd name="T21" fmla="*/ 512 h 1993"/>
              <a:gd name="T22" fmla="*/ 1770 w 2010"/>
              <a:gd name="T23" fmla="*/ 356 h 1993"/>
              <a:gd name="T24" fmla="*/ 1632 w 2010"/>
              <a:gd name="T25" fmla="*/ 219 h 1993"/>
              <a:gd name="T26" fmla="*/ 1475 w 2010"/>
              <a:gd name="T27" fmla="*/ 110 h 1993"/>
              <a:gd name="T28" fmla="*/ 1291 w 2010"/>
              <a:gd name="T29" fmla="*/ 46 h 1993"/>
              <a:gd name="T30" fmla="*/ 1107 w 2010"/>
              <a:gd name="T31" fmla="*/ 0 h 1993"/>
              <a:gd name="T32" fmla="*/ 895 w 2010"/>
              <a:gd name="T33" fmla="*/ 0 h 1993"/>
              <a:gd name="T34" fmla="*/ 701 w 2010"/>
              <a:gd name="T35" fmla="*/ 46 h 1993"/>
              <a:gd name="T36" fmla="*/ 517 w 2010"/>
              <a:gd name="T37" fmla="*/ 110 h 1993"/>
              <a:gd name="T38" fmla="*/ 360 w 2010"/>
              <a:gd name="T39" fmla="*/ 219 h 1993"/>
              <a:gd name="T40" fmla="*/ 222 w 2010"/>
              <a:gd name="T41" fmla="*/ 356 h 1993"/>
              <a:gd name="T42" fmla="*/ 111 w 2010"/>
              <a:gd name="T43" fmla="*/ 512 h 1993"/>
              <a:gd name="T44" fmla="*/ 47 w 2010"/>
              <a:gd name="T45" fmla="*/ 695 h 1993"/>
              <a:gd name="T46" fmla="*/ 0 w 2010"/>
              <a:gd name="T47" fmla="*/ 887 h 1993"/>
              <a:gd name="T48" fmla="*/ 0 w 2010"/>
              <a:gd name="T49" fmla="*/ 1097 h 1993"/>
              <a:gd name="T50" fmla="*/ 47 w 2010"/>
              <a:gd name="T51" fmla="*/ 1280 h 1993"/>
              <a:gd name="T52" fmla="*/ 111 w 2010"/>
              <a:gd name="T53" fmla="*/ 1462 h 1993"/>
              <a:gd name="T54" fmla="*/ 222 w 2010"/>
              <a:gd name="T55" fmla="*/ 1618 h 1993"/>
              <a:gd name="T56" fmla="*/ 360 w 2010"/>
              <a:gd name="T57" fmla="*/ 1755 h 1993"/>
              <a:gd name="T58" fmla="*/ 517 w 2010"/>
              <a:gd name="T59" fmla="*/ 1865 h 1993"/>
              <a:gd name="T60" fmla="*/ 701 w 2010"/>
              <a:gd name="T61" fmla="*/ 1938 h 1993"/>
              <a:gd name="T62" fmla="*/ 895 w 2010"/>
              <a:gd name="T63" fmla="*/ 1974 h 1993"/>
              <a:gd name="T64" fmla="*/ 1005 w 2010"/>
              <a:gd name="T65" fmla="*/ 1993 h 19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0" h="1993">
                <a:moveTo>
                  <a:pt x="1005" y="1993"/>
                </a:moveTo>
                <a:lnTo>
                  <a:pt x="1107" y="1974"/>
                </a:lnTo>
                <a:lnTo>
                  <a:pt x="1199" y="1965"/>
                </a:lnTo>
                <a:lnTo>
                  <a:pt x="1291" y="1938"/>
                </a:lnTo>
                <a:lnTo>
                  <a:pt x="1392" y="1910"/>
                </a:lnTo>
                <a:lnTo>
                  <a:pt x="1475" y="1865"/>
                </a:lnTo>
                <a:lnTo>
                  <a:pt x="1558" y="1810"/>
                </a:lnTo>
                <a:lnTo>
                  <a:pt x="1632" y="1755"/>
                </a:lnTo>
                <a:lnTo>
                  <a:pt x="1715" y="1700"/>
                </a:lnTo>
                <a:lnTo>
                  <a:pt x="1770" y="1618"/>
                </a:lnTo>
                <a:lnTo>
                  <a:pt x="1826" y="1545"/>
                </a:lnTo>
                <a:lnTo>
                  <a:pt x="1881" y="1462"/>
                </a:lnTo>
                <a:lnTo>
                  <a:pt x="1927" y="1380"/>
                </a:lnTo>
                <a:lnTo>
                  <a:pt x="1955" y="1280"/>
                </a:lnTo>
                <a:lnTo>
                  <a:pt x="1982" y="1197"/>
                </a:lnTo>
                <a:lnTo>
                  <a:pt x="2001" y="1097"/>
                </a:lnTo>
                <a:lnTo>
                  <a:pt x="2010" y="996"/>
                </a:lnTo>
                <a:lnTo>
                  <a:pt x="2001" y="887"/>
                </a:lnTo>
                <a:lnTo>
                  <a:pt x="1982" y="795"/>
                </a:lnTo>
                <a:lnTo>
                  <a:pt x="1955" y="695"/>
                </a:lnTo>
                <a:lnTo>
                  <a:pt x="1927" y="612"/>
                </a:lnTo>
                <a:lnTo>
                  <a:pt x="1881" y="512"/>
                </a:lnTo>
                <a:lnTo>
                  <a:pt x="1826" y="439"/>
                </a:lnTo>
                <a:lnTo>
                  <a:pt x="1770" y="356"/>
                </a:lnTo>
                <a:lnTo>
                  <a:pt x="1715" y="292"/>
                </a:lnTo>
                <a:lnTo>
                  <a:pt x="1632" y="219"/>
                </a:lnTo>
                <a:lnTo>
                  <a:pt x="1558" y="164"/>
                </a:lnTo>
                <a:lnTo>
                  <a:pt x="1475" y="110"/>
                </a:lnTo>
                <a:lnTo>
                  <a:pt x="1392" y="82"/>
                </a:lnTo>
                <a:lnTo>
                  <a:pt x="1291" y="46"/>
                </a:lnTo>
                <a:lnTo>
                  <a:pt x="1199" y="27"/>
                </a:lnTo>
                <a:lnTo>
                  <a:pt x="1107" y="0"/>
                </a:lnTo>
                <a:lnTo>
                  <a:pt x="1005" y="0"/>
                </a:lnTo>
                <a:lnTo>
                  <a:pt x="895" y="0"/>
                </a:lnTo>
                <a:lnTo>
                  <a:pt x="802" y="27"/>
                </a:lnTo>
                <a:lnTo>
                  <a:pt x="701" y="46"/>
                </a:lnTo>
                <a:lnTo>
                  <a:pt x="609" y="82"/>
                </a:lnTo>
                <a:lnTo>
                  <a:pt x="517" y="110"/>
                </a:lnTo>
                <a:lnTo>
                  <a:pt x="434" y="164"/>
                </a:lnTo>
                <a:lnTo>
                  <a:pt x="360" y="219"/>
                </a:lnTo>
                <a:lnTo>
                  <a:pt x="295" y="292"/>
                </a:lnTo>
                <a:lnTo>
                  <a:pt x="222" y="356"/>
                </a:lnTo>
                <a:lnTo>
                  <a:pt x="166" y="439"/>
                </a:lnTo>
                <a:lnTo>
                  <a:pt x="111" y="512"/>
                </a:lnTo>
                <a:lnTo>
                  <a:pt x="83" y="612"/>
                </a:lnTo>
                <a:lnTo>
                  <a:pt x="47" y="695"/>
                </a:lnTo>
                <a:lnTo>
                  <a:pt x="19" y="795"/>
                </a:lnTo>
                <a:lnTo>
                  <a:pt x="0" y="887"/>
                </a:lnTo>
                <a:lnTo>
                  <a:pt x="0" y="996"/>
                </a:lnTo>
                <a:lnTo>
                  <a:pt x="0" y="1097"/>
                </a:lnTo>
                <a:lnTo>
                  <a:pt x="19" y="1197"/>
                </a:lnTo>
                <a:lnTo>
                  <a:pt x="47" y="1280"/>
                </a:lnTo>
                <a:lnTo>
                  <a:pt x="83" y="1380"/>
                </a:lnTo>
                <a:lnTo>
                  <a:pt x="111" y="1462"/>
                </a:lnTo>
                <a:lnTo>
                  <a:pt x="166" y="1545"/>
                </a:lnTo>
                <a:lnTo>
                  <a:pt x="222" y="1618"/>
                </a:lnTo>
                <a:lnTo>
                  <a:pt x="295" y="1700"/>
                </a:lnTo>
                <a:lnTo>
                  <a:pt x="360" y="1755"/>
                </a:lnTo>
                <a:lnTo>
                  <a:pt x="434" y="1810"/>
                </a:lnTo>
                <a:lnTo>
                  <a:pt x="517" y="1865"/>
                </a:lnTo>
                <a:lnTo>
                  <a:pt x="609" y="1910"/>
                </a:lnTo>
                <a:lnTo>
                  <a:pt x="701" y="1938"/>
                </a:lnTo>
                <a:lnTo>
                  <a:pt x="802" y="1965"/>
                </a:lnTo>
                <a:lnTo>
                  <a:pt x="895" y="1974"/>
                </a:lnTo>
                <a:lnTo>
                  <a:pt x="1005" y="1993"/>
                </a:lnTo>
                <a:close/>
              </a:path>
            </a:pathLst>
          </a:custGeom>
          <a:solidFill>
            <a:srgbClr val="F5FA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4" name="Freeform 85">
            <a:extLst>
              <a:ext uri="{FF2B5EF4-FFF2-40B4-BE49-F238E27FC236}">
                <a16:creationId xmlns="" xmlns:a16="http://schemas.microsoft.com/office/drawing/2014/main" id="{00000000-0008-0000-0100-000018000000}"/>
              </a:ext>
            </a:extLst>
          </xdr:cNvPr>
          <xdr:cNvSpPr>
            <a:spLocks/>
          </xdr:cNvSpPr>
        </xdr:nvSpPr>
        <xdr:spPr bwMode="auto">
          <a:xfrm>
            <a:off x="524467" y="232758"/>
            <a:ext cx="239303" cy="8744"/>
          </a:xfrm>
          <a:custGeom>
            <a:avLst/>
            <a:gdLst>
              <a:gd name="T0" fmla="*/ 0 w 2987"/>
              <a:gd name="T1" fmla="*/ 110 h 110"/>
              <a:gd name="T2" fmla="*/ 2987 w 2987"/>
              <a:gd name="T3" fmla="*/ 110 h 110"/>
              <a:gd name="T4" fmla="*/ 2987 w 2987"/>
              <a:gd name="T5" fmla="*/ 0 h 110"/>
              <a:gd name="T6" fmla="*/ 0 w 2987"/>
              <a:gd name="T7" fmla="*/ 0 h 110"/>
              <a:gd name="T8" fmla="*/ 0 w 2987"/>
              <a:gd name="T9" fmla="*/ 110 h 110"/>
              <a:gd name="T10" fmla="*/ 0 w 2987"/>
              <a:gd name="T11" fmla="*/ 110 h 1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987" h="110">
                <a:moveTo>
                  <a:pt x="0" y="110"/>
                </a:moveTo>
                <a:lnTo>
                  <a:pt x="2987" y="110"/>
                </a:lnTo>
                <a:lnTo>
                  <a:pt x="2987" y="0"/>
                </a:lnTo>
                <a:lnTo>
                  <a:pt x="0" y="0"/>
                </a:lnTo>
                <a:lnTo>
                  <a:pt x="0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5" name="Freeform 86">
            <a:extLst>
              <a:ext uri="{FF2B5EF4-FFF2-40B4-BE49-F238E27FC236}">
                <a16:creationId xmlns="" xmlns:a16="http://schemas.microsoft.com/office/drawing/2014/main" id="{00000000-0008-0000-0100-000019000000}"/>
              </a:ext>
            </a:extLst>
          </xdr:cNvPr>
          <xdr:cNvSpPr>
            <a:spLocks/>
          </xdr:cNvSpPr>
        </xdr:nvSpPr>
        <xdr:spPr bwMode="auto">
          <a:xfrm>
            <a:off x="288139" y="167029"/>
            <a:ext cx="111532" cy="111234"/>
          </a:xfrm>
          <a:custGeom>
            <a:avLst/>
            <a:gdLst>
              <a:gd name="T0" fmla="*/ 756 w 1392"/>
              <a:gd name="T1" fmla="*/ 1380 h 1389"/>
              <a:gd name="T2" fmla="*/ 894 w 1392"/>
              <a:gd name="T3" fmla="*/ 1353 h 1389"/>
              <a:gd name="T4" fmla="*/ 1023 w 1392"/>
              <a:gd name="T5" fmla="*/ 1298 h 1389"/>
              <a:gd name="T6" fmla="*/ 1134 w 1392"/>
              <a:gd name="T7" fmla="*/ 1216 h 1389"/>
              <a:gd name="T8" fmla="*/ 1226 w 1392"/>
              <a:gd name="T9" fmla="*/ 1133 h 1389"/>
              <a:gd name="T10" fmla="*/ 1300 w 1392"/>
              <a:gd name="T11" fmla="*/ 1024 h 1389"/>
              <a:gd name="T12" fmla="*/ 1355 w 1392"/>
              <a:gd name="T13" fmla="*/ 896 h 1389"/>
              <a:gd name="T14" fmla="*/ 1383 w 1392"/>
              <a:gd name="T15" fmla="*/ 759 h 1389"/>
              <a:gd name="T16" fmla="*/ 1383 w 1392"/>
              <a:gd name="T17" fmla="*/ 612 h 1389"/>
              <a:gd name="T18" fmla="*/ 1355 w 1392"/>
              <a:gd name="T19" fmla="*/ 475 h 1389"/>
              <a:gd name="T20" fmla="*/ 1300 w 1392"/>
              <a:gd name="T21" fmla="*/ 356 h 1389"/>
              <a:gd name="T22" fmla="*/ 1226 w 1392"/>
              <a:gd name="T23" fmla="*/ 247 h 1389"/>
              <a:gd name="T24" fmla="*/ 1134 w 1392"/>
              <a:gd name="T25" fmla="*/ 155 h 1389"/>
              <a:gd name="T26" fmla="*/ 1023 w 1392"/>
              <a:gd name="T27" fmla="*/ 73 h 1389"/>
              <a:gd name="T28" fmla="*/ 894 w 1392"/>
              <a:gd name="T29" fmla="*/ 27 h 1389"/>
              <a:gd name="T30" fmla="*/ 756 w 1392"/>
              <a:gd name="T31" fmla="*/ 0 h 1389"/>
              <a:gd name="T32" fmla="*/ 618 w 1392"/>
              <a:gd name="T33" fmla="*/ 0 h 1389"/>
              <a:gd name="T34" fmla="*/ 470 w 1392"/>
              <a:gd name="T35" fmla="*/ 27 h 1389"/>
              <a:gd name="T36" fmla="*/ 360 w 1392"/>
              <a:gd name="T37" fmla="*/ 73 h 1389"/>
              <a:gd name="T38" fmla="*/ 240 w 1392"/>
              <a:gd name="T39" fmla="*/ 155 h 1389"/>
              <a:gd name="T40" fmla="*/ 148 w 1392"/>
              <a:gd name="T41" fmla="*/ 247 h 1389"/>
              <a:gd name="T42" fmla="*/ 74 w 1392"/>
              <a:gd name="T43" fmla="*/ 356 h 1389"/>
              <a:gd name="T44" fmla="*/ 28 w 1392"/>
              <a:gd name="T45" fmla="*/ 475 h 1389"/>
              <a:gd name="T46" fmla="*/ 0 w 1392"/>
              <a:gd name="T47" fmla="*/ 612 h 1389"/>
              <a:gd name="T48" fmla="*/ 0 w 1392"/>
              <a:gd name="T49" fmla="*/ 759 h 1389"/>
              <a:gd name="T50" fmla="*/ 28 w 1392"/>
              <a:gd name="T51" fmla="*/ 896 h 1389"/>
              <a:gd name="T52" fmla="*/ 74 w 1392"/>
              <a:gd name="T53" fmla="*/ 1024 h 1389"/>
              <a:gd name="T54" fmla="*/ 148 w 1392"/>
              <a:gd name="T55" fmla="*/ 1133 h 1389"/>
              <a:gd name="T56" fmla="*/ 240 w 1392"/>
              <a:gd name="T57" fmla="*/ 1216 h 1389"/>
              <a:gd name="T58" fmla="*/ 360 w 1392"/>
              <a:gd name="T59" fmla="*/ 1298 h 1389"/>
              <a:gd name="T60" fmla="*/ 470 w 1392"/>
              <a:gd name="T61" fmla="*/ 1353 h 1389"/>
              <a:gd name="T62" fmla="*/ 618 w 1392"/>
              <a:gd name="T63" fmla="*/ 1380 h 1389"/>
              <a:gd name="T64" fmla="*/ 691 w 1392"/>
              <a:gd name="T65" fmla="*/ 1389 h 13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392" h="1389">
                <a:moveTo>
                  <a:pt x="691" y="1389"/>
                </a:moveTo>
                <a:lnTo>
                  <a:pt x="756" y="1380"/>
                </a:lnTo>
                <a:lnTo>
                  <a:pt x="830" y="1371"/>
                </a:lnTo>
                <a:lnTo>
                  <a:pt x="894" y="1353"/>
                </a:lnTo>
                <a:lnTo>
                  <a:pt x="968" y="1325"/>
                </a:lnTo>
                <a:lnTo>
                  <a:pt x="1023" y="1298"/>
                </a:lnTo>
                <a:lnTo>
                  <a:pt x="1079" y="1261"/>
                </a:lnTo>
                <a:lnTo>
                  <a:pt x="1134" y="1216"/>
                </a:lnTo>
                <a:lnTo>
                  <a:pt x="1189" y="1179"/>
                </a:lnTo>
                <a:lnTo>
                  <a:pt x="1226" y="1133"/>
                </a:lnTo>
                <a:lnTo>
                  <a:pt x="1272" y="1079"/>
                </a:lnTo>
                <a:lnTo>
                  <a:pt x="1300" y="1024"/>
                </a:lnTo>
                <a:lnTo>
                  <a:pt x="1337" y="960"/>
                </a:lnTo>
                <a:lnTo>
                  <a:pt x="1355" y="896"/>
                </a:lnTo>
                <a:lnTo>
                  <a:pt x="1374" y="832"/>
                </a:lnTo>
                <a:lnTo>
                  <a:pt x="1383" y="759"/>
                </a:lnTo>
                <a:lnTo>
                  <a:pt x="1392" y="695"/>
                </a:lnTo>
                <a:lnTo>
                  <a:pt x="1383" y="612"/>
                </a:lnTo>
                <a:lnTo>
                  <a:pt x="1374" y="548"/>
                </a:lnTo>
                <a:lnTo>
                  <a:pt x="1355" y="475"/>
                </a:lnTo>
                <a:lnTo>
                  <a:pt x="1337" y="420"/>
                </a:lnTo>
                <a:lnTo>
                  <a:pt x="1300" y="356"/>
                </a:lnTo>
                <a:lnTo>
                  <a:pt x="1272" y="302"/>
                </a:lnTo>
                <a:lnTo>
                  <a:pt x="1226" y="247"/>
                </a:lnTo>
                <a:lnTo>
                  <a:pt x="1189" y="201"/>
                </a:lnTo>
                <a:lnTo>
                  <a:pt x="1134" y="155"/>
                </a:lnTo>
                <a:lnTo>
                  <a:pt x="1079" y="110"/>
                </a:lnTo>
                <a:lnTo>
                  <a:pt x="1023" y="73"/>
                </a:lnTo>
                <a:lnTo>
                  <a:pt x="968" y="55"/>
                </a:lnTo>
                <a:lnTo>
                  <a:pt x="894" y="27"/>
                </a:lnTo>
                <a:lnTo>
                  <a:pt x="830" y="18"/>
                </a:lnTo>
                <a:lnTo>
                  <a:pt x="756" y="0"/>
                </a:lnTo>
                <a:lnTo>
                  <a:pt x="691" y="0"/>
                </a:lnTo>
                <a:lnTo>
                  <a:pt x="618" y="0"/>
                </a:lnTo>
                <a:lnTo>
                  <a:pt x="544" y="18"/>
                </a:lnTo>
                <a:lnTo>
                  <a:pt x="470" y="27"/>
                </a:lnTo>
                <a:lnTo>
                  <a:pt x="415" y="55"/>
                </a:lnTo>
                <a:lnTo>
                  <a:pt x="360" y="73"/>
                </a:lnTo>
                <a:lnTo>
                  <a:pt x="295" y="110"/>
                </a:lnTo>
                <a:lnTo>
                  <a:pt x="240" y="155"/>
                </a:lnTo>
                <a:lnTo>
                  <a:pt x="203" y="201"/>
                </a:lnTo>
                <a:lnTo>
                  <a:pt x="148" y="247"/>
                </a:lnTo>
                <a:lnTo>
                  <a:pt x="111" y="302"/>
                </a:lnTo>
                <a:lnTo>
                  <a:pt x="74" y="356"/>
                </a:lnTo>
                <a:lnTo>
                  <a:pt x="55" y="420"/>
                </a:lnTo>
                <a:lnTo>
                  <a:pt x="28" y="475"/>
                </a:lnTo>
                <a:lnTo>
                  <a:pt x="9" y="548"/>
                </a:lnTo>
                <a:lnTo>
                  <a:pt x="0" y="612"/>
                </a:lnTo>
                <a:lnTo>
                  <a:pt x="0" y="695"/>
                </a:lnTo>
                <a:lnTo>
                  <a:pt x="0" y="759"/>
                </a:lnTo>
                <a:lnTo>
                  <a:pt x="9" y="832"/>
                </a:lnTo>
                <a:lnTo>
                  <a:pt x="28" y="896"/>
                </a:lnTo>
                <a:lnTo>
                  <a:pt x="55" y="960"/>
                </a:lnTo>
                <a:lnTo>
                  <a:pt x="74" y="1024"/>
                </a:lnTo>
                <a:lnTo>
                  <a:pt x="111" y="1079"/>
                </a:lnTo>
                <a:lnTo>
                  <a:pt x="148" y="1133"/>
                </a:lnTo>
                <a:lnTo>
                  <a:pt x="203" y="1179"/>
                </a:lnTo>
                <a:lnTo>
                  <a:pt x="240" y="1216"/>
                </a:lnTo>
                <a:lnTo>
                  <a:pt x="295" y="1261"/>
                </a:lnTo>
                <a:lnTo>
                  <a:pt x="360" y="1298"/>
                </a:lnTo>
                <a:lnTo>
                  <a:pt x="415" y="1325"/>
                </a:lnTo>
                <a:lnTo>
                  <a:pt x="470" y="1353"/>
                </a:lnTo>
                <a:lnTo>
                  <a:pt x="544" y="1371"/>
                </a:lnTo>
                <a:lnTo>
                  <a:pt x="618" y="1380"/>
                </a:lnTo>
                <a:lnTo>
                  <a:pt x="691" y="1389"/>
                </a:lnTo>
                <a:close/>
              </a:path>
            </a:pathLst>
          </a:custGeom>
          <a:solidFill>
            <a:srgbClr val="FAFA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6" name="Freeform 87">
            <a:extLst>
              <a:ext uri="{FF2B5EF4-FFF2-40B4-BE49-F238E27FC236}">
                <a16:creationId xmlns="" xmlns:a16="http://schemas.microsoft.com/office/drawing/2014/main" id="{00000000-0008-0000-0100-00001A000000}"/>
              </a:ext>
            </a:extLst>
          </xdr:cNvPr>
          <xdr:cNvSpPr>
            <a:spLocks/>
          </xdr:cNvSpPr>
        </xdr:nvSpPr>
        <xdr:spPr bwMode="auto">
          <a:xfrm>
            <a:off x="535472" y="252507"/>
            <a:ext cx="228298" cy="7911"/>
          </a:xfrm>
          <a:custGeom>
            <a:avLst/>
            <a:gdLst>
              <a:gd name="T0" fmla="*/ 0 w 2849"/>
              <a:gd name="T1" fmla="*/ 100 h 100"/>
              <a:gd name="T2" fmla="*/ 2849 w 2849"/>
              <a:gd name="T3" fmla="*/ 100 h 100"/>
              <a:gd name="T4" fmla="*/ 2849 w 2849"/>
              <a:gd name="T5" fmla="*/ 0 h 100"/>
              <a:gd name="T6" fmla="*/ 0 w 2849"/>
              <a:gd name="T7" fmla="*/ 0 h 100"/>
              <a:gd name="T8" fmla="*/ 0 w 2849"/>
              <a:gd name="T9" fmla="*/ 100 h 100"/>
              <a:gd name="T10" fmla="*/ 0 w 2849"/>
              <a:gd name="T11" fmla="*/ 100 h 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49" h="100">
                <a:moveTo>
                  <a:pt x="0" y="100"/>
                </a:moveTo>
                <a:lnTo>
                  <a:pt x="2849" y="100"/>
                </a:lnTo>
                <a:lnTo>
                  <a:pt x="2849" y="0"/>
                </a:lnTo>
                <a:lnTo>
                  <a:pt x="0" y="0"/>
                </a:lnTo>
                <a:lnTo>
                  <a:pt x="0" y="10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7" name="Freeform 88">
            <a:extLst>
              <a:ext uri="{FF2B5EF4-FFF2-40B4-BE49-F238E27FC236}">
                <a16:creationId xmlns="" xmlns:a16="http://schemas.microsoft.com/office/drawing/2014/main" id="{00000000-0008-0000-0100-00001B000000}"/>
              </a:ext>
            </a:extLst>
          </xdr:cNvPr>
          <xdr:cNvSpPr>
            <a:spLocks/>
          </xdr:cNvSpPr>
        </xdr:nvSpPr>
        <xdr:spPr bwMode="auto">
          <a:xfrm>
            <a:off x="244894" y="167029"/>
            <a:ext cx="199389" cy="265653"/>
          </a:xfrm>
          <a:custGeom>
            <a:avLst/>
            <a:gdLst>
              <a:gd name="T0" fmla="*/ 2046 w 2488"/>
              <a:gd name="T1" fmla="*/ 2842 h 3318"/>
              <a:gd name="T2" fmla="*/ 2138 w 2488"/>
              <a:gd name="T3" fmla="*/ 2733 h 3318"/>
              <a:gd name="T4" fmla="*/ 2193 w 2488"/>
              <a:gd name="T5" fmla="*/ 2678 h 3318"/>
              <a:gd name="T6" fmla="*/ 2488 w 2488"/>
              <a:gd name="T7" fmla="*/ 2312 h 3318"/>
              <a:gd name="T8" fmla="*/ 1576 w 2488"/>
              <a:gd name="T9" fmla="*/ 1873 h 3318"/>
              <a:gd name="T10" fmla="*/ 1152 w 2488"/>
              <a:gd name="T11" fmla="*/ 2047 h 3318"/>
              <a:gd name="T12" fmla="*/ 940 w 2488"/>
              <a:gd name="T13" fmla="*/ 1718 h 3318"/>
              <a:gd name="T14" fmla="*/ 617 w 2488"/>
              <a:gd name="T15" fmla="*/ 1718 h 3318"/>
              <a:gd name="T16" fmla="*/ 1336 w 2488"/>
              <a:gd name="T17" fmla="*/ 1764 h 3318"/>
              <a:gd name="T18" fmla="*/ 1419 w 2488"/>
              <a:gd name="T19" fmla="*/ 1425 h 3318"/>
              <a:gd name="T20" fmla="*/ 1447 w 2488"/>
              <a:gd name="T21" fmla="*/ 968 h 3318"/>
              <a:gd name="T22" fmla="*/ 1742 w 2488"/>
              <a:gd name="T23" fmla="*/ 685 h 3318"/>
              <a:gd name="T24" fmla="*/ 1779 w 2488"/>
              <a:gd name="T25" fmla="*/ 292 h 3318"/>
              <a:gd name="T26" fmla="*/ 1309 w 2488"/>
              <a:gd name="T27" fmla="*/ 466 h 3318"/>
              <a:gd name="T28" fmla="*/ 1170 w 2488"/>
              <a:gd name="T29" fmla="*/ 685 h 3318"/>
              <a:gd name="T30" fmla="*/ 1133 w 2488"/>
              <a:gd name="T31" fmla="*/ 338 h 3318"/>
              <a:gd name="T32" fmla="*/ 931 w 2488"/>
              <a:gd name="T33" fmla="*/ 173 h 3318"/>
              <a:gd name="T34" fmla="*/ 1336 w 2488"/>
              <a:gd name="T35" fmla="*/ 173 h 3318"/>
              <a:gd name="T36" fmla="*/ 1115 w 2488"/>
              <a:gd name="T37" fmla="*/ 63 h 3318"/>
              <a:gd name="T38" fmla="*/ 700 w 2488"/>
              <a:gd name="T39" fmla="*/ 109 h 3318"/>
              <a:gd name="T40" fmla="*/ 350 w 2488"/>
              <a:gd name="T41" fmla="*/ 210 h 3318"/>
              <a:gd name="T42" fmla="*/ 230 w 2488"/>
              <a:gd name="T43" fmla="*/ 338 h 3318"/>
              <a:gd name="T44" fmla="*/ 110 w 2488"/>
              <a:gd name="T45" fmla="*/ 511 h 3318"/>
              <a:gd name="T46" fmla="*/ 64 w 2488"/>
              <a:gd name="T47" fmla="*/ 612 h 3318"/>
              <a:gd name="T48" fmla="*/ 46 w 2488"/>
              <a:gd name="T49" fmla="*/ 722 h 3318"/>
              <a:gd name="T50" fmla="*/ 92 w 2488"/>
              <a:gd name="T51" fmla="*/ 886 h 3318"/>
              <a:gd name="T52" fmla="*/ 119 w 2488"/>
              <a:gd name="T53" fmla="*/ 987 h 3318"/>
              <a:gd name="T54" fmla="*/ 18 w 2488"/>
              <a:gd name="T55" fmla="*/ 1206 h 3318"/>
              <a:gd name="T56" fmla="*/ 27 w 2488"/>
              <a:gd name="T57" fmla="*/ 1307 h 3318"/>
              <a:gd name="T58" fmla="*/ 110 w 2488"/>
              <a:gd name="T59" fmla="*/ 1416 h 3318"/>
              <a:gd name="T60" fmla="*/ 175 w 2488"/>
              <a:gd name="T61" fmla="*/ 1526 h 3318"/>
              <a:gd name="T62" fmla="*/ 239 w 2488"/>
              <a:gd name="T63" fmla="*/ 1636 h 3318"/>
              <a:gd name="T64" fmla="*/ 322 w 2488"/>
              <a:gd name="T65" fmla="*/ 1672 h 3318"/>
              <a:gd name="T66" fmla="*/ 442 w 2488"/>
              <a:gd name="T67" fmla="*/ 1709 h 3318"/>
              <a:gd name="T68" fmla="*/ 1087 w 2488"/>
              <a:gd name="T69" fmla="*/ 2047 h 3318"/>
              <a:gd name="T70" fmla="*/ 1179 w 2488"/>
              <a:gd name="T71" fmla="*/ 2221 h 3318"/>
              <a:gd name="T72" fmla="*/ 1281 w 2488"/>
              <a:gd name="T73" fmla="*/ 2449 h 3318"/>
              <a:gd name="T74" fmla="*/ 1364 w 2488"/>
              <a:gd name="T75" fmla="*/ 2513 h 3318"/>
              <a:gd name="T76" fmla="*/ 1465 w 2488"/>
              <a:gd name="T77" fmla="*/ 2531 h 3318"/>
              <a:gd name="T78" fmla="*/ 1567 w 2488"/>
              <a:gd name="T79" fmla="*/ 2605 h 3318"/>
              <a:gd name="T80" fmla="*/ 1484 w 2488"/>
              <a:gd name="T81" fmla="*/ 2769 h 3318"/>
              <a:gd name="T82" fmla="*/ 1484 w 2488"/>
              <a:gd name="T83" fmla="*/ 2861 h 3318"/>
              <a:gd name="T84" fmla="*/ 1493 w 2488"/>
              <a:gd name="T85" fmla="*/ 2961 h 3318"/>
              <a:gd name="T86" fmla="*/ 1521 w 2488"/>
              <a:gd name="T87" fmla="*/ 3043 h 3318"/>
              <a:gd name="T88" fmla="*/ 1521 w 2488"/>
              <a:gd name="T89" fmla="*/ 3180 h 3318"/>
              <a:gd name="T90" fmla="*/ 1521 w 2488"/>
              <a:gd name="T91" fmla="*/ 3281 h 3318"/>
              <a:gd name="T92" fmla="*/ 1557 w 2488"/>
              <a:gd name="T93" fmla="*/ 3308 h 3318"/>
              <a:gd name="T94" fmla="*/ 1668 w 2488"/>
              <a:gd name="T95" fmla="*/ 3263 h 3318"/>
              <a:gd name="T96" fmla="*/ 1760 w 2488"/>
              <a:gd name="T97" fmla="*/ 3180 h 3318"/>
              <a:gd name="T98" fmla="*/ 1871 w 2488"/>
              <a:gd name="T99" fmla="*/ 3089 h 3318"/>
              <a:gd name="T100" fmla="*/ 1981 w 2488"/>
              <a:gd name="T101" fmla="*/ 2952 h 33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2488" h="3318">
                <a:moveTo>
                  <a:pt x="2009" y="2897"/>
                </a:moveTo>
                <a:lnTo>
                  <a:pt x="2018" y="2870"/>
                </a:lnTo>
                <a:lnTo>
                  <a:pt x="2046" y="2842"/>
                </a:lnTo>
                <a:lnTo>
                  <a:pt x="2074" y="2806"/>
                </a:lnTo>
                <a:lnTo>
                  <a:pt x="2110" y="2769"/>
                </a:lnTo>
                <a:lnTo>
                  <a:pt x="2138" y="2733"/>
                </a:lnTo>
                <a:lnTo>
                  <a:pt x="2157" y="2705"/>
                </a:lnTo>
                <a:lnTo>
                  <a:pt x="2175" y="2678"/>
                </a:lnTo>
                <a:lnTo>
                  <a:pt x="2193" y="2678"/>
                </a:lnTo>
                <a:lnTo>
                  <a:pt x="2258" y="2504"/>
                </a:lnTo>
                <a:lnTo>
                  <a:pt x="2424" y="2404"/>
                </a:lnTo>
                <a:lnTo>
                  <a:pt x="2488" y="2312"/>
                </a:lnTo>
                <a:lnTo>
                  <a:pt x="2313" y="2230"/>
                </a:lnTo>
                <a:lnTo>
                  <a:pt x="2000" y="1956"/>
                </a:lnTo>
                <a:lnTo>
                  <a:pt x="1576" y="1873"/>
                </a:lnTo>
                <a:lnTo>
                  <a:pt x="1336" y="1992"/>
                </a:lnTo>
                <a:lnTo>
                  <a:pt x="1281" y="2111"/>
                </a:lnTo>
                <a:lnTo>
                  <a:pt x="1152" y="2047"/>
                </a:lnTo>
                <a:lnTo>
                  <a:pt x="1032" y="1974"/>
                </a:lnTo>
                <a:lnTo>
                  <a:pt x="1004" y="1764"/>
                </a:lnTo>
                <a:lnTo>
                  <a:pt x="940" y="1718"/>
                </a:lnTo>
                <a:lnTo>
                  <a:pt x="875" y="1773"/>
                </a:lnTo>
                <a:lnTo>
                  <a:pt x="746" y="1819"/>
                </a:lnTo>
                <a:lnTo>
                  <a:pt x="617" y="1718"/>
                </a:lnTo>
                <a:lnTo>
                  <a:pt x="765" y="1489"/>
                </a:lnTo>
                <a:lnTo>
                  <a:pt x="1179" y="1599"/>
                </a:lnTo>
                <a:lnTo>
                  <a:pt x="1336" y="1764"/>
                </a:lnTo>
                <a:lnTo>
                  <a:pt x="1392" y="1745"/>
                </a:lnTo>
                <a:lnTo>
                  <a:pt x="1272" y="1553"/>
                </a:lnTo>
                <a:lnTo>
                  <a:pt x="1419" y="1425"/>
                </a:lnTo>
                <a:lnTo>
                  <a:pt x="1392" y="1224"/>
                </a:lnTo>
                <a:lnTo>
                  <a:pt x="1309" y="1060"/>
                </a:lnTo>
                <a:lnTo>
                  <a:pt x="1447" y="968"/>
                </a:lnTo>
                <a:lnTo>
                  <a:pt x="1631" y="895"/>
                </a:lnTo>
                <a:lnTo>
                  <a:pt x="1585" y="776"/>
                </a:lnTo>
                <a:lnTo>
                  <a:pt x="1742" y="685"/>
                </a:lnTo>
                <a:lnTo>
                  <a:pt x="1945" y="630"/>
                </a:lnTo>
                <a:lnTo>
                  <a:pt x="1917" y="521"/>
                </a:lnTo>
                <a:lnTo>
                  <a:pt x="1779" y="292"/>
                </a:lnTo>
                <a:lnTo>
                  <a:pt x="1576" y="356"/>
                </a:lnTo>
                <a:lnTo>
                  <a:pt x="1373" y="402"/>
                </a:lnTo>
                <a:lnTo>
                  <a:pt x="1309" y="466"/>
                </a:lnTo>
                <a:lnTo>
                  <a:pt x="1392" y="722"/>
                </a:lnTo>
                <a:lnTo>
                  <a:pt x="1299" y="722"/>
                </a:lnTo>
                <a:lnTo>
                  <a:pt x="1170" y="685"/>
                </a:lnTo>
                <a:lnTo>
                  <a:pt x="1004" y="621"/>
                </a:lnTo>
                <a:lnTo>
                  <a:pt x="977" y="420"/>
                </a:lnTo>
                <a:lnTo>
                  <a:pt x="1133" y="338"/>
                </a:lnTo>
                <a:lnTo>
                  <a:pt x="1060" y="292"/>
                </a:lnTo>
                <a:lnTo>
                  <a:pt x="1041" y="210"/>
                </a:lnTo>
                <a:lnTo>
                  <a:pt x="931" y="173"/>
                </a:lnTo>
                <a:lnTo>
                  <a:pt x="958" y="100"/>
                </a:lnTo>
                <a:lnTo>
                  <a:pt x="1133" y="137"/>
                </a:lnTo>
                <a:lnTo>
                  <a:pt x="1336" y="173"/>
                </a:lnTo>
                <a:lnTo>
                  <a:pt x="1419" y="109"/>
                </a:lnTo>
                <a:lnTo>
                  <a:pt x="1244" y="36"/>
                </a:lnTo>
                <a:lnTo>
                  <a:pt x="1115" y="63"/>
                </a:lnTo>
                <a:lnTo>
                  <a:pt x="1041" y="0"/>
                </a:lnTo>
                <a:lnTo>
                  <a:pt x="811" y="27"/>
                </a:lnTo>
                <a:lnTo>
                  <a:pt x="700" y="109"/>
                </a:lnTo>
                <a:lnTo>
                  <a:pt x="516" y="118"/>
                </a:lnTo>
                <a:lnTo>
                  <a:pt x="405" y="201"/>
                </a:lnTo>
                <a:lnTo>
                  <a:pt x="350" y="210"/>
                </a:lnTo>
                <a:lnTo>
                  <a:pt x="304" y="246"/>
                </a:lnTo>
                <a:lnTo>
                  <a:pt x="267" y="292"/>
                </a:lnTo>
                <a:lnTo>
                  <a:pt x="230" y="338"/>
                </a:lnTo>
                <a:lnTo>
                  <a:pt x="193" y="393"/>
                </a:lnTo>
                <a:lnTo>
                  <a:pt x="156" y="447"/>
                </a:lnTo>
                <a:lnTo>
                  <a:pt x="110" y="511"/>
                </a:lnTo>
                <a:lnTo>
                  <a:pt x="92" y="539"/>
                </a:lnTo>
                <a:lnTo>
                  <a:pt x="73" y="575"/>
                </a:lnTo>
                <a:lnTo>
                  <a:pt x="64" y="612"/>
                </a:lnTo>
                <a:lnTo>
                  <a:pt x="46" y="658"/>
                </a:lnTo>
                <a:lnTo>
                  <a:pt x="46" y="676"/>
                </a:lnTo>
                <a:lnTo>
                  <a:pt x="46" y="722"/>
                </a:lnTo>
                <a:lnTo>
                  <a:pt x="55" y="767"/>
                </a:lnTo>
                <a:lnTo>
                  <a:pt x="73" y="831"/>
                </a:lnTo>
                <a:lnTo>
                  <a:pt x="92" y="886"/>
                </a:lnTo>
                <a:lnTo>
                  <a:pt x="101" y="941"/>
                </a:lnTo>
                <a:lnTo>
                  <a:pt x="110" y="968"/>
                </a:lnTo>
                <a:lnTo>
                  <a:pt x="119" y="987"/>
                </a:lnTo>
                <a:lnTo>
                  <a:pt x="46" y="1142"/>
                </a:lnTo>
                <a:lnTo>
                  <a:pt x="27" y="1151"/>
                </a:lnTo>
                <a:lnTo>
                  <a:pt x="18" y="1206"/>
                </a:lnTo>
                <a:lnTo>
                  <a:pt x="0" y="1243"/>
                </a:lnTo>
                <a:lnTo>
                  <a:pt x="18" y="1288"/>
                </a:lnTo>
                <a:lnTo>
                  <a:pt x="27" y="1307"/>
                </a:lnTo>
                <a:lnTo>
                  <a:pt x="64" y="1352"/>
                </a:lnTo>
                <a:lnTo>
                  <a:pt x="92" y="1380"/>
                </a:lnTo>
                <a:lnTo>
                  <a:pt x="110" y="1416"/>
                </a:lnTo>
                <a:lnTo>
                  <a:pt x="129" y="1462"/>
                </a:lnTo>
                <a:lnTo>
                  <a:pt x="156" y="1499"/>
                </a:lnTo>
                <a:lnTo>
                  <a:pt x="175" y="1526"/>
                </a:lnTo>
                <a:lnTo>
                  <a:pt x="202" y="1572"/>
                </a:lnTo>
                <a:lnTo>
                  <a:pt x="221" y="1599"/>
                </a:lnTo>
                <a:lnTo>
                  <a:pt x="239" y="1636"/>
                </a:lnTo>
                <a:lnTo>
                  <a:pt x="267" y="1681"/>
                </a:lnTo>
                <a:lnTo>
                  <a:pt x="285" y="1700"/>
                </a:lnTo>
                <a:lnTo>
                  <a:pt x="322" y="1672"/>
                </a:lnTo>
                <a:lnTo>
                  <a:pt x="175" y="1471"/>
                </a:lnTo>
                <a:lnTo>
                  <a:pt x="285" y="1517"/>
                </a:lnTo>
                <a:lnTo>
                  <a:pt x="442" y="1709"/>
                </a:lnTo>
                <a:lnTo>
                  <a:pt x="525" y="1855"/>
                </a:lnTo>
                <a:lnTo>
                  <a:pt x="811" y="1937"/>
                </a:lnTo>
                <a:lnTo>
                  <a:pt x="1087" y="2047"/>
                </a:lnTo>
                <a:lnTo>
                  <a:pt x="1143" y="2102"/>
                </a:lnTo>
                <a:lnTo>
                  <a:pt x="1244" y="2184"/>
                </a:lnTo>
                <a:lnTo>
                  <a:pt x="1179" y="2221"/>
                </a:lnTo>
                <a:lnTo>
                  <a:pt x="1143" y="2321"/>
                </a:lnTo>
                <a:lnTo>
                  <a:pt x="1290" y="2440"/>
                </a:lnTo>
                <a:lnTo>
                  <a:pt x="1281" y="2449"/>
                </a:lnTo>
                <a:lnTo>
                  <a:pt x="1299" y="2486"/>
                </a:lnTo>
                <a:lnTo>
                  <a:pt x="1318" y="2495"/>
                </a:lnTo>
                <a:lnTo>
                  <a:pt x="1364" y="2513"/>
                </a:lnTo>
                <a:lnTo>
                  <a:pt x="1392" y="2522"/>
                </a:lnTo>
                <a:lnTo>
                  <a:pt x="1428" y="2531"/>
                </a:lnTo>
                <a:lnTo>
                  <a:pt x="1465" y="2531"/>
                </a:lnTo>
                <a:lnTo>
                  <a:pt x="1521" y="2550"/>
                </a:lnTo>
                <a:lnTo>
                  <a:pt x="1548" y="2559"/>
                </a:lnTo>
                <a:lnTo>
                  <a:pt x="1567" y="2605"/>
                </a:lnTo>
                <a:lnTo>
                  <a:pt x="1548" y="2659"/>
                </a:lnTo>
                <a:lnTo>
                  <a:pt x="1521" y="2723"/>
                </a:lnTo>
                <a:lnTo>
                  <a:pt x="1484" y="2769"/>
                </a:lnTo>
                <a:lnTo>
                  <a:pt x="1465" y="2833"/>
                </a:lnTo>
                <a:lnTo>
                  <a:pt x="1456" y="2851"/>
                </a:lnTo>
                <a:lnTo>
                  <a:pt x="1484" y="2861"/>
                </a:lnTo>
                <a:lnTo>
                  <a:pt x="1484" y="2897"/>
                </a:lnTo>
                <a:lnTo>
                  <a:pt x="1493" y="2934"/>
                </a:lnTo>
                <a:lnTo>
                  <a:pt x="1493" y="2961"/>
                </a:lnTo>
                <a:lnTo>
                  <a:pt x="1502" y="2989"/>
                </a:lnTo>
                <a:lnTo>
                  <a:pt x="1511" y="3007"/>
                </a:lnTo>
                <a:lnTo>
                  <a:pt x="1521" y="3043"/>
                </a:lnTo>
                <a:lnTo>
                  <a:pt x="1530" y="3080"/>
                </a:lnTo>
                <a:lnTo>
                  <a:pt x="1530" y="3126"/>
                </a:lnTo>
                <a:lnTo>
                  <a:pt x="1521" y="3180"/>
                </a:lnTo>
                <a:lnTo>
                  <a:pt x="1521" y="3217"/>
                </a:lnTo>
                <a:lnTo>
                  <a:pt x="1511" y="3254"/>
                </a:lnTo>
                <a:lnTo>
                  <a:pt x="1521" y="3281"/>
                </a:lnTo>
                <a:lnTo>
                  <a:pt x="1521" y="3290"/>
                </a:lnTo>
                <a:lnTo>
                  <a:pt x="1539" y="3308"/>
                </a:lnTo>
                <a:lnTo>
                  <a:pt x="1557" y="3308"/>
                </a:lnTo>
                <a:lnTo>
                  <a:pt x="1594" y="3318"/>
                </a:lnTo>
                <a:lnTo>
                  <a:pt x="1613" y="3299"/>
                </a:lnTo>
                <a:lnTo>
                  <a:pt x="1668" y="3263"/>
                </a:lnTo>
                <a:lnTo>
                  <a:pt x="1696" y="3244"/>
                </a:lnTo>
                <a:lnTo>
                  <a:pt x="1723" y="3217"/>
                </a:lnTo>
                <a:lnTo>
                  <a:pt x="1760" y="3180"/>
                </a:lnTo>
                <a:lnTo>
                  <a:pt x="1806" y="3153"/>
                </a:lnTo>
                <a:lnTo>
                  <a:pt x="1834" y="3116"/>
                </a:lnTo>
                <a:lnTo>
                  <a:pt x="1871" y="3089"/>
                </a:lnTo>
                <a:lnTo>
                  <a:pt x="1898" y="3043"/>
                </a:lnTo>
                <a:lnTo>
                  <a:pt x="1926" y="3016"/>
                </a:lnTo>
                <a:lnTo>
                  <a:pt x="1981" y="2952"/>
                </a:lnTo>
                <a:lnTo>
                  <a:pt x="2009" y="2897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8" name="Freeform 89">
            <a:extLst>
              <a:ext uri="{FF2B5EF4-FFF2-40B4-BE49-F238E27FC236}">
                <a16:creationId xmlns="" xmlns:a16="http://schemas.microsoft.com/office/drawing/2014/main" id="{00000000-0008-0000-0100-00001C000000}"/>
              </a:ext>
            </a:extLst>
          </xdr:cNvPr>
          <xdr:cNvSpPr>
            <a:spLocks/>
          </xdr:cNvSpPr>
        </xdr:nvSpPr>
        <xdr:spPr bwMode="auto">
          <a:xfrm>
            <a:off x="472716" y="191001"/>
            <a:ext cx="65729" cy="133064"/>
          </a:xfrm>
          <a:custGeom>
            <a:avLst/>
            <a:gdLst>
              <a:gd name="T0" fmla="*/ 239 w 820"/>
              <a:gd name="T1" fmla="*/ 210 h 1663"/>
              <a:gd name="T2" fmla="*/ 166 w 820"/>
              <a:gd name="T3" fmla="*/ 375 h 1663"/>
              <a:gd name="T4" fmla="*/ 64 w 820"/>
              <a:gd name="T5" fmla="*/ 439 h 1663"/>
              <a:gd name="T6" fmla="*/ 0 w 820"/>
              <a:gd name="T7" fmla="*/ 713 h 1663"/>
              <a:gd name="T8" fmla="*/ 83 w 820"/>
              <a:gd name="T9" fmla="*/ 813 h 1663"/>
              <a:gd name="T10" fmla="*/ 184 w 820"/>
              <a:gd name="T11" fmla="*/ 859 h 1663"/>
              <a:gd name="T12" fmla="*/ 378 w 820"/>
              <a:gd name="T13" fmla="*/ 969 h 1663"/>
              <a:gd name="T14" fmla="*/ 534 w 820"/>
              <a:gd name="T15" fmla="*/ 923 h 1663"/>
              <a:gd name="T16" fmla="*/ 608 w 820"/>
              <a:gd name="T17" fmla="*/ 950 h 1663"/>
              <a:gd name="T18" fmla="*/ 645 w 820"/>
              <a:gd name="T19" fmla="*/ 1042 h 1663"/>
              <a:gd name="T20" fmla="*/ 691 w 820"/>
              <a:gd name="T21" fmla="*/ 1142 h 1663"/>
              <a:gd name="T22" fmla="*/ 710 w 820"/>
              <a:gd name="T23" fmla="*/ 1261 h 1663"/>
              <a:gd name="T24" fmla="*/ 728 w 820"/>
              <a:gd name="T25" fmla="*/ 1663 h 1663"/>
              <a:gd name="T26" fmla="*/ 756 w 820"/>
              <a:gd name="T27" fmla="*/ 1572 h 1663"/>
              <a:gd name="T28" fmla="*/ 774 w 820"/>
              <a:gd name="T29" fmla="*/ 1481 h 1663"/>
              <a:gd name="T30" fmla="*/ 793 w 820"/>
              <a:gd name="T31" fmla="*/ 1389 h 1663"/>
              <a:gd name="T32" fmla="*/ 811 w 820"/>
              <a:gd name="T33" fmla="*/ 1289 h 1663"/>
              <a:gd name="T34" fmla="*/ 820 w 820"/>
              <a:gd name="T35" fmla="*/ 1179 h 1663"/>
              <a:gd name="T36" fmla="*/ 820 w 820"/>
              <a:gd name="T37" fmla="*/ 1078 h 1663"/>
              <a:gd name="T38" fmla="*/ 820 w 820"/>
              <a:gd name="T39" fmla="*/ 969 h 1663"/>
              <a:gd name="T40" fmla="*/ 820 w 820"/>
              <a:gd name="T41" fmla="*/ 859 h 1663"/>
              <a:gd name="T42" fmla="*/ 802 w 820"/>
              <a:gd name="T43" fmla="*/ 749 h 1663"/>
              <a:gd name="T44" fmla="*/ 774 w 820"/>
              <a:gd name="T45" fmla="*/ 640 h 1663"/>
              <a:gd name="T46" fmla="*/ 756 w 820"/>
              <a:gd name="T47" fmla="*/ 521 h 1663"/>
              <a:gd name="T48" fmla="*/ 719 w 820"/>
              <a:gd name="T49" fmla="*/ 420 h 1663"/>
              <a:gd name="T50" fmla="*/ 673 w 820"/>
              <a:gd name="T51" fmla="*/ 311 h 1663"/>
              <a:gd name="T52" fmla="*/ 627 w 820"/>
              <a:gd name="T53" fmla="*/ 219 h 1663"/>
              <a:gd name="T54" fmla="*/ 562 w 820"/>
              <a:gd name="T55" fmla="*/ 119 h 1663"/>
              <a:gd name="T56" fmla="*/ 507 w 820"/>
              <a:gd name="T57" fmla="*/ 36 h 1663"/>
              <a:gd name="T58" fmla="*/ 286 w 820"/>
              <a:gd name="T59" fmla="*/ 0 h 1663"/>
              <a:gd name="T60" fmla="*/ 212 w 820"/>
              <a:gd name="T61" fmla="*/ 128 h 1663"/>
              <a:gd name="T62" fmla="*/ 239 w 820"/>
              <a:gd name="T63" fmla="*/ 210 h 1663"/>
              <a:gd name="T64" fmla="*/ 239 w 820"/>
              <a:gd name="T65" fmla="*/ 210 h 16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820" h="1663">
                <a:moveTo>
                  <a:pt x="239" y="210"/>
                </a:moveTo>
                <a:lnTo>
                  <a:pt x="166" y="375"/>
                </a:lnTo>
                <a:lnTo>
                  <a:pt x="64" y="439"/>
                </a:lnTo>
                <a:lnTo>
                  <a:pt x="0" y="713"/>
                </a:lnTo>
                <a:lnTo>
                  <a:pt x="83" y="813"/>
                </a:lnTo>
                <a:lnTo>
                  <a:pt x="184" y="859"/>
                </a:lnTo>
                <a:lnTo>
                  <a:pt x="378" y="969"/>
                </a:lnTo>
                <a:lnTo>
                  <a:pt x="534" y="923"/>
                </a:lnTo>
                <a:lnTo>
                  <a:pt x="608" y="950"/>
                </a:lnTo>
                <a:lnTo>
                  <a:pt x="645" y="1042"/>
                </a:lnTo>
                <a:lnTo>
                  <a:pt x="691" y="1142"/>
                </a:lnTo>
                <a:lnTo>
                  <a:pt x="710" y="1261"/>
                </a:lnTo>
                <a:lnTo>
                  <a:pt x="728" y="1663"/>
                </a:lnTo>
                <a:lnTo>
                  <a:pt x="756" y="1572"/>
                </a:lnTo>
                <a:lnTo>
                  <a:pt x="774" y="1481"/>
                </a:lnTo>
                <a:lnTo>
                  <a:pt x="793" y="1389"/>
                </a:lnTo>
                <a:lnTo>
                  <a:pt x="811" y="1289"/>
                </a:lnTo>
                <a:lnTo>
                  <a:pt x="820" y="1179"/>
                </a:lnTo>
                <a:lnTo>
                  <a:pt x="820" y="1078"/>
                </a:lnTo>
                <a:lnTo>
                  <a:pt x="820" y="969"/>
                </a:lnTo>
                <a:lnTo>
                  <a:pt x="820" y="859"/>
                </a:lnTo>
                <a:lnTo>
                  <a:pt x="802" y="749"/>
                </a:lnTo>
                <a:lnTo>
                  <a:pt x="774" y="640"/>
                </a:lnTo>
                <a:lnTo>
                  <a:pt x="756" y="521"/>
                </a:lnTo>
                <a:lnTo>
                  <a:pt x="719" y="420"/>
                </a:lnTo>
                <a:lnTo>
                  <a:pt x="673" y="311"/>
                </a:lnTo>
                <a:lnTo>
                  <a:pt x="627" y="219"/>
                </a:lnTo>
                <a:lnTo>
                  <a:pt x="562" y="119"/>
                </a:lnTo>
                <a:lnTo>
                  <a:pt x="507" y="36"/>
                </a:lnTo>
                <a:lnTo>
                  <a:pt x="286" y="0"/>
                </a:lnTo>
                <a:lnTo>
                  <a:pt x="212" y="128"/>
                </a:lnTo>
                <a:lnTo>
                  <a:pt x="239" y="21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9" name="Freeform 90">
            <a:extLst>
              <a:ext uri="{FF2B5EF4-FFF2-40B4-BE49-F238E27FC236}">
                <a16:creationId xmlns="" xmlns:a16="http://schemas.microsoft.com/office/drawing/2014/main" id="{00000000-0008-0000-0100-00001D000000}"/>
              </a:ext>
            </a:extLst>
          </xdr:cNvPr>
          <xdr:cNvSpPr>
            <a:spLocks/>
          </xdr:cNvSpPr>
        </xdr:nvSpPr>
        <xdr:spPr bwMode="auto">
          <a:xfrm>
            <a:off x="224848" y="267675"/>
            <a:ext cx="532497" cy="9577"/>
          </a:xfrm>
          <a:custGeom>
            <a:avLst/>
            <a:gdLst>
              <a:gd name="T0" fmla="*/ 0 w 6646"/>
              <a:gd name="T1" fmla="*/ 119 h 119"/>
              <a:gd name="T2" fmla="*/ 6646 w 6646"/>
              <a:gd name="T3" fmla="*/ 119 h 119"/>
              <a:gd name="T4" fmla="*/ 6646 w 6646"/>
              <a:gd name="T5" fmla="*/ 0 h 119"/>
              <a:gd name="T6" fmla="*/ 0 w 6646"/>
              <a:gd name="T7" fmla="*/ 0 h 119"/>
              <a:gd name="T8" fmla="*/ 0 w 6646"/>
              <a:gd name="T9" fmla="*/ 119 h 119"/>
              <a:gd name="T10" fmla="*/ 0 w 6646"/>
              <a:gd name="T11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6646" h="119">
                <a:moveTo>
                  <a:pt x="0" y="119"/>
                </a:moveTo>
                <a:lnTo>
                  <a:pt x="6646" y="119"/>
                </a:lnTo>
                <a:lnTo>
                  <a:pt x="6646" y="0"/>
                </a:lnTo>
                <a:lnTo>
                  <a:pt x="0" y="0"/>
                </a:lnTo>
                <a:lnTo>
                  <a:pt x="0" y="119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" name="Freeform 91">
            <a:extLst>
              <a:ext uri="{FF2B5EF4-FFF2-40B4-BE49-F238E27FC236}">
                <a16:creationId xmlns="" xmlns:a16="http://schemas.microsoft.com/office/drawing/2014/main" id="{00000000-0008-0000-0100-00001E000000}"/>
              </a:ext>
            </a:extLst>
          </xdr:cNvPr>
          <xdr:cNvSpPr>
            <a:spLocks/>
          </xdr:cNvSpPr>
        </xdr:nvSpPr>
        <xdr:spPr bwMode="auto">
          <a:xfrm>
            <a:off x="0" y="276538"/>
            <a:ext cx="292540" cy="123666"/>
          </a:xfrm>
          <a:custGeom>
            <a:avLst/>
            <a:gdLst>
              <a:gd name="T0" fmla="*/ 0 w 3651"/>
              <a:gd name="T1" fmla="*/ 1545 h 1545"/>
              <a:gd name="T2" fmla="*/ 673 w 3651"/>
              <a:gd name="T3" fmla="*/ 530 h 1545"/>
              <a:gd name="T4" fmla="*/ 2959 w 3651"/>
              <a:gd name="T5" fmla="*/ 530 h 1545"/>
              <a:gd name="T6" fmla="*/ 3485 w 3651"/>
              <a:gd name="T7" fmla="*/ 0 h 1545"/>
              <a:gd name="T8" fmla="*/ 3651 w 3651"/>
              <a:gd name="T9" fmla="*/ 0 h 1545"/>
              <a:gd name="T10" fmla="*/ 3005 w 3651"/>
              <a:gd name="T11" fmla="*/ 640 h 1545"/>
              <a:gd name="T12" fmla="*/ 775 w 3651"/>
              <a:gd name="T13" fmla="*/ 640 h 1545"/>
              <a:gd name="T14" fmla="*/ 166 w 3651"/>
              <a:gd name="T15" fmla="*/ 1545 h 1545"/>
              <a:gd name="T16" fmla="*/ 0 w 3651"/>
              <a:gd name="T17" fmla="*/ 1545 h 1545"/>
              <a:gd name="T18" fmla="*/ 0 w 3651"/>
              <a:gd name="T19" fmla="*/ 1545 h 15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651" h="1545">
                <a:moveTo>
                  <a:pt x="0" y="1545"/>
                </a:moveTo>
                <a:lnTo>
                  <a:pt x="673" y="530"/>
                </a:lnTo>
                <a:lnTo>
                  <a:pt x="2959" y="530"/>
                </a:lnTo>
                <a:lnTo>
                  <a:pt x="3485" y="0"/>
                </a:lnTo>
                <a:lnTo>
                  <a:pt x="3651" y="0"/>
                </a:lnTo>
                <a:lnTo>
                  <a:pt x="3005" y="640"/>
                </a:lnTo>
                <a:lnTo>
                  <a:pt x="775" y="640"/>
                </a:lnTo>
                <a:lnTo>
                  <a:pt x="166" y="1545"/>
                </a:lnTo>
                <a:lnTo>
                  <a:pt x="0" y="1545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1" name="Freeform 92">
            <a:extLst>
              <a:ext uri="{FF2B5EF4-FFF2-40B4-BE49-F238E27FC236}">
                <a16:creationId xmlns="" xmlns:a16="http://schemas.microsoft.com/office/drawing/2014/main" id="{00000000-0008-0000-0100-00001F000000}"/>
              </a:ext>
            </a:extLst>
          </xdr:cNvPr>
          <xdr:cNvSpPr>
            <a:spLocks/>
          </xdr:cNvSpPr>
        </xdr:nvSpPr>
        <xdr:spPr bwMode="auto">
          <a:xfrm>
            <a:off x="773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2" name="Freeform 93">
            <a:extLst>
              <a:ext uri="{FF2B5EF4-FFF2-40B4-BE49-F238E27FC236}">
                <a16:creationId xmlns="" xmlns:a16="http://schemas.microsoft.com/office/drawing/2014/main" id="{00000000-0008-0000-0100-000020000000}"/>
              </a:ext>
            </a:extLst>
          </xdr:cNvPr>
          <xdr:cNvSpPr>
            <a:spLocks/>
          </xdr:cNvSpPr>
        </xdr:nvSpPr>
        <xdr:spPr bwMode="auto">
          <a:xfrm>
            <a:off x="59127" y="13978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3" name="Freeform 94">
            <a:extLst>
              <a:ext uri="{FF2B5EF4-FFF2-40B4-BE49-F238E27FC236}">
                <a16:creationId xmlns="" xmlns:a16="http://schemas.microsoft.com/office/drawing/2014/main" id="{00000000-0008-0000-0100-000021000000}"/>
              </a:ext>
            </a:extLst>
          </xdr:cNvPr>
          <xdr:cNvSpPr>
            <a:spLocks/>
          </xdr:cNvSpPr>
        </xdr:nvSpPr>
        <xdr:spPr bwMode="auto">
          <a:xfrm>
            <a:off x="117480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4" name="Freeform 95">
            <a:extLst>
              <a:ext uri="{FF2B5EF4-FFF2-40B4-BE49-F238E27FC236}">
                <a16:creationId xmlns="" xmlns:a16="http://schemas.microsoft.com/office/drawing/2014/main" id="{00000000-0008-0000-0100-000022000000}"/>
              </a:ext>
            </a:extLst>
          </xdr:cNvPr>
          <xdr:cNvSpPr>
            <a:spLocks/>
          </xdr:cNvSpPr>
        </xdr:nvSpPr>
        <xdr:spPr bwMode="auto">
          <a:xfrm>
            <a:off x="175774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5" name="Freeform 96">
            <a:extLst>
              <a:ext uri="{FF2B5EF4-FFF2-40B4-BE49-F238E27FC236}">
                <a16:creationId xmlns="" xmlns:a16="http://schemas.microsoft.com/office/drawing/2014/main" id="{00000000-0008-0000-0100-000023000000}"/>
              </a:ext>
            </a:extLst>
          </xdr:cNvPr>
          <xdr:cNvSpPr>
            <a:spLocks/>
          </xdr:cNvSpPr>
        </xdr:nvSpPr>
        <xdr:spPr bwMode="auto">
          <a:xfrm>
            <a:off x="501566" y="372485"/>
            <a:ext cx="28790" cy="27719"/>
          </a:xfrm>
          <a:custGeom>
            <a:avLst/>
            <a:gdLst>
              <a:gd name="T0" fmla="*/ 0 w 360"/>
              <a:gd name="T1" fmla="*/ 347 h 347"/>
              <a:gd name="T2" fmla="*/ 360 w 360"/>
              <a:gd name="T3" fmla="*/ 347 h 347"/>
              <a:gd name="T4" fmla="*/ 360 w 360"/>
              <a:gd name="T5" fmla="*/ 0 h 347"/>
              <a:gd name="T6" fmla="*/ 0 w 360"/>
              <a:gd name="T7" fmla="*/ 0 h 347"/>
              <a:gd name="T8" fmla="*/ 0 w 360"/>
              <a:gd name="T9" fmla="*/ 347 h 347"/>
              <a:gd name="T10" fmla="*/ 0 w 36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60" h="347">
                <a:moveTo>
                  <a:pt x="0" y="347"/>
                </a:moveTo>
                <a:lnTo>
                  <a:pt x="360" y="347"/>
                </a:lnTo>
                <a:lnTo>
                  <a:pt x="36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6" name="Freeform 97">
            <a:extLst>
              <a:ext uri="{FF2B5EF4-FFF2-40B4-BE49-F238E27FC236}">
                <a16:creationId xmlns="" xmlns:a16="http://schemas.microsoft.com/office/drawing/2014/main" id="{00000000-0008-0000-0100-000024000000}"/>
              </a:ext>
            </a:extLst>
          </xdr:cNvPr>
          <xdr:cNvSpPr>
            <a:spLocks/>
          </xdr:cNvSpPr>
        </xdr:nvSpPr>
        <xdr:spPr bwMode="auto">
          <a:xfrm>
            <a:off x="560633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7" name="Freeform 98">
            <a:extLst>
              <a:ext uri="{FF2B5EF4-FFF2-40B4-BE49-F238E27FC236}">
                <a16:creationId xmlns="" xmlns:a16="http://schemas.microsoft.com/office/drawing/2014/main" id="{00000000-0008-0000-0100-000025000000}"/>
              </a:ext>
            </a:extLst>
          </xdr:cNvPr>
          <xdr:cNvSpPr>
            <a:spLocks/>
          </xdr:cNvSpPr>
        </xdr:nvSpPr>
        <xdr:spPr bwMode="auto">
          <a:xfrm>
            <a:off x="618987" y="372485"/>
            <a:ext cx="28076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8" name="Freeform 99">
            <a:extLst>
              <a:ext uri="{FF2B5EF4-FFF2-40B4-BE49-F238E27FC236}">
                <a16:creationId xmlns="" xmlns:a16="http://schemas.microsoft.com/office/drawing/2014/main" id="{00000000-0008-0000-0100-000026000000}"/>
              </a:ext>
            </a:extLst>
          </xdr:cNvPr>
          <xdr:cNvSpPr>
            <a:spLocks/>
          </xdr:cNvSpPr>
        </xdr:nvSpPr>
        <xdr:spPr bwMode="auto">
          <a:xfrm>
            <a:off x="677340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9" name="Freeform 100">
            <a:extLst>
              <a:ext uri="{FF2B5EF4-FFF2-40B4-BE49-F238E27FC236}">
                <a16:creationId xmlns="" xmlns:a16="http://schemas.microsoft.com/office/drawing/2014/main" id="{00000000-0008-0000-0100-000027000000}"/>
              </a:ext>
            </a:extLst>
          </xdr:cNvPr>
          <xdr:cNvSpPr>
            <a:spLocks/>
          </xdr:cNvSpPr>
        </xdr:nvSpPr>
        <xdr:spPr bwMode="auto">
          <a:xfrm>
            <a:off x="735634" y="372485"/>
            <a:ext cx="28136" cy="27719"/>
          </a:xfrm>
          <a:custGeom>
            <a:avLst/>
            <a:gdLst>
              <a:gd name="T0" fmla="*/ 0 w 351"/>
              <a:gd name="T1" fmla="*/ 347 h 347"/>
              <a:gd name="T2" fmla="*/ 351 w 351"/>
              <a:gd name="T3" fmla="*/ 347 h 347"/>
              <a:gd name="T4" fmla="*/ 351 w 351"/>
              <a:gd name="T5" fmla="*/ 0 h 347"/>
              <a:gd name="T6" fmla="*/ 0 w 351"/>
              <a:gd name="T7" fmla="*/ 0 h 347"/>
              <a:gd name="T8" fmla="*/ 0 w 351"/>
              <a:gd name="T9" fmla="*/ 347 h 347"/>
              <a:gd name="T10" fmla="*/ 0 w 351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47">
                <a:moveTo>
                  <a:pt x="0" y="347"/>
                </a:moveTo>
                <a:lnTo>
                  <a:pt x="351" y="347"/>
                </a:lnTo>
                <a:lnTo>
                  <a:pt x="351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0" name="Freeform 102">
            <a:extLst>
              <a:ext uri="{FF2B5EF4-FFF2-40B4-BE49-F238E27FC236}">
                <a16:creationId xmlns="" xmlns:a16="http://schemas.microsoft.com/office/drawing/2014/main" id="{00000000-0008-0000-0100-000028000000}"/>
              </a:ext>
            </a:extLst>
          </xdr:cNvPr>
          <xdr:cNvSpPr>
            <a:spLocks/>
          </xdr:cNvSpPr>
        </xdr:nvSpPr>
        <xdr:spPr bwMode="auto">
          <a:xfrm>
            <a:off x="735634" y="316095"/>
            <a:ext cx="28136" cy="28552"/>
          </a:xfrm>
          <a:custGeom>
            <a:avLst/>
            <a:gdLst>
              <a:gd name="T0" fmla="*/ 0 w 351"/>
              <a:gd name="T1" fmla="*/ 356 h 356"/>
              <a:gd name="T2" fmla="*/ 351 w 351"/>
              <a:gd name="T3" fmla="*/ 356 h 356"/>
              <a:gd name="T4" fmla="*/ 351 w 351"/>
              <a:gd name="T5" fmla="*/ 0 h 356"/>
              <a:gd name="T6" fmla="*/ 0 w 351"/>
              <a:gd name="T7" fmla="*/ 0 h 356"/>
              <a:gd name="T8" fmla="*/ 0 w 351"/>
              <a:gd name="T9" fmla="*/ 356 h 356"/>
              <a:gd name="T10" fmla="*/ 0 w 351"/>
              <a:gd name="T11" fmla="*/ 356 h 3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56">
                <a:moveTo>
                  <a:pt x="0" y="356"/>
                </a:moveTo>
                <a:lnTo>
                  <a:pt x="351" y="356"/>
                </a:lnTo>
                <a:lnTo>
                  <a:pt x="351" y="0"/>
                </a:lnTo>
                <a:lnTo>
                  <a:pt x="0" y="0"/>
                </a:lnTo>
                <a:lnTo>
                  <a:pt x="0" y="35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1" name="Freeform 103">
            <a:extLst>
              <a:ext uri="{FF2B5EF4-FFF2-40B4-BE49-F238E27FC236}">
                <a16:creationId xmlns="" xmlns:a16="http://schemas.microsoft.com/office/drawing/2014/main" id="{00000000-0008-0000-0100-000029000000}"/>
              </a:ext>
            </a:extLst>
          </xdr:cNvPr>
          <xdr:cNvSpPr>
            <a:spLocks/>
          </xdr:cNvSpPr>
        </xdr:nvSpPr>
        <xdr:spPr bwMode="auto">
          <a:xfrm>
            <a:off x="274755" y="262738"/>
            <a:ext cx="20760" cy="21236"/>
          </a:xfrm>
          <a:custGeom>
            <a:avLst/>
            <a:gdLst>
              <a:gd name="T0" fmla="*/ 129 w 259"/>
              <a:gd name="T1" fmla="*/ 265 h 265"/>
              <a:gd name="T2" fmla="*/ 176 w 259"/>
              <a:gd name="T3" fmla="*/ 246 h 265"/>
              <a:gd name="T4" fmla="*/ 222 w 259"/>
              <a:gd name="T5" fmla="*/ 219 h 265"/>
              <a:gd name="T6" fmla="*/ 249 w 259"/>
              <a:gd name="T7" fmla="*/ 173 h 265"/>
              <a:gd name="T8" fmla="*/ 259 w 259"/>
              <a:gd name="T9" fmla="*/ 128 h 265"/>
              <a:gd name="T10" fmla="*/ 249 w 259"/>
              <a:gd name="T11" fmla="*/ 73 h 265"/>
              <a:gd name="T12" fmla="*/ 222 w 259"/>
              <a:gd name="T13" fmla="*/ 27 h 265"/>
              <a:gd name="T14" fmla="*/ 176 w 259"/>
              <a:gd name="T15" fmla="*/ 0 h 265"/>
              <a:gd name="T16" fmla="*/ 129 w 259"/>
              <a:gd name="T17" fmla="*/ 0 h 265"/>
              <a:gd name="T18" fmla="*/ 65 w 259"/>
              <a:gd name="T19" fmla="*/ 0 h 265"/>
              <a:gd name="T20" fmla="*/ 28 w 259"/>
              <a:gd name="T21" fmla="*/ 27 h 265"/>
              <a:gd name="T22" fmla="*/ 0 w 259"/>
              <a:gd name="T23" fmla="*/ 73 h 265"/>
              <a:gd name="T24" fmla="*/ 0 w 259"/>
              <a:gd name="T25" fmla="*/ 128 h 265"/>
              <a:gd name="T26" fmla="*/ 0 w 259"/>
              <a:gd name="T27" fmla="*/ 173 h 265"/>
              <a:gd name="T28" fmla="*/ 28 w 259"/>
              <a:gd name="T29" fmla="*/ 219 h 265"/>
              <a:gd name="T30" fmla="*/ 65 w 259"/>
              <a:gd name="T31" fmla="*/ 246 h 265"/>
              <a:gd name="T32" fmla="*/ 129 w 259"/>
              <a:gd name="T33" fmla="*/ 265 h 265"/>
              <a:gd name="T34" fmla="*/ 129 w 259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59" h="265">
                <a:moveTo>
                  <a:pt x="129" y="265"/>
                </a:moveTo>
                <a:lnTo>
                  <a:pt x="176" y="246"/>
                </a:lnTo>
                <a:lnTo>
                  <a:pt x="222" y="219"/>
                </a:lnTo>
                <a:lnTo>
                  <a:pt x="249" y="173"/>
                </a:lnTo>
                <a:lnTo>
                  <a:pt x="259" y="128"/>
                </a:lnTo>
                <a:lnTo>
                  <a:pt x="249" y="73"/>
                </a:lnTo>
                <a:lnTo>
                  <a:pt x="222" y="27"/>
                </a:lnTo>
                <a:lnTo>
                  <a:pt x="176" y="0"/>
                </a:lnTo>
                <a:lnTo>
                  <a:pt x="129" y="0"/>
                </a:lnTo>
                <a:lnTo>
                  <a:pt x="65" y="0"/>
                </a:lnTo>
                <a:lnTo>
                  <a:pt x="28" y="27"/>
                </a:lnTo>
                <a:lnTo>
                  <a:pt x="0" y="73"/>
                </a:lnTo>
                <a:lnTo>
                  <a:pt x="0" y="128"/>
                </a:lnTo>
                <a:lnTo>
                  <a:pt x="0" y="173"/>
                </a:lnTo>
                <a:lnTo>
                  <a:pt x="28" y="219"/>
                </a:lnTo>
                <a:lnTo>
                  <a:pt x="65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2" name="Freeform 104">
            <a:extLst>
              <a:ext uri="{FF2B5EF4-FFF2-40B4-BE49-F238E27FC236}">
                <a16:creationId xmlns="" xmlns:a16="http://schemas.microsoft.com/office/drawing/2014/main" id="{00000000-0008-0000-0100-00002A000000}"/>
              </a:ext>
            </a:extLst>
          </xdr:cNvPr>
          <xdr:cNvSpPr>
            <a:spLocks/>
          </xdr:cNvSpPr>
        </xdr:nvSpPr>
        <xdr:spPr bwMode="auto">
          <a:xfrm>
            <a:off x="313955" y="262738"/>
            <a:ext cx="21355" cy="21236"/>
          </a:xfrm>
          <a:custGeom>
            <a:avLst/>
            <a:gdLst>
              <a:gd name="T0" fmla="*/ 129 w 267"/>
              <a:gd name="T1" fmla="*/ 265 h 265"/>
              <a:gd name="T2" fmla="*/ 184 w 267"/>
              <a:gd name="T3" fmla="*/ 246 h 265"/>
              <a:gd name="T4" fmla="*/ 230 w 267"/>
              <a:gd name="T5" fmla="*/ 219 h 265"/>
              <a:gd name="T6" fmla="*/ 249 w 267"/>
              <a:gd name="T7" fmla="*/ 173 h 265"/>
              <a:gd name="T8" fmla="*/ 267 w 267"/>
              <a:gd name="T9" fmla="*/ 137 h 265"/>
              <a:gd name="T10" fmla="*/ 249 w 267"/>
              <a:gd name="T11" fmla="*/ 73 h 265"/>
              <a:gd name="T12" fmla="*/ 230 w 267"/>
              <a:gd name="T13" fmla="*/ 36 h 265"/>
              <a:gd name="T14" fmla="*/ 184 w 267"/>
              <a:gd name="T15" fmla="*/ 0 h 265"/>
              <a:gd name="T16" fmla="*/ 129 w 267"/>
              <a:gd name="T17" fmla="*/ 0 h 265"/>
              <a:gd name="T18" fmla="*/ 74 w 267"/>
              <a:gd name="T19" fmla="*/ 0 h 265"/>
              <a:gd name="T20" fmla="*/ 37 w 267"/>
              <a:gd name="T21" fmla="*/ 36 h 265"/>
              <a:gd name="T22" fmla="*/ 9 w 267"/>
              <a:gd name="T23" fmla="*/ 73 h 265"/>
              <a:gd name="T24" fmla="*/ 0 w 267"/>
              <a:gd name="T25" fmla="*/ 137 h 265"/>
              <a:gd name="T26" fmla="*/ 9 w 267"/>
              <a:gd name="T27" fmla="*/ 173 h 265"/>
              <a:gd name="T28" fmla="*/ 37 w 267"/>
              <a:gd name="T29" fmla="*/ 219 h 265"/>
              <a:gd name="T30" fmla="*/ 74 w 267"/>
              <a:gd name="T31" fmla="*/ 246 h 265"/>
              <a:gd name="T32" fmla="*/ 129 w 267"/>
              <a:gd name="T33" fmla="*/ 265 h 265"/>
              <a:gd name="T34" fmla="*/ 129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29" y="265"/>
                </a:moveTo>
                <a:lnTo>
                  <a:pt x="184" y="246"/>
                </a:lnTo>
                <a:lnTo>
                  <a:pt x="230" y="219"/>
                </a:lnTo>
                <a:lnTo>
                  <a:pt x="249" y="173"/>
                </a:lnTo>
                <a:lnTo>
                  <a:pt x="267" y="137"/>
                </a:lnTo>
                <a:lnTo>
                  <a:pt x="249" y="73"/>
                </a:lnTo>
                <a:lnTo>
                  <a:pt x="230" y="36"/>
                </a:lnTo>
                <a:lnTo>
                  <a:pt x="184" y="0"/>
                </a:lnTo>
                <a:lnTo>
                  <a:pt x="129" y="0"/>
                </a:lnTo>
                <a:lnTo>
                  <a:pt x="74" y="0"/>
                </a:lnTo>
                <a:lnTo>
                  <a:pt x="37" y="36"/>
                </a:lnTo>
                <a:lnTo>
                  <a:pt x="9" y="73"/>
                </a:lnTo>
                <a:lnTo>
                  <a:pt x="0" y="137"/>
                </a:lnTo>
                <a:lnTo>
                  <a:pt x="9" y="173"/>
                </a:lnTo>
                <a:lnTo>
                  <a:pt x="37" y="219"/>
                </a:lnTo>
                <a:lnTo>
                  <a:pt x="74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Freeform 105">
            <a:extLst>
              <a:ext uri="{FF2B5EF4-FFF2-40B4-BE49-F238E27FC236}">
                <a16:creationId xmlns="" xmlns:a16="http://schemas.microsoft.com/office/drawing/2014/main" id="{00000000-0008-0000-0100-00002B000000}"/>
              </a:ext>
            </a:extLst>
          </xdr:cNvPr>
          <xdr:cNvSpPr>
            <a:spLocks/>
          </xdr:cNvSpPr>
        </xdr:nvSpPr>
        <xdr:spPr bwMode="auto">
          <a:xfrm>
            <a:off x="345838" y="267913"/>
            <a:ext cx="21355" cy="21236"/>
          </a:xfrm>
          <a:custGeom>
            <a:avLst/>
            <a:gdLst>
              <a:gd name="T0" fmla="*/ 138 w 267"/>
              <a:gd name="T1" fmla="*/ 265 h 265"/>
              <a:gd name="T2" fmla="*/ 184 w 267"/>
              <a:gd name="T3" fmla="*/ 256 h 265"/>
              <a:gd name="T4" fmla="*/ 230 w 267"/>
              <a:gd name="T5" fmla="*/ 228 h 265"/>
              <a:gd name="T6" fmla="*/ 258 w 267"/>
              <a:gd name="T7" fmla="*/ 182 h 265"/>
              <a:gd name="T8" fmla="*/ 267 w 267"/>
              <a:gd name="T9" fmla="*/ 137 h 265"/>
              <a:gd name="T10" fmla="*/ 258 w 267"/>
              <a:gd name="T11" fmla="*/ 82 h 265"/>
              <a:gd name="T12" fmla="*/ 230 w 267"/>
              <a:gd name="T13" fmla="*/ 45 h 265"/>
              <a:gd name="T14" fmla="*/ 184 w 267"/>
              <a:gd name="T15" fmla="*/ 9 h 265"/>
              <a:gd name="T16" fmla="*/ 138 w 267"/>
              <a:gd name="T17" fmla="*/ 0 h 265"/>
              <a:gd name="T18" fmla="*/ 74 w 267"/>
              <a:gd name="T19" fmla="*/ 9 h 265"/>
              <a:gd name="T20" fmla="*/ 37 w 267"/>
              <a:gd name="T21" fmla="*/ 45 h 265"/>
              <a:gd name="T22" fmla="*/ 9 w 267"/>
              <a:gd name="T23" fmla="*/ 82 h 265"/>
              <a:gd name="T24" fmla="*/ 0 w 267"/>
              <a:gd name="T25" fmla="*/ 137 h 265"/>
              <a:gd name="T26" fmla="*/ 9 w 267"/>
              <a:gd name="T27" fmla="*/ 182 h 265"/>
              <a:gd name="T28" fmla="*/ 37 w 267"/>
              <a:gd name="T29" fmla="*/ 228 h 265"/>
              <a:gd name="T30" fmla="*/ 74 w 267"/>
              <a:gd name="T31" fmla="*/ 256 h 265"/>
              <a:gd name="T32" fmla="*/ 138 w 267"/>
              <a:gd name="T33" fmla="*/ 265 h 265"/>
              <a:gd name="T34" fmla="*/ 138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38" y="265"/>
                </a:moveTo>
                <a:lnTo>
                  <a:pt x="184" y="256"/>
                </a:lnTo>
                <a:lnTo>
                  <a:pt x="230" y="228"/>
                </a:lnTo>
                <a:lnTo>
                  <a:pt x="258" y="182"/>
                </a:lnTo>
                <a:lnTo>
                  <a:pt x="267" y="137"/>
                </a:lnTo>
                <a:lnTo>
                  <a:pt x="258" y="82"/>
                </a:lnTo>
                <a:lnTo>
                  <a:pt x="230" y="45"/>
                </a:lnTo>
                <a:lnTo>
                  <a:pt x="184" y="9"/>
                </a:lnTo>
                <a:lnTo>
                  <a:pt x="138" y="0"/>
                </a:lnTo>
                <a:lnTo>
                  <a:pt x="74" y="9"/>
                </a:lnTo>
                <a:lnTo>
                  <a:pt x="37" y="45"/>
                </a:lnTo>
                <a:lnTo>
                  <a:pt x="9" y="82"/>
                </a:lnTo>
                <a:lnTo>
                  <a:pt x="0" y="137"/>
                </a:lnTo>
                <a:lnTo>
                  <a:pt x="9" y="182"/>
                </a:lnTo>
                <a:lnTo>
                  <a:pt x="37" y="228"/>
                </a:lnTo>
                <a:lnTo>
                  <a:pt x="74" y="256"/>
                </a:lnTo>
                <a:lnTo>
                  <a:pt x="138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4" name="Freeform 106">
            <a:extLst>
              <a:ext uri="{FF2B5EF4-FFF2-40B4-BE49-F238E27FC236}">
                <a16:creationId xmlns="" xmlns:a16="http://schemas.microsoft.com/office/drawing/2014/main" id="{00000000-0008-0000-0100-00002C000000}"/>
              </a:ext>
            </a:extLst>
          </xdr:cNvPr>
          <xdr:cNvSpPr>
            <a:spLocks/>
          </xdr:cNvSpPr>
        </xdr:nvSpPr>
        <xdr:spPr bwMode="auto">
          <a:xfrm>
            <a:off x="278502" y="266307"/>
            <a:ext cx="14038" cy="13919"/>
          </a:xfrm>
          <a:custGeom>
            <a:avLst/>
            <a:gdLst>
              <a:gd name="T0" fmla="*/ 83 w 176"/>
              <a:gd name="T1" fmla="*/ 174 h 174"/>
              <a:gd name="T2" fmla="*/ 148 w 176"/>
              <a:gd name="T3" fmla="*/ 147 h 174"/>
              <a:gd name="T4" fmla="*/ 176 w 176"/>
              <a:gd name="T5" fmla="*/ 92 h 174"/>
              <a:gd name="T6" fmla="*/ 148 w 176"/>
              <a:gd name="T7" fmla="*/ 28 h 174"/>
              <a:gd name="T8" fmla="*/ 83 w 176"/>
              <a:gd name="T9" fmla="*/ 0 h 174"/>
              <a:gd name="T10" fmla="*/ 19 w 176"/>
              <a:gd name="T11" fmla="*/ 28 h 174"/>
              <a:gd name="T12" fmla="*/ 0 w 176"/>
              <a:gd name="T13" fmla="*/ 92 h 174"/>
              <a:gd name="T14" fmla="*/ 19 w 176"/>
              <a:gd name="T15" fmla="*/ 147 h 174"/>
              <a:gd name="T16" fmla="*/ 83 w 176"/>
              <a:gd name="T17" fmla="*/ 174 h 174"/>
              <a:gd name="T18" fmla="*/ 83 w 17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76" h="174">
                <a:moveTo>
                  <a:pt x="83" y="174"/>
                </a:moveTo>
                <a:lnTo>
                  <a:pt x="148" y="147"/>
                </a:lnTo>
                <a:lnTo>
                  <a:pt x="176" y="92"/>
                </a:lnTo>
                <a:lnTo>
                  <a:pt x="148" y="28"/>
                </a:lnTo>
                <a:lnTo>
                  <a:pt x="83" y="0"/>
                </a:lnTo>
                <a:lnTo>
                  <a:pt x="19" y="28"/>
                </a:lnTo>
                <a:lnTo>
                  <a:pt x="0" y="92"/>
                </a:lnTo>
                <a:lnTo>
                  <a:pt x="19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5" name="Freeform 107">
            <a:extLst>
              <a:ext uri="{FF2B5EF4-FFF2-40B4-BE49-F238E27FC236}">
                <a16:creationId xmlns="" xmlns:a16="http://schemas.microsoft.com/office/drawing/2014/main" id="{00000000-0008-0000-0100-00002D000000}"/>
              </a:ext>
            </a:extLst>
          </xdr:cNvPr>
          <xdr:cNvSpPr>
            <a:spLocks/>
          </xdr:cNvSpPr>
        </xdr:nvSpPr>
        <xdr:spPr bwMode="auto">
          <a:xfrm>
            <a:off x="101955" y="15347"/>
            <a:ext cx="629991" cy="494604"/>
          </a:xfrm>
          <a:custGeom>
            <a:avLst/>
            <a:gdLst>
              <a:gd name="T0" fmla="*/ 5393 w 7863"/>
              <a:gd name="T1" fmla="*/ 73 h 6179"/>
              <a:gd name="T2" fmla="*/ 5863 w 7863"/>
              <a:gd name="T3" fmla="*/ 9 h 6179"/>
              <a:gd name="T4" fmla="*/ 6352 w 7863"/>
              <a:gd name="T5" fmla="*/ 9 h 6179"/>
              <a:gd name="T6" fmla="*/ 6794 w 7863"/>
              <a:gd name="T7" fmla="*/ 64 h 6179"/>
              <a:gd name="T8" fmla="*/ 7190 w 7863"/>
              <a:gd name="T9" fmla="*/ 229 h 6179"/>
              <a:gd name="T10" fmla="*/ 7587 w 7863"/>
              <a:gd name="T11" fmla="*/ 567 h 6179"/>
              <a:gd name="T12" fmla="*/ 7854 w 7863"/>
              <a:gd name="T13" fmla="*/ 1243 h 6179"/>
              <a:gd name="T14" fmla="*/ 7799 w 7863"/>
              <a:gd name="T15" fmla="*/ 2020 h 6179"/>
              <a:gd name="T16" fmla="*/ 7522 w 7863"/>
              <a:gd name="T17" fmla="*/ 2834 h 6179"/>
              <a:gd name="T18" fmla="*/ 7080 w 7863"/>
              <a:gd name="T19" fmla="*/ 3574 h 6179"/>
              <a:gd name="T20" fmla="*/ 6573 w 7863"/>
              <a:gd name="T21" fmla="*/ 4196 h 6179"/>
              <a:gd name="T22" fmla="*/ 5752 w 7863"/>
              <a:gd name="T23" fmla="*/ 4872 h 6179"/>
              <a:gd name="T24" fmla="*/ 4914 w 7863"/>
              <a:gd name="T25" fmla="*/ 5393 h 6179"/>
              <a:gd name="T26" fmla="*/ 4029 w 7863"/>
              <a:gd name="T27" fmla="*/ 5759 h 6179"/>
              <a:gd name="T28" fmla="*/ 3098 w 7863"/>
              <a:gd name="T29" fmla="*/ 6015 h 6179"/>
              <a:gd name="T30" fmla="*/ 2047 w 7863"/>
              <a:gd name="T31" fmla="*/ 6152 h 6179"/>
              <a:gd name="T32" fmla="*/ 1438 w 7863"/>
              <a:gd name="T33" fmla="*/ 6179 h 6179"/>
              <a:gd name="T34" fmla="*/ 1079 w 7863"/>
              <a:gd name="T35" fmla="*/ 6170 h 6179"/>
              <a:gd name="T36" fmla="*/ 747 w 7863"/>
              <a:gd name="T37" fmla="*/ 6134 h 6179"/>
              <a:gd name="T38" fmla="*/ 443 w 7863"/>
              <a:gd name="T39" fmla="*/ 6042 h 6179"/>
              <a:gd name="T40" fmla="*/ 203 w 7863"/>
              <a:gd name="T41" fmla="*/ 5923 h 6179"/>
              <a:gd name="T42" fmla="*/ 28 w 7863"/>
              <a:gd name="T43" fmla="*/ 5740 h 6179"/>
              <a:gd name="T44" fmla="*/ 10 w 7863"/>
              <a:gd name="T45" fmla="*/ 5503 h 6179"/>
              <a:gd name="T46" fmla="*/ 102 w 7863"/>
              <a:gd name="T47" fmla="*/ 5229 h 6179"/>
              <a:gd name="T48" fmla="*/ 259 w 7863"/>
              <a:gd name="T49" fmla="*/ 4991 h 6179"/>
              <a:gd name="T50" fmla="*/ 397 w 7863"/>
              <a:gd name="T51" fmla="*/ 4808 h 6179"/>
              <a:gd name="T52" fmla="*/ 471 w 7863"/>
              <a:gd name="T53" fmla="*/ 4753 h 6179"/>
              <a:gd name="T54" fmla="*/ 544 w 7863"/>
              <a:gd name="T55" fmla="*/ 5000 h 6179"/>
              <a:gd name="T56" fmla="*/ 480 w 7863"/>
              <a:gd name="T57" fmla="*/ 5110 h 6179"/>
              <a:gd name="T58" fmla="*/ 415 w 7863"/>
              <a:gd name="T59" fmla="*/ 5265 h 6179"/>
              <a:gd name="T60" fmla="*/ 378 w 7863"/>
              <a:gd name="T61" fmla="*/ 5457 h 6179"/>
              <a:gd name="T62" fmla="*/ 415 w 7863"/>
              <a:gd name="T63" fmla="*/ 5658 h 6179"/>
              <a:gd name="T64" fmla="*/ 821 w 7863"/>
              <a:gd name="T65" fmla="*/ 5914 h 6179"/>
              <a:gd name="T66" fmla="*/ 1448 w 7863"/>
              <a:gd name="T67" fmla="*/ 6024 h 6179"/>
              <a:gd name="T68" fmla="*/ 2213 w 7863"/>
              <a:gd name="T69" fmla="*/ 5978 h 6179"/>
              <a:gd name="T70" fmla="*/ 3033 w 7863"/>
              <a:gd name="T71" fmla="*/ 5823 h 6179"/>
              <a:gd name="T72" fmla="*/ 3807 w 7863"/>
              <a:gd name="T73" fmla="*/ 5567 h 6179"/>
              <a:gd name="T74" fmla="*/ 4683 w 7863"/>
              <a:gd name="T75" fmla="*/ 5091 h 6179"/>
              <a:gd name="T76" fmla="*/ 5669 w 7863"/>
              <a:gd name="T77" fmla="*/ 4324 h 6179"/>
              <a:gd name="T78" fmla="*/ 6554 w 7863"/>
              <a:gd name="T79" fmla="*/ 3382 h 6179"/>
              <a:gd name="T80" fmla="*/ 7181 w 7863"/>
              <a:gd name="T81" fmla="*/ 2331 h 6179"/>
              <a:gd name="T82" fmla="*/ 7402 w 7863"/>
              <a:gd name="T83" fmla="*/ 1271 h 6179"/>
              <a:gd name="T84" fmla="*/ 7209 w 7863"/>
              <a:gd name="T85" fmla="*/ 475 h 6179"/>
              <a:gd name="T86" fmla="*/ 6941 w 7863"/>
              <a:gd name="T87" fmla="*/ 247 h 6179"/>
              <a:gd name="T88" fmla="*/ 6564 w 7863"/>
              <a:gd name="T89" fmla="*/ 119 h 6179"/>
              <a:gd name="T90" fmla="*/ 6140 w 7863"/>
              <a:gd name="T91" fmla="*/ 101 h 6179"/>
              <a:gd name="T92" fmla="*/ 5679 w 7863"/>
              <a:gd name="T93" fmla="*/ 146 h 6179"/>
              <a:gd name="T94" fmla="*/ 5236 w 7863"/>
              <a:gd name="T95" fmla="*/ 229 h 6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7863" h="6179">
                <a:moveTo>
                  <a:pt x="5089" y="137"/>
                </a:moveTo>
                <a:lnTo>
                  <a:pt x="5236" y="101"/>
                </a:lnTo>
                <a:lnTo>
                  <a:pt x="5393" y="73"/>
                </a:lnTo>
                <a:lnTo>
                  <a:pt x="5550" y="46"/>
                </a:lnTo>
                <a:lnTo>
                  <a:pt x="5706" y="28"/>
                </a:lnTo>
                <a:lnTo>
                  <a:pt x="5863" y="9"/>
                </a:lnTo>
                <a:lnTo>
                  <a:pt x="6029" y="0"/>
                </a:lnTo>
                <a:lnTo>
                  <a:pt x="6186" y="0"/>
                </a:lnTo>
                <a:lnTo>
                  <a:pt x="6352" y="9"/>
                </a:lnTo>
                <a:lnTo>
                  <a:pt x="6499" y="9"/>
                </a:lnTo>
                <a:lnTo>
                  <a:pt x="6647" y="37"/>
                </a:lnTo>
                <a:lnTo>
                  <a:pt x="6794" y="64"/>
                </a:lnTo>
                <a:lnTo>
                  <a:pt x="6932" y="110"/>
                </a:lnTo>
                <a:lnTo>
                  <a:pt x="7061" y="165"/>
                </a:lnTo>
                <a:lnTo>
                  <a:pt x="7190" y="229"/>
                </a:lnTo>
                <a:lnTo>
                  <a:pt x="7310" y="293"/>
                </a:lnTo>
                <a:lnTo>
                  <a:pt x="7430" y="384"/>
                </a:lnTo>
                <a:lnTo>
                  <a:pt x="7587" y="567"/>
                </a:lnTo>
                <a:lnTo>
                  <a:pt x="7716" y="768"/>
                </a:lnTo>
                <a:lnTo>
                  <a:pt x="7799" y="996"/>
                </a:lnTo>
                <a:lnTo>
                  <a:pt x="7854" y="1243"/>
                </a:lnTo>
                <a:lnTo>
                  <a:pt x="7863" y="1490"/>
                </a:lnTo>
                <a:lnTo>
                  <a:pt x="7845" y="1755"/>
                </a:lnTo>
                <a:lnTo>
                  <a:pt x="7799" y="2020"/>
                </a:lnTo>
                <a:lnTo>
                  <a:pt x="7734" y="2294"/>
                </a:lnTo>
                <a:lnTo>
                  <a:pt x="7642" y="2559"/>
                </a:lnTo>
                <a:lnTo>
                  <a:pt x="7522" y="2834"/>
                </a:lnTo>
                <a:lnTo>
                  <a:pt x="7384" y="3090"/>
                </a:lnTo>
                <a:lnTo>
                  <a:pt x="7246" y="3346"/>
                </a:lnTo>
                <a:lnTo>
                  <a:pt x="7080" y="3574"/>
                </a:lnTo>
                <a:lnTo>
                  <a:pt x="6914" y="3812"/>
                </a:lnTo>
                <a:lnTo>
                  <a:pt x="6739" y="4004"/>
                </a:lnTo>
                <a:lnTo>
                  <a:pt x="6573" y="4196"/>
                </a:lnTo>
                <a:lnTo>
                  <a:pt x="6296" y="4433"/>
                </a:lnTo>
                <a:lnTo>
                  <a:pt x="6020" y="4662"/>
                </a:lnTo>
                <a:lnTo>
                  <a:pt x="5752" y="4872"/>
                </a:lnTo>
                <a:lnTo>
                  <a:pt x="5476" y="5064"/>
                </a:lnTo>
                <a:lnTo>
                  <a:pt x="5190" y="5238"/>
                </a:lnTo>
                <a:lnTo>
                  <a:pt x="4914" y="5393"/>
                </a:lnTo>
                <a:lnTo>
                  <a:pt x="4619" y="5521"/>
                </a:lnTo>
                <a:lnTo>
                  <a:pt x="4333" y="5658"/>
                </a:lnTo>
                <a:lnTo>
                  <a:pt x="4029" y="5759"/>
                </a:lnTo>
                <a:lnTo>
                  <a:pt x="3724" y="5859"/>
                </a:lnTo>
                <a:lnTo>
                  <a:pt x="3411" y="5932"/>
                </a:lnTo>
                <a:lnTo>
                  <a:pt x="3098" y="6015"/>
                </a:lnTo>
                <a:lnTo>
                  <a:pt x="2757" y="6070"/>
                </a:lnTo>
                <a:lnTo>
                  <a:pt x="2406" y="6115"/>
                </a:lnTo>
                <a:lnTo>
                  <a:pt x="2047" y="6152"/>
                </a:lnTo>
                <a:lnTo>
                  <a:pt x="1678" y="6179"/>
                </a:lnTo>
                <a:lnTo>
                  <a:pt x="1558" y="6179"/>
                </a:lnTo>
                <a:lnTo>
                  <a:pt x="1438" y="6179"/>
                </a:lnTo>
                <a:lnTo>
                  <a:pt x="1309" y="6179"/>
                </a:lnTo>
                <a:lnTo>
                  <a:pt x="1199" y="6179"/>
                </a:lnTo>
                <a:lnTo>
                  <a:pt x="1079" y="6170"/>
                </a:lnTo>
                <a:lnTo>
                  <a:pt x="959" y="6161"/>
                </a:lnTo>
                <a:lnTo>
                  <a:pt x="848" y="6152"/>
                </a:lnTo>
                <a:lnTo>
                  <a:pt x="747" y="6134"/>
                </a:lnTo>
                <a:lnTo>
                  <a:pt x="636" y="6106"/>
                </a:lnTo>
                <a:lnTo>
                  <a:pt x="544" y="6088"/>
                </a:lnTo>
                <a:lnTo>
                  <a:pt x="443" y="6042"/>
                </a:lnTo>
                <a:lnTo>
                  <a:pt x="369" y="6015"/>
                </a:lnTo>
                <a:lnTo>
                  <a:pt x="277" y="5969"/>
                </a:lnTo>
                <a:lnTo>
                  <a:pt x="203" y="5923"/>
                </a:lnTo>
                <a:lnTo>
                  <a:pt x="129" y="5868"/>
                </a:lnTo>
                <a:lnTo>
                  <a:pt x="83" y="5814"/>
                </a:lnTo>
                <a:lnTo>
                  <a:pt x="28" y="5740"/>
                </a:lnTo>
                <a:lnTo>
                  <a:pt x="0" y="5667"/>
                </a:lnTo>
                <a:lnTo>
                  <a:pt x="0" y="5585"/>
                </a:lnTo>
                <a:lnTo>
                  <a:pt x="10" y="5503"/>
                </a:lnTo>
                <a:lnTo>
                  <a:pt x="19" y="5411"/>
                </a:lnTo>
                <a:lnTo>
                  <a:pt x="65" y="5320"/>
                </a:lnTo>
                <a:lnTo>
                  <a:pt x="102" y="5229"/>
                </a:lnTo>
                <a:lnTo>
                  <a:pt x="157" y="5155"/>
                </a:lnTo>
                <a:lnTo>
                  <a:pt x="203" y="5064"/>
                </a:lnTo>
                <a:lnTo>
                  <a:pt x="259" y="4991"/>
                </a:lnTo>
                <a:lnTo>
                  <a:pt x="305" y="4918"/>
                </a:lnTo>
                <a:lnTo>
                  <a:pt x="360" y="4863"/>
                </a:lnTo>
                <a:lnTo>
                  <a:pt x="397" y="4808"/>
                </a:lnTo>
                <a:lnTo>
                  <a:pt x="434" y="4781"/>
                </a:lnTo>
                <a:lnTo>
                  <a:pt x="461" y="4753"/>
                </a:lnTo>
                <a:lnTo>
                  <a:pt x="471" y="4753"/>
                </a:lnTo>
                <a:lnTo>
                  <a:pt x="600" y="4936"/>
                </a:lnTo>
                <a:lnTo>
                  <a:pt x="581" y="4954"/>
                </a:lnTo>
                <a:lnTo>
                  <a:pt x="544" y="5000"/>
                </a:lnTo>
                <a:lnTo>
                  <a:pt x="526" y="5027"/>
                </a:lnTo>
                <a:lnTo>
                  <a:pt x="507" y="5064"/>
                </a:lnTo>
                <a:lnTo>
                  <a:pt x="480" y="5110"/>
                </a:lnTo>
                <a:lnTo>
                  <a:pt x="461" y="5165"/>
                </a:lnTo>
                <a:lnTo>
                  <a:pt x="434" y="5210"/>
                </a:lnTo>
                <a:lnTo>
                  <a:pt x="415" y="5265"/>
                </a:lnTo>
                <a:lnTo>
                  <a:pt x="397" y="5329"/>
                </a:lnTo>
                <a:lnTo>
                  <a:pt x="397" y="5393"/>
                </a:lnTo>
                <a:lnTo>
                  <a:pt x="378" y="5457"/>
                </a:lnTo>
                <a:lnTo>
                  <a:pt x="388" y="5521"/>
                </a:lnTo>
                <a:lnTo>
                  <a:pt x="397" y="5585"/>
                </a:lnTo>
                <a:lnTo>
                  <a:pt x="415" y="5658"/>
                </a:lnTo>
                <a:lnTo>
                  <a:pt x="517" y="5759"/>
                </a:lnTo>
                <a:lnTo>
                  <a:pt x="655" y="5850"/>
                </a:lnTo>
                <a:lnTo>
                  <a:pt x="821" y="5914"/>
                </a:lnTo>
                <a:lnTo>
                  <a:pt x="1014" y="5978"/>
                </a:lnTo>
                <a:lnTo>
                  <a:pt x="1226" y="6006"/>
                </a:lnTo>
                <a:lnTo>
                  <a:pt x="1448" y="6024"/>
                </a:lnTo>
                <a:lnTo>
                  <a:pt x="1697" y="6024"/>
                </a:lnTo>
                <a:lnTo>
                  <a:pt x="1955" y="6015"/>
                </a:lnTo>
                <a:lnTo>
                  <a:pt x="2213" y="5978"/>
                </a:lnTo>
                <a:lnTo>
                  <a:pt x="2480" y="5942"/>
                </a:lnTo>
                <a:lnTo>
                  <a:pt x="2747" y="5887"/>
                </a:lnTo>
                <a:lnTo>
                  <a:pt x="3033" y="5823"/>
                </a:lnTo>
                <a:lnTo>
                  <a:pt x="3291" y="5740"/>
                </a:lnTo>
                <a:lnTo>
                  <a:pt x="3549" y="5658"/>
                </a:lnTo>
                <a:lnTo>
                  <a:pt x="3807" y="5567"/>
                </a:lnTo>
                <a:lnTo>
                  <a:pt x="4047" y="5466"/>
                </a:lnTo>
                <a:lnTo>
                  <a:pt x="4360" y="5293"/>
                </a:lnTo>
                <a:lnTo>
                  <a:pt x="4683" y="5091"/>
                </a:lnTo>
                <a:lnTo>
                  <a:pt x="5015" y="4854"/>
                </a:lnTo>
                <a:lnTo>
                  <a:pt x="5347" y="4607"/>
                </a:lnTo>
                <a:lnTo>
                  <a:pt x="5669" y="4324"/>
                </a:lnTo>
                <a:lnTo>
                  <a:pt x="5983" y="4022"/>
                </a:lnTo>
                <a:lnTo>
                  <a:pt x="6278" y="3711"/>
                </a:lnTo>
                <a:lnTo>
                  <a:pt x="6554" y="3382"/>
                </a:lnTo>
                <a:lnTo>
                  <a:pt x="6794" y="3035"/>
                </a:lnTo>
                <a:lnTo>
                  <a:pt x="7015" y="2687"/>
                </a:lnTo>
                <a:lnTo>
                  <a:pt x="7181" y="2331"/>
                </a:lnTo>
                <a:lnTo>
                  <a:pt x="7310" y="1974"/>
                </a:lnTo>
                <a:lnTo>
                  <a:pt x="7384" y="1618"/>
                </a:lnTo>
                <a:lnTo>
                  <a:pt x="7402" y="1271"/>
                </a:lnTo>
                <a:lnTo>
                  <a:pt x="7366" y="923"/>
                </a:lnTo>
                <a:lnTo>
                  <a:pt x="7273" y="594"/>
                </a:lnTo>
                <a:lnTo>
                  <a:pt x="7209" y="475"/>
                </a:lnTo>
                <a:lnTo>
                  <a:pt x="7135" y="384"/>
                </a:lnTo>
                <a:lnTo>
                  <a:pt x="7034" y="302"/>
                </a:lnTo>
                <a:lnTo>
                  <a:pt x="6941" y="247"/>
                </a:lnTo>
                <a:lnTo>
                  <a:pt x="6822" y="183"/>
                </a:lnTo>
                <a:lnTo>
                  <a:pt x="6702" y="146"/>
                </a:lnTo>
                <a:lnTo>
                  <a:pt x="6564" y="119"/>
                </a:lnTo>
                <a:lnTo>
                  <a:pt x="6435" y="110"/>
                </a:lnTo>
                <a:lnTo>
                  <a:pt x="6287" y="101"/>
                </a:lnTo>
                <a:lnTo>
                  <a:pt x="6140" y="101"/>
                </a:lnTo>
                <a:lnTo>
                  <a:pt x="5983" y="101"/>
                </a:lnTo>
                <a:lnTo>
                  <a:pt x="5835" y="119"/>
                </a:lnTo>
                <a:lnTo>
                  <a:pt x="5679" y="146"/>
                </a:lnTo>
                <a:lnTo>
                  <a:pt x="5531" y="165"/>
                </a:lnTo>
                <a:lnTo>
                  <a:pt x="5374" y="192"/>
                </a:lnTo>
                <a:lnTo>
                  <a:pt x="5236" y="229"/>
                </a:lnTo>
                <a:lnTo>
                  <a:pt x="5089" y="13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6" name="Freeform 108">
            <a:extLst>
              <a:ext uri="{FF2B5EF4-FFF2-40B4-BE49-F238E27FC236}">
                <a16:creationId xmlns="" xmlns:a16="http://schemas.microsoft.com/office/drawing/2014/main" id="{00000000-0008-0000-0100-00002E000000}"/>
              </a:ext>
            </a:extLst>
          </xdr:cNvPr>
          <xdr:cNvSpPr>
            <a:spLocks/>
          </xdr:cNvSpPr>
        </xdr:nvSpPr>
        <xdr:spPr bwMode="auto">
          <a:xfrm>
            <a:off x="113019" y="334297"/>
            <a:ext cx="143296" cy="110639"/>
          </a:xfrm>
          <a:custGeom>
            <a:avLst/>
            <a:gdLst>
              <a:gd name="T0" fmla="*/ 92 w 1788"/>
              <a:gd name="T1" fmla="*/ 1079 h 1381"/>
              <a:gd name="T2" fmla="*/ 129 w 1788"/>
              <a:gd name="T3" fmla="*/ 997 h 1381"/>
              <a:gd name="T4" fmla="*/ 175 w 1788"/>
              <a:gd name="T5" fmla="*/ 942 h 1381"/>
              <a:gd name="T6" fmla="*/ 221 w 1788"/>
              <a:gd name="T7" fmla="*/ 878 h 1381"/>
              <a:gd name="T8" fmla="*/ 267 w 1788"/>
              <a:gd name="T9" fmla="*/ 823 h 1381"/>
              <a:gd name="T10" fmla="*/ 304 w 1788"/>
              <a:gd name="T11" fmla="*/ 768 h 1381"/>
              <a:gd name="T12" fmla="*/ 359 w 1788"/>
              <a:gd name="T13" fmla="*/ 713 h 1381"/>
              <a:gd name="T14" fmla="*/ 405 w 1788"/>
              <a:gd name="T15" fmla="*/ 659 h 1381"/>
              <a:gd name="T16" fmla="*/ 451 w 1788"/>
              <a:gd name="T17" fmla="*/ 613 h 1381"/>
              <a:gd name="T18" fmla="*/ 497 w 1788"/>
              <a:gd name="T19" fmla="*/ 558 h 1381"/>
              <a:gd name="T20" fmla="*/ 553 w 1788"/>
              <a:gd name="T21" fmla="*/ 521 h 1381"/>
              <a:gd name="T22" fmla="*/ 599 w 1788"/>
              <a:gd name="T23" fmla="*/ 467 h 1381"/>
              <a:gd name="T24" fmla="*/ 663 w 1788"/>
              <a:gd name="T25" fmla="*/ 430 h 1381"/>
              <a:gd name="T26" fmla="*/ 709 w 1788"/>
              <a:gd name="T27" fmla="*/ 375 h 1381"/>
              <a:gd name="T28" fmla="*/ 774 w 1788"/>
              <a:gd name="T29" fmla="*/ 330 h 1381"/>
              <a:gd name="T30" fmla="*/ 839 w 1788"/>
              <a:gd name="T31" fmla="*/ 284 h 1381"/>
              <a:gd name="T32" fmla="*/ 912 w 1788"/>
              <a:gd name="T33" fmla="*/ 247 h 1381"/>
              <a:gd name="T34" fmla="*/ 958 w 1788"/>
              <a:gd name="T35" fmla="*/ 211 h 1381"/>
              <a:gd name="T36" fmla="*/ 1014 w 1788"/>
              <a:gd name="T37" fmla="*/ 174 h 1381"/>
              <a:gd name="T38" fmla="*/ 1060 w 1788"/>
              <a:gd name="T39" fmla="*/ 147 h 1381"/>
              <a:gd name="T40" fmla="*/ 1115 w 1788"/>
              <a:gd name="T41" fmla="*/ 128 h 1381"/>
              <a:gd name="T42" fmla="*/ 1170 w 1788"/>
              <a:gd name="T43" fmla="*/ 101 h 1381"/>
              <a:gd name="T44" fmla="*/ 1216 w 1788"/>
              <a:gd name="T45" fmla="*/ 83 h 1381"/>
              <a:gd name="T46" fmla="*/ 1272 w 1788"/>
              <a:gd name="T47" fmla="*/ 64 h 1381"/>
              <a:gd name="T48" fmla="*/ 1318 w 1788"/>
              <a:gd name="T49" fmla="*/ 46 h 1381"/>
              <a:gd name="T50" fmla="*/ 1364 w 1788"/>
              <a:gd name="T51" fmla="*/ 28 h 1381"/>
              <a:gd name="T52" fmla="*/ 1410 w 1788"/>
              <a:gd name="T53" fmla="*/ 19 h 1381"/>
              <a:gd name="T54" fmla="*/ 1456 w 1788"/>
              <a:gd name="T55" fmla="*/ 10 h 1381"/>
              <a:gd name="T56" fmla="*/ 1493 w 1788"/>
              <a:gd name="T57" fmla="*/ 10 h 1381"/>
              <a:gd name="T58" fmla="*/ 1530 w 1788"/>
              <a:gd name="T59" fmla="*/ 0 h 1381"/>
              <a:gd name="T60" fmla="*/ 1567 w 1788"/>
              <a:gd name="T61" fmla="*/ 0 h 1381"/>
              <a:gd name="T62" fmla="*/ 1594 w 1788"/>
              <a:gd name="T63" fmla="*/ 0 h 1381"/>
              <a:gd name="T64" fmla="*/ 1631 w 1788"/>
              <a:gd name="T65" fmla="*/ 10 h 1381"/>
              <a:gd name="T66" fmla="*/ 1788 w 1788"/>
              <a:gd name="T67" fmla="*/ 302 h 1381"/>
              <a:gd name="T68" fmla="*/ 1770 w 1788"/>
              <a:gd name="T69" fmla="*/ 302 h 1381"/>
              <a:gd name="T70" fmla="*/ 1733 w 1788"/>
              <a:gd name="T71" fmla="*/ 311 h 1381"/>
              <a:gd name="T72" fmla="*/ 1677 w 1788"/>
              <a:gd name="T73" fmla="*/ 330 h 1381"/>
              <a:gd name="T74" fmla="*/ 1604 w 1788"/>
              <a:gd name="T75" fmla="*/ 357 h 1381"/>
              <a:gd name="T76" fmla="*/ 1511 w 1788"/>
              <a:gd name="T77" fmla="*/ 384 h 1381"/>
              <a:gd name="T78" fmla="*/ 1410 w 1788"/>
              <a:gd name="T79" fmla="*/ 421 h 1381"/>
              <a:gd name="T80" fmla="*/ 1299 w 1788"/>
              <a:gd name="T81" fmla="*/ 467 h 1381"/>
              <a:gd name="T82" fmla="*/ 1180 w 1788"/>
              <a:gd name="T83" fmla="*/ 521 h 1381"/>
              <a:gd name="T84" fmla="*/ 1051 w 1788"/>
              <a:gd name="T85" fmla="*/ 585 h 1381"/>
              <a:gd name="T86" fmla="*/ 921 w 1788"/>
              <a:gd name="T87" fmla="*/ 659 h 1381"/>
              <a:gd name="T88" fmla="*/ 792 w 1788"/>
              <a:gd name="T89" fmla="*/ 732 h 1381"/>
              <a:gd name="T90" fmla="*/ 673 w 1788"/>
              <a:gd name="T91" fmla="*/ 832 h 1381"/>
              <a:gd name="T92" fmla="*/ 544 w 1788"/>
              <a:gd name="T93" fmla="*/ 933 h 1381"/>
              <a:gd name="T94" fmla="*/ 433 w 1788"/>
              <a:gd name="T95" fmla="*/ 1042 h 1381"/>
              <a:gd name="T96" fmla="*/ 332 w 1788"/>
              <a:gd name="T97" fmla="*/ 1170 h 1381"/>
              <a:gd name="T98" fmla="*/ 249 w 1788"/>
              <a:gd name="T99" fmla="*/ 1308 h 1381"/>
              <a:gd name="T100" fmla="*/ 202 w 1788"/>
              <a:gd name="T101" fmla="*/ 1344 h 1381"/>
              <a:gd name="T102" fmla="*/ 156 w 1788"/>
              <a:gd name="T103" fmla="*/ 1362 h 1381"/>
              <a:gd name="T104" fmla="*/ 101 w 1788"/>
              <a:gd name="T105" fmla="*/ 1381 h 1381"/>
              <a:gd name="T106" fmla="*/ 55 w 1788"/>
              <a:gd name="T107" fmla="*/ 1372 h 1381"/>
              <a:gd name="T108" fmla="*/ 9 w 1788"/>
              <a:gd name="T109" fmla="*/ 1335 h 1381"/>
              <a:gd name="T110" fmla="*/ 0 w 1788"/>
              <a:gd name="T111" fmla="*/ 1280 h 1381"/>
              <a:gd name="T112" fmla="*/ 0 w 1788"/>
              <a:gd name="T113" fmla="*/ 1234 h 1381"/>
              <a:gd name="T114" fmla="*/ 18 w 1788"/>
              <a:gd name="T115" fmla="*/ 1189 h 1381"/>
              <a:gd name="T116" fmla="*/ 46 w 1788"/>
              <a:gd name="T117" fmla="*/ 1134 h 1381"/>
              <a:gd name="T118" fmla="*/ 92 w 1788"/>
              <a:gd name="T119" fmla="*/ 1079 h 1381"/>
              <a:gd name="T120" fmla="*/ 92 w 1788"/>
              <a:gd name="T121" fmla="*/ 1079 h 1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88" h="1381">
                <a:moveTo>
                  <a:pt x="92" y="1079"/>
                </a:moveTo>
                <a:lnTo>
                  <a:pt x="129" y="997"/>
                </a:lnTo>
                <a:lnTo>
                  <a:pt x="175" y="942"/>
                </a:lnTo>
                <a:lnTo>
                  <a:pt x="221" y="878"/>
                </a:lnTo>
                <a:lnTo>
                  <a:pt x="267" y="823"/>
                </a:lnTo>
                <a:lnTo>
                  <a:pt x="304" y="768"/>
                </a:lnTo>
                <a:lnTo>
                  <a:pt x="359" y="713"/>
                </a:lnTo>
                <a:lnTo>
                  <a:pt x="405" y="659"/>
                </a:lnTo>
                <a:lnTo>
                  <a:pt x="451" y="613"/>
                </a:lnTo>
                <a:lnTo>
                  <a:pt x="497" y="558"/>
                </a:lnTo>
                <a:lnTo>
                  <a:pt x="553" y="521"/>
                </a:lnTo>
                <a:lnTo>
                  <a:pt x="599" y="467"/>
                </a:lnTo>
                <a:lnTo>
                  <a:pt x="663" y="430"/>
                </a:lnTo>
                <a:lnTo>
                  <a:pt x="709" y="375"/>
                </a:lnTo>
                <a:lnTo>
                  <a:pt x="774" y="330"/>
                </a:lnTo>
                <a:lnTo>
                  <a:pt x="839" y="284"/>
                </a:lnTo>
                <a:lnTo>
                  <a:pt x="912" y="247"/>
                </a:lnTo>
                <a:lnTo>
                  <a:pt x="958" y="211"/>
                </a:lnTo>
                <a:lnTo>
                  <a:pt x="1014" y="174"/>
                </a:lnTo>
                <a:lnTo>
                  <a:pt x="1060" y="147"/>
                </a:lnTo>
                <a:lnTo>
                  <a:pt x="1115" y="128"/>
                </a:lnTo>
                <a:lnTo>
                  <a:pt x="1170" y="101"/>
                </a:lnTo>
                <a:lnTo>
                  <a:pt x="1216" y="83"/>
                </a:lnTo>
                <a:lnTo>
                  <a:pt x="1272" y="64"/>
                </a:lnTo>
                <a:lnTo>
                  <a:pt x="1318" y="46"/>
                </a:lnTo>
                <a:lnTo>
                  <a:pt x="1364" y="28"/>
                </a:lnTo>
                <a:lnTo>
                  <a:pt x="1410" y="19"/>
                </a:lnTo>
                <a:lnTo>
                  <a:pt x="1456" y="10"/>
                </a:lnTo>
                <a:lnTo>
                  <a:pt x="1493" y="10"/>
                </a:lnTo>
                <a:lnTo>
                  <a:pt x="1530" y="0"/>
                </a:lnTo>
                <a:lnTo>
                  <a:pt x="1567" y="0"/>
                </a:lnTo>
                <a:lnTo>
                  <a:pt x="1594" y="0"/>
                </a:lnTo>
                <a:lnTo>
                  <a:pt x="1631" y="10"/>
                </a:lnTo>
                <a:lnTo>
                  <a:pt x="1788" y="302"/>
                </a:lnTo>
                <a:lnTo>
                  <a:pt x="1770" y="302"/>
                </a:lnTo>
                <a:lnTo>
                  <a:pt x="1733" y="311"/>
                </a:lnTo>
                <a:lnTo>
                  <a:pt x="1677" y="330"/>
                </a:lnTo>
                <a:lnTo>
                  <a:pt x="1604" y="357"/>
                </a:lnTo>
                <a:lnTo>
                  <a:pt x="1511" y="384"/>
                </a:lnTo>
                <a:lnTo>
                  <a:pt x="1410" y="421"/>
                </a:lnTo>
                <a:lnTo>
                  <a:pt x="1299" y="467"/>
                </a:lnTo>
                <a:lnTo>
                  <a:pt x="1180" y="521"/>
                </a:lnTo>
                <a:lnTo>
                  <a:pt x="1051" y="585"/>
                </a:lnTo>
                <a:lnTo>
                  <a:pt x="921" y="659"/>
                </a:lnTo>
                <a:lnTo>
                  <a:pt x="792" y="732"/>
                </a:lnTo>
                <a:lnTo>
                  <a:pt x="673" y="832"/>
                </a:lnTo>
                <a:lnTo>
                  <a:pt x="544" y="933"/>
                </a:lnTo>
                <a:lnTo>
                  <a:pt x="433" y="1042"/>
                </a:lnTo>
                <a:lnTo>
                  <a:pt x="332" y="1170"/>
                </a:lnTo>
                <a:lnTo>
                  <a:pt x="249" y="1308"/>
                </a:lnTo>
                <a:lnTo>
                  <a:pt x="202" y="1344"/>
                </a:lnTo>
                <a:lnTo>
                  <a:pt x="156" y="1362"/>
                </a:lnTo>
                <a:lnTo>
                  <a:pt x="101" y="1381"/>
                </a:lnTo>
                <a:lnTo>
                  <a:pt x="55" y="1372"/>
                </a:lnTo>
                <a:lnTo>
                  <a:pt x="9" y="1335"/>
                </a:lnTo>
                <a:lnTo>
                  <a:pt x="0" y="1280"/>
                </a:lnTo>
                <a:lnTo>
                  <a:pt x="0" y="1234"/>
                </a:lnTo>
                <a:lnTo>
                  <a:pt x="18" y="1189"/>
                </a:lnTo>
                <a:lnTo>
                  <a:pt x="46" y="1134"/>
                </a:lnTo>
                <a:lnTo>
                  <a:pt x="92" y="1079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7" name="Freeform 109">
            <a:extLst>
              <a:ext uri="{FF2B5EF4-FFF2-40B4-BE49-F238E27FC236}">
                <a16:creationId xmlns="" xmlns:a16="http://schemas.microsoft.com/office/drawing/2014/main" id="{00000000-0008-0000-0100-00002F000000}"/>
              </a:ext>
            </a:extLst>
          </xdr:cNvPr>
          <xdr:cNvSpPr>
            <a:spLocks/>
          </xdr:cNvSpPr>
        </xdr:nvSpPr>
        <xdr:spPr bwMode="auto">
          <a:xfrm>
            <a:off x="67930" y="269995"/>
            <a:ext cx="308066" cy="129495"/>
          </a:xfrm>
          <a:custGeom>
            <a:avLst/>
            <a:gdLst>
              <a:gd name="T0" fmla="*/ 0 w 3844"/>
              <a:gd name="T1" fmla="*/ 1618 h 1618"/>
              <a:gd name="T2" fmla="*/ 461 w 3844"/>
              <a:gd name="T3" fmla="*/ 932 h 1618"/>
              <a:gd name="T4" fmla="*/ 2747 w 3844"/>
              <a:gd name="T5" fmla="*/ 932 h 1618"/>
              <a:gd name="T6" fmla="*/ 3669 w 3844"/>
              <a:gd name="T7" fmla="*/ 18 h 1618"/>
              <a:gd name="T8" fmla="*/ 3844 w 3844"/>
              <a:gd name="T9" fmla="*/ 0 h 1618"/>
              <a:gd name="T10" fmla="*/ 2793 w 3844"/>
              <a:gd name="T11" fmla="*/ 1042 h 1618"/>
              <a:gd name="T12" fmla="*/ 535 w 3844"/>
              <a:gd name="T13" fmla="*/ 1042 h 1618"/>
              <a:gd name="T14" fmla="*/ 166 w 3844"/>
              <a:gd name="T15" fmla="*/ 1618 h 1618"/>
              <a:gd name="T16" fmla="*/ 0 w 3844"/>
              <a:gd name="T17" fmla="*/ 1618 h 1618"/>
              <a:gd name="T18" fmla="*/ 0 w 3844"/>
              <a:gd name="T19" fmla="*/ 1618 h 16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844" h="1618">
                <a:moveTo>
                  <a:pt x="0" y="1618"/>
                </a:moveTo>
                <a:lnTo>
                  <a:pt x="461" y="932"/>
                </a:lnTo>
                <a:lnTo>
                  <a:pt x="2747" y="932"/>
                </a:lnTo>
                <a:lnTo>
                  <a:pt x="3669" y="18"/>
                </a:lnTo>
                <a:lnTo>
                  <a:pt x="3844" y="0"/>
                </a:lnTo>
                <a:lnTo>
                  <a:pt x="2793" y="1042"/>
                </a:lnTo>
                <a:lnTo>
                  <a:pt x="535" y="1042"/>
                </a:lnTo>
                <a:lnTo>
                  <a:pt x="166" y="1618"/>
                </a:lnTo>
                <a:lnTo>
                  <a:pt x="0" y="1618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Freeform 110">
            <a:extLst>
              <a:ext uri="{FF2B5EF4-FFF2-40B4-BE49-F238E27FC236}">
                <a16:creationId xmlns="" xmlns:a16="http://schemas.microsoft.com/office/drawing/2014/main" id="{00000000-0008-0000-0100-000030000000}"/>
              </a:ext>
            </a:extLst>
          </xdr:cNvPr>
          <xdr:cNvSpPr>
            <a:spLocks/>
          </xdr:cNvSpPr>
        </xdr:nvSpPr>
        <xdr:spPr bwMode="auto">
          <a:xfrm>
            <a:off x="33251" y="271423"/>
            <a:ext cx="301404" cy="128068"/>
          </a:xfrm>
          <a:custGeom>
            <a:avLst/>
            <a:gdLst>
              <a:gd name="T0" fmla="*/ 0 w 3761"/>
              <a:gd name="T1" fmla="*/ 1600 h 1600"/>
              <a:gd name="T2" fmla="*/ 553 w 3761"/>
              <a:gd name="T3" fmla="*/ 759 h 1600"/>
              <a:gd name="T4" fmla="*/ 2839 w 3761"/>
              <a:gd name="T5" fmla="*/ 759 h 1600"/>
              <a:gd name="T6" fmla="*/ 3604 w 3761"/>
              <a:gd name="T7" fmla="*/ 0 h 1600"/>
              <a:gd name="T8" fmla="*/ 3761 w 3761"/>
              <a:gd name="T9" fmla="*/ 0 h 1600"/>
              <a:gd name="T10" fmla="*/ 2885 w 3761"/>
              <a:gd name="T11" fmla="*/ 869 h 1600"/>
              <a:gd name="T12" fmla="*/ 655 w 3761"/>
              <a:gd name="T13" fmla="*/ 869 h 1600"/>
              <a:gd name="T14" fmla="*/ 157 w 3761"/>
              <a:gd name="T15" fmla="*/ 1600 h 1600"/>
              <a:gd name="T16" fmla="*/ 0 w 3761"/>
              <a:gd name="T17" fmla="*/ 1600 h 1600"/>
              <a:gd name="T18" fmla="*/ 0 w 3761"/>
              <a:gd name="T19" fmla="*/ 1600 h 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761" h="1600">
                <a:moveTo>
                  <a:pt x="0" y="1600"/>
                </a:moveTo>
                <a:lnTo>
                  <a:pt x="553" y="759"/>
                </a:lnTo>
                <a:lnTo>
                  <a:pt x="2839" y="759"/>
                </a:lnTo>
                <a:lnTo>
                  <a:pt x="3604" y="0"/>
                </a:lnTo>
                <a:lnTo>
                  <a:pt x="3761" y="0"/>
                </a:lnTo>
                <a:lnTo>
                  <a:pt x="2885" y="869"/>
                </a:lnTo>
                <a:lnTo>
                  <a:pt x="655" y="869"/>
                </a:lnTo>
                <a:lnTo>
                  <a:pt x="157" y="1600"/>
                </a:lnTo>
                <a:lnTo>
                  <a:pt x="0" y="1600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Freeform 111">
            <a:extLst>
              <a:ext uri="{FF2B5EF4-FFF2-40B4-BE49-F238E27FC236}">
                <a16:creationId xmlns="" xmlns:a16="http://schemas.microsoft.com/office/drawing/2014/main" id="{00000000-0008-0000-0100-000031000000}"/>
              </a:ext>
            </a:extLst>
          </xdr:cNvPr>
          <xdr:cNvSpPr>
            <a:spLocks/>
          </xdr:cNvSpPr>
        </xdr:nvSpPr>
        <xdr:spPr bwMode="auto">
          <a:xfrm>
            <a:off x="317583" y="266307"/>
            <a:ext cx="13324" cy="13919"/>
          </a:xfrm>
          <a:custGeom>
            <a:avLst/>
            <a:gdLst>
              <a:gd name="T0" fmla="*/ 83 w 166"/>
              <a:gd name="T1" fmla="*/ 174 h 174"/>
              <a:gd name="T2" fmla="*/ 138 w 166"/>
              <a:gd name="T3" fmla="*/ 147 h 174"/>
              <a:gd name="T4" fmla="*/ 166 w 166"/>
              <a:gd name="T5" fmla="*/ 92 h 174"/>
              <a:gd name="T6" fmla="*/ 138 w 166"/>
              <a:gd name="T7" fmla="*/ 28 h 174"/>
              <a:gd name="T8" fmla="*/ 83 w 166"/>
              <a:gd name="T9" fmla="*/ 0 h 174"/>
              <a:gd name="T10" fmla="*/ 18 w 166"/>
              <a:gd name="T11" fmla="*/ 28 h 174"/>
              <a:gd name="T12" fmla="*/ 0 w 166"/>
              <a:gd name="T13" fmla="*/ 92 h 174"/>
              <a:gd name="T14" fmla="*/ 18 w 166"/>
              <a:gd name="T15" fmla="*/ 147 h 174"/>
              <a:gd name="T16" fmla="*/ 83 w 166"/>
              <a:gd name="T17" fmla="*/ 174 h 174"/>
              <a:gd name="T18" fmla="*/ 83 w 16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66" h="174">
                <a:moveTo>
                  <a:pt x="83" y="174"/>
                </a:moveTo>
                <a:lnTo>
                  <a:pt x="138" y="147"/>
                </a:lnTo>
                <a:lnTo>
                  <a:pt x="166" y="92"/>
                </a:lnTo>
                <a:lnTo>
                  <a:pt x="138" y="28"/>
                </a:lnTo>
                <a:lnTo>
                  <a:pt x="83" y="0"/>
                </a:lnTo>
                <a:lnTo>
                  <a:pt x="18" y="28"/>
                </a:lnTo>
                <a:lnTo>
                  <a:pt x="0" y="92"/>
                </a:lnTo>
                <a:lnTo>
                  <a:pt x="18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0" name="Freeform 112">
            <a:extLst>
              <a:ext uri="{FF2B5EF4-FFF2-40B4-BE49-F238E27FC236}">
                <a16:creationId xmlns="" xmlns:a16="http://schemas.microsoft.com/office/drawing/2014/main" id="{00000000-0008-0000-0100-000032000000}"/>
              </a:ext>
            </a:extLst>
          </xdr:cNvPr>
          <xdr:cNvSpPr>
            <a:spLocks/>
          </xdr:cNvSpPr>
        </xdr:nvSpPr>
        <xdr:spPr bwMode="auto">
          <a:xfrm>
            <a:off x="358924" y="267080"/>
            <a:ext cx="13324" cy="13146"/>
          </a:xfrm>
          <a:custGeom>
            <a:avLst/>
            <a:gdLst>
              <a:gd name="T0" fmla="*/ 83 w 166"/>
              <a:gd name="T1" fmla="*/ 165 h 165"/>
              <a:gd name="T2" fmla="*/ 111 w 166"/>
              <a:gd name="T3" fmla="*/ 156 h 165"/>
              <a:gd name="T4" fmla="*/ 139 w 166"/>
              <a:gd name="T5" fmla="*/ 147 h 165"/>
              <a:gd name="T6" fmla="*/ 148 w 166"/>
              <a:gd name="T7" fmla="*/ 110 h 165"/>
              <a:gd name="T8" fmla="*/ 166 w 166"/>
              <a:gd name="T9" fmla="*/ 83 h 165"/>
              <a:gd name="T10" fmla="*/ 148 w 166"/>
              <a:gd name="T11" fmla="*/ 46 h 165"/>
              <a:gd name="T12" fmla="*/ 139 w 166"/>
              <a:gd name="T13" fmla="*/ 19 h 165"/>
              <a:gd name="T14" fmla="*/ 111 w 166"/>
              <a:gd name="T15" fmla="*/ 0 h 165"/>
              <a:gd name="T16" fmla="*/ 83 w 166"/>
              <a:gd name="T17" fmla="*/ 0 h 165"/>
              <a:gd name="T18" fmla="*/ 37 w 166"/>
              <a:gd name="T19" fmla="*/ 0 h 165"/>
              <a:gd name="T20" fmla="*/ 19 w 166"/>
              <a:gd name="T21" fmla="*/ 19 h 165"/>
              <a:gd name="T22" fmla="*/ 0 w 166"/>
              <a:gd name="T23" fmla="*/ 46 h 165"/>
              <a:gd name="T24" fmla="*/ 0 w 166"/>
              <a:gd name="T25" fmla="*/ 83 h 165"/>
              <a:gd name="T26" fmla="*/ 19 w 166"/>
              <a:gd name="T27" fmla="*/ 147 h 165"/>
              <a:gd name="T28" fmla="*/ 83 w 166"/>
              <a:gd name="T29" fmla="*/ 165 h 165"/>
              <a:gd name="T30" fmla="*/ 83 w 166"/>
              <a:gd name="T31" fmla="*/ 165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66" h="165">
                <a:moveTo>
                  <a:pt x="83" y="165"/>
                </a:moveTo>
                <a:lnTo>
                  <a:pt x="111" y="156"/>
                </a:lnTo>
                <a:lnTo>
                  <a:pt x="139" y="147"/>
                </a:lnTo>
                <a:lnTo>
                  <a:pt x="148" y="110"/>
                </a:lnTo>
                <a:lnTo>
                  <a:pt x="166" y="83"/>
                </a:lnTo>
                <a:lnTo>
                  <a:pt x="148" y="46"/>
                </a:lnTo>
                <a:lnTo>
                  <a:pt x="139" y="19"/>
                </a:lnTo>
                <a:lnTo>
                  <a:pt x="111" y="0"/>
                </a:lnTo>
                <a:lnTo>
                  <a:pt x="83" y="0"/>
                </a:lnTo>
                <a:lnTo>
                  <a:pt x="37" y="0"/>
                </a:lnTo>
                <a:lnTo>
                  <a:pt x="19" y="19"/>
                </a:lnTo>
                <a:lnTo>
                  <a:pt x="0" y="46"/>
                </a:lnTo>
                <a:lnTo>
                  <a:pt x="0" y="83"/>
                </a:lnTo>
                <a:lnTo>
                  <a:pt x="19" y="147"/>
                </a:lnTo>
                <a:lnTo>
                  <a:pt x="83" y="165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51" name="Line 157">
            <a:extLst>
              <a:ext uri="{FF2B5EF4-FFF2-40B4-BE49-F238E27FC236}">
                <a16:creationId xmlns="" xmlns:a16="http://schemas.microsoft.com/office/drawing/2014/main" id="{00000000-0008-0000-0100-000033000000}"/>
              </a:ext>
            </a:extLst>
          </xdr:cNvPr>
          <xdr:cNvCxnSpPr/>
        </xdr:nvCxnSpPr>
        <xdr:spPr bwMode="auto">
          <a:xfrm flipV="1">
            <a:off x="492524" y="139191"/>
            <a:ext cx="149720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2" name="Line 156">
            <a:extLst>
              <a:ext uri="{FF2B5EF4-FFF2-40B4-BE49-F238E27FC236}">
                <a16:creationId xmlns="" xmlns:a16="http://schemas.microsoft.com/office/drawing/2014/main" id="{00000000-0008-0000-0100-000034000000}"/>
              </a:ext>
            </a:extLst>
          </xdr:cNvPr>
          <xdr:cNvCxnSpPr/>
        </xdr:nvCxnSpPr>
        <xdr:spPr bwMode="auto">
          <a:xfrm flipH="1" flipV="1">
            <a:off x="385454" y="235554"/>
            <a:ext cx="107189" cy="28908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3" name="Line 158">
            <a:extLst>
              <a:ext uri="{FF2B5EF4-FFF2-40B4-BE49-F238E27FC236}">
                <a16:creationId xmlns="" xmlns:a16="http://schemas.microsoft.com/office/drawing/2014/main" id="{00000000-0008-0000-0100-000035000000}"/>
              </a:ext>
            </a:extLst>
          </xdr:cNvPr>
          <xdr:cNvCxnSpPr/>
        </xdr:nvCxnSpPr>
        <xdr:spPr bwMode="auto">
          <a:xfrm flipV="1">
            <a:off x="278383" y="235554"/>
            <a:ext cx="107011" cy="28914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4" name="Line 154">
            <a:extLst>
              <a:ext uri="{FF2B5EF4-FFF2-40B4-BE49-F238E27FC236}">
                <a16:creationId xmlns="" xmlns:a16="http://schemas.microsoft.com/office/drawing/2014/main" id="{00000000-0008-0000-0100-000036000000}"/>
              </a:ext>
            </a:extLst>
          </xdr:cNvPr>
          <xdr:cNvCxnSpPr/>
        </xdr:nvCxnSpPr>
        <xdr:spPr bwMode="auto">
          <a:xfrm flipH="1" flipV="1">
            <a:off x="139192" y="139191"/>
            <a:ext cx="139192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5" name="Line 160">
            <a:extLst>
              <a:ext uri="{FF2B5EF4-FFF2-40B4-BE49-F238E27FC236}">
                <a16:creationId xmlns="" xmlns:a16="http://schemas.microsoft.com/office/drawing/2014/main" id="{00000000-0008-0000-0100-000037000000}"/>
              </a:ext>
            </a:extLst>
          </xdr:cNvPr>
          <xdr:cNvCxnSpPr/>
        </xdr:nvCxnSpPr>
        <xdr:spPr bwMode="auto">
          <a:xfrm flipV="1">
            <a:off x="278383" y="139191"/>
            <a:ext cx="10707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" name="Line 159">
            <a:extLst>
              <a:ext uri="{FF2B5EF4-FFF2-40B4-BE49-F238E27FC236}">
                <a16:creationId xmlns="" xmlns:a16="http://schemas.microsoft.com/office/drawing/2014/main" id="{00000000-0008-0000-0100-000038000000}"/>
              </a:ext>
            </a:extLst>
          </xdr:cNvPr>
          <xdr:cNvCxnSpPr/>
        </xdr:nvCxnSpPr>
        <xdr:spPr bwMode="auto">
          <a:xfrm flipH="1" flipV="1">
            <a:off x="171313" y="139191"/>
            <a:ext cx="10701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161">
            <a:extLst>
              <a:ext uri="{FF2B5EF4-FFF2-40B4-BE49-F238E27FC236}">
                <a16:creationId xmlns="" xmlns:a16="http://schemas.microsoft.com/office/drawing/2014/main" id="{00000000-0008-0000-0100-000039000000}"/>
              </a:ext>
            </a:extLst>
          </xdr:cNvPr>
          <xdr:cNvCxnSpPr/>
        </xdr:nvCxnSpPr>
        <xdr:spPr bwMode="auto">
          <a:xfrm>
            <a:off x="139192" y="139191"/>
            <a:ext cx="32121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8" name="Line 142">
            <a:extLst>
              <a:ext uri="{FF2B5EF4-FFF2-40B4-BE49-F238E27FC236}">
                <a16:creationId xmlns="" xmlns:a16="http://schemas.microsoft.com/office/drawing/2014/main" id="{00000000-0008-0000-0100-00003A000000}"/>
              </a:ext>
            </a:extLst>
          </xdr:cNvPr>
          <xdr:cNvCxnSpPr/>
        </xdr:nvCxnSpPr>
        <xdr:spPr bwMode="auto">
          <a:xfrm>
            <a:off x="385454" y="139191"/>
            <a:ext cx="256910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0</xdr:col>
      <xdr:colOff>1085850</xdr:colOff>
      <xdr:row>0</xdr:row>
      <xdr:rowOff>450850</xdr:rowOff>
    </xdr:from>
    <xdr:to>
      <xdr:col>0</xdr:col>
      <xdr:colOff>1847850</xdr:colOff>
      <xdr:row>0</xdr:row>
      <xdr:rowOff>473710</xdr:rowOff>
    </xdr:to>
    <xdr:cxnSp macro="">
      <xdr:nvCxnSpPr>
        <xdr:cNvPr id="59" name="Straight Connector 58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CxnSpPr/>
      </xdr:nvCxnSpPr>
      <xdr:spPr>
        <a:xfrm flipV="1">
          <a:off x="428625" y="450850"/>
          <a:ext cx="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1133475</xdr:colOff>
      <xdr:row>0</xdr:row>
      <xdr:rowOff>657225</xdr:rowOff>
    </xdr:from>
    <xdr:to>
      <xdr:col>0</xdr:col>
      <xdr:colOff>1895475</xdr:colOff>
      <xdr:row>0</xdr:row>
      <xdr:rowOff>680085</xdr:rowOff>
    </xdr:to>
    <xdr:cxnSp macro="">
      <xdr:nvCxnSpPr>
        <xdr:cNvPr id="61" name="Straight Connector 60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CxnSpPr/>
      </xdr:nvCxnSpPr>
      <xdr:spPr>
        <a:xfrm flipV="1">
          <a:off x="428625" y="657225"/>
          <a:ext cx="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</xdr:colOff>
      <xdr:row>0</xdr:row>
      <xdr:rowOff>228600</xdr:rowOff>
    </xdr:from>
    <xdr:to>
      <xdr:col>1</xdr:col>
      <xdr:colOff>3175</xdr:colOff>
      <xdr:row>0</xdr:row>
      <xdr:rowOff>251460</xdr:rowOff>
    </xdr:to>
    <xdr:cxnSp macro="">
      <xdr:nvCxnSpPr>
        <xdr:cNvPr id="62" name="Straight Connector 61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CxnSpPr/>
      </xdr:nvCxnSpPr>
      <xdr:spPr>
        <a:xfrm flipV="1">
          <a:off x="431800" y="228600"/>
          <a:ext cx="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</xdr:colOff>
      <xdr:row>0</xdr:row>
      <xdr:rowOff>358775</xdr:rowOff>
    </xdr:from>
    <xdr:to>
      <xdr:col>1</xdr:col>
      <xdr:colOff>3175</xdr:colOff>
      <xdr:row>0</xdr:row>
      <xdr:rowOff>381635</xdr:rowOff>
    </xdr:to>
    <xdr:cxnSp macro="">
      <xdr:nvCxnSpPr>
        <xdr:cNvPr id="63" name="Straight Connector 62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CxnSpPr/>
      </xdr:nvCxnSpPr>
      <xdr:spPr>
        <a:xfrm flipV="1">
          <a:off x="431800" y="358775"/>
          <a:ext cx="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790575</xdr:colOff>
      <xdr:row>0</xdr:row>
      <xdr:rowOff>13335</xdr:rowOff>
    </xdr:to>
    <xdr:cxnSp macro="">
      <xdr:nvCxnSpPr>
        <xdr:cNvPr id="64" name="Straight Connector 6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CxnSpPr/>
      </xdr:nvCxnSpPr>
      <xdr:spPr>
        <a:xfrm flipV="1">
          <a:off x="428625" y="0"/>
          <a:ext cx="790575" cy="1333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762000</xdr:colOff>
      <xdr:row>0</xdr:row>
      <xdr:rowOff>9525</xdr:rowOff>
    </xdr:to>
    <xdr:cxnSp macro="">
      <xdr:nvCxnSpPr>
        <xdr:cNvPr id="65" name="Straight Connector 64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CxnSpPr/>
      </xdr:nvCxnSpPr>
      <xdr:spPr>
        <a:xfrm flipV="1">
          <a:off x="428625" y="0"/>
          <a:ext cx="762000" cy="9525"/>
        </a:xfrm>
        <a:prstGeom prst="line">
          <a:avLst/>
        </a:prstGeom>
        <a:noFill/>
        <a:ln w="15875" cap="flat" cmpd="sng" algn="ctr">
          <a:solidFill>
            <a:srgbClr val="FFFFFF"/>
          </a:solidFill>
          <a:prstDash val="solid"/>
        </a:ln>
        <a:effectLst/>
      </xdr:spPr>
    </xdr:cxnSp>
    <xdr:clientData/>
  </xdr:twoCellAnchor>
  <xdr:twoCellAnchor>
    <xdr:from>
      <xdr:col>1</xdr:col>
      <xdr:colOff>533400</xdr:colOff>
      <xdr:row>0</xdr:row>
      <xdr:rowOff>307975</xdr:rowOff>
    </xdr:from>
    <xdr:to>
      <xdr:col>1</xdr:col>
      <xdr:colOff>1295400</xdr:colOff>
      <xdr:row>0</xdr:row>
      <xdr:rowOff>317500</xdr:rowOff>
    </xdr:to>
    <xdr:cxnSp macro="">
      <xdr:nvCxnSpPr>
        <xdr:cNvPr id="67" name="Straight Connector 66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CxnSpPr/>
      </xdr:nvCxnSpPr>
      <xdr:spPr>
        <a:xfrm flipV="1">
          <a:off x="990600" y="307975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517525</xdr:colOff>
      <xdr:row>0</xdr:row>
      <xdr:rowOff>241300</xdr:rowOff>
    </xdr:from>
    <xdr:to>
      <xdr:col>1</xdr:col>
      <xdr:colOff>1279525</xdr:colOff>
      <xdr:row>0</xdr:row>
      <xdr:rowOff>250825</xdr:rowOff>
    </xdr:to>
    <xdr:cxnSp macro="">
      <xdr:nvCxnSpPr>
        <xdr:cNvPr id="68" name="Straight Connector 67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CxnSpPr/>
      </xdr:nvCxnSpPr>
      <xdr:spPr>
        <a:xfrm flipV="1">
          <a:off x="974725" y="241300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539750</xdr:colOff>
      <xdr:row>0</xdr:row>
      <xdr:rowOff>146050</xdr:rowOff>
    </xdr:from>
    <xdr:to>
      <xdr:col>1</xdr:col>
      <xdr:colOff>1301750</xdr:colOff>
      <xdr:row>0</xdr:row>
      <xdr:rowOff>155575</xdr:rowOff>
    </xdr:to>
    <xdr:cxnSp macro="">
      <xdr:nvCxnSpPr>
        <xdr:cNvPr id="69" name="Straight Connector 68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CxnSpPr/>
      </xdr:nvCxnSpPr>
      <xdr:spPr>
        <a:xfrm flipV="1">
          <a:off x="996950" y="146050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542925</xdr:colOff>
      <xdr:row>0</xdr:row>
      <xdr:rowOff>574675</xdr:rowOff>
    </xdr:from>
    <xdr:to>
      <xdr:col>1</xdr:col>
      <xdr:colOff>1304925</xdr:colOff>
      <xdr:row>0</xdr:row>
      <xdr:rowOff>584200</xdr:rowOff>
    </xdr:to>
    <xdr:cxnSp macro="">
      <xdr:nvCxnSpPr>
        <xdr:cNvPr id="74" name="Straight Connector 7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CxnSpPr/>
      </xdr:nvCxnSpPr>
      <xdr:spPr>
        <a:xfrm flipV="1">
          <a:off x="1000125" y="574675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523875</xdr:colOff>
      <xdr:row>0</xdr:row>
      <xdr:rowOff>495300</xdr:rowOff>
    </xdr:from>
    <xdr:to>
      <xdr:col>1</xdr:col>
      <xdr:colOff>1285875</xdr:colOff>
      <xdr:row>0</xdr:row>
      <xdr:rowOff>504825</xdr:rowOff>
    </xdr:to>
    <xdr:cxnSp macro="">
      <xdr:nvCxnSpPr>
        <xdr:cNvPr id="78" name="Straight Connector 77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CxnSpPr/>
      </xdr:nvCxnSpPr>
      <xdr:spPr>
        <a:xfrm flipV="1">
          <a:off x="981075" y="495300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520700</xdr:colOff>
      <xdr:row>0</xdr:row>
      <xdr:rowOff>400050</xdr:rowOff>
    </xdr:from>
    <xdr:to>
      <xdr:col>1</xdr:col>
      <xdr:colOff>1282700</xdr:colOff>
      <xdr:row>0</xdr:row>
      <xdr:rowOff>409575</xdr:rowOff>
    </xdr:to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V="1">
          <a:off x="977900" y="400050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676275</xdr:colOff>
      <xdr:row>0</xdr:row>
      <xdr:rowOff>647700</xdr:rowOff>
    </xdr:from>
    <xdr:to>
      <xdr:col>1</xdr:col>
      <xdr:colOff>1438275</xdr:colOff>
      <xdr:row>0</xdr:row>
      <xdr:rowOff>657225</xdr:rowOff>
    </xdr:to>
    <xdr:cxnSp macro="">
      <xdr:nvCxnSpPr>
        <xdr:cNvPr id="60" name="Straight Connector 59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CxnSpPr/>
      </xdr:nvCxnSpPr>
      <xdr:spPr>
        <a:xfrm flipV="1">
          <a:off x="1133475" y="647700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0</xdr:row>
      <xdr:rowOff>57150</xdr:rowOff>
    </xdr:from>
    <xdr:to>
      <xdr:col>1</xdr:col>
      <xdr:colOff>454024</xdr:colOff>
      <xdr:row>1</xdr:row>
      <xdr:rowOff>0</xdr:rowOff>
    </xdr:to>
    <xdr:grpSp>
      <xdr:nvGrpSpPr>
        <xdr:cNvPr id="842" name="Canvas 64">
          <a:extLst>
            <a:ext uri="{FF2B5EF4-FFF2-40B4-BE49-F238E27FC236}">
              <a16:creationId xmlns="" xmlns:a16="http://schemas.microsoft.com/office/drawing/2014/main" id="{00000000-0008-0000-0200-00004A030000}"/>
            </a:ext>
          </a:extLst>
        </xdr:cNvPr>
        <xdr:cNvGrpSpPr/>
      </xdr:nvGrpSpPr>
      <xdr:grpSpPr>
        <a:xfrm>
          <a:off x="34924" y="57150"/>
          <a:ext cx="857250" cy="695325"/>
          <a:chOff x="0" y="0"/>
          <a:chExt cx="768350" cy="567055"/>
        </a:xfrm>
      </xdr:grpSpPr>
      <xdr:sp macro="" textlink="">
        <xdr:nvSpPr>
          <xdr:cNvPr id="843" name="Rectangle 842">
            <a:extLst>
              <a:ext uri="{FF2B5EF4-FFF2-40B4-BE49-F238E27FC236}">
                <a16:creationId xmlns="" xmlns:a16="http://schemas.microsoft.com/office/drawing/2014/main" id="{00000000-0008-0000-0200-00004B030000}"/>
              </a:ext>
            </a:extLst>
          </xdr:cNvPr>
          <xdr:cNvSpPr/>
        </xdr:nvSpPr>
        <xdr:spPr>
          <a:xfrm>
            <a:off x="0" y="0"/>
            <a:ext cx="768350" cy="567055"/>
          </a:xfrm>
          <a:prstGeom prst="rect">
            <a:avLst/>
          </a:prstGeom>
          <a:noFill/>
        </xdr:spPr>
      </xdr:sp>
      <xdr:sp macro="" textlink="">
        <xdr:nvSpPr>
          <xdr:cNvPr id="844" name="Freeform 65">
            <a:extLst>
              <a:ext uri="{FF2B5EF4-FFF2-40B4-BE49-F238E27FC236}">
                <a16:creationId xmlns="" xmlns:a16="http://schemas.microsoft.com/office/drawing/2014/main" id="{00000000-0008-0000-0200-00004C030000}"/>
              </a:ext>
            </a:extLst>
          </xdr:cNvPr>
          <xdr:cNvSpPr>
            <a:spLocks/>
          </xdr:cNvSpPr>
        </xdr:nvSpPr>
        <xdr:spPr bwMode="auto">
          <a:xfrm>
            <a:off x="103502" y="0"/>
            <a:ext cx="570805" cy="567055"/>
          </a:xfrm>
          <a:custGeom>
            <a:avLst/>
            <a:gdLst>
              <a:gd name="T0" fmla="*/ 3927 w 7125"/>
              <a:gd name="T1" fmla="*/ 7057 h 7084"/>
              <a:gd name="T2" fmla="*/ 4618 w 7125"/>
              <a:gd name="T3" fmla="*/ 6911 h 7084"/>
              <a:gd name="T4" fmla="*/ 5254 w 7125"/>
              <a:gd name="T5" fmla="*/ 6645 h 7084"/>
              <a:gd name="T6" fmla="*/ 5816 w 7125"/>
              <a:gd name="T7" fmla="*/ 6262 h 7084"/>
              <a:gd name="T8" fmla="*/ 6305 w 7125"/>
              <a:gd name="T9" fmla="*/ 5777 h 7084"/>
              <a:gd name="T10" fmla="*/ 6692 w 7125"/>
              <a:gd name="T11" fmla="*/ 5219 h 7084"/>
              <a:gd name="T12" fmla="*/ 6959 w 7125"/>
              <a:gd name="T13" fmla="*/ 4589 h 7084"/>
              <a:gd name="T14" fmla="*/ 7107 w 7125"/>
              <a:gd name="T15" fmla="*/ 3894 h 7084"/>
              <a:gd name="T16" fmla="*/ 7107 w 7125"/>
              <a:gd name="T17" fmla="*/ 3181 h 7084"/>
              <a:gd name="T18" fmla="*/ 6959 w 7125"/>
              <a:gd name="T19" fmla="*/ 2486 h 7084"/>
              <a:gd name="T20" fmla="*/ 6692 w 7125"/>
              <a:gd name="T21" fmla="*/ 1847 h 7084"/>
              <a:gd name="T22" fmla="*/ 6305 w 7125"/>
              <a:gd name="T23" fmla="*/ 1289 h 7084"/>
              <a:gd name="T24" fmla="*/ 5816 w 7125"/>
              <a:gd name="T25" fmla="*/ 805 h 7084"/>
              <a:gd name="T26" fmla="*/ 5254 w 7125"/>
              <a:gd name="T27" fmla="*/ 421 h 7084"/>
              <a:gd name="T28" fmla="*/ 4618 w 7125"/>
              <a:gd name="T29" fmla="*/ 156 h 7084"/>
              <a:gd name="T30" fmla="*/ 3927 w 7125"/>
              <a:gd name="T31" fmla="*/ 9 h 7084"/>
              <a:gd name="T32" fmla="*/ 3189 w 7125"/>
              <a:gd name="T33" fmla="*/ 9 h 7084"/>
              <a:gd name="T34" fmla="*/ 2489 w 7125"/>
              <a:gd name="T35" fmla="*/ 156 h 7084"/>
              <a:gd name="T36" fmla="*/ 1853 w 7125"/>
              <a:gd name="T37" fmla="*/ 421 h 7084"/>
              <a:gd name="T38" fmla="*/ 1290 w 7125"/>
              <a:gd name="T39" fmla="*/ 805 h 7084"/>
              <a:gd name="T40" fmla="*/ 811 w 7125"/>
              <a:gd name="T41" fmla="*/ 1289 h 7084"/>
              <a:gd name="T42" fmla="*/ 415 w 7125"/>
              <a:gd name="T43" fmla="*/ 1847 h 7084"/>
              <a:gd name="T44" fmla="*/ 157 w 7125"/>
              <a:gd name="T45" fmla="*/ 2486 h 7084"/>
              <a:gd name="T46" fmla="*/ 9 w 7125"/>
              <a:gd name="T47" fmla="*/ 3181 h 7084"/>
              <a:gd name="T48" fmla="*/ 9 w 7125"/>
              <a:gd name="T49" fmla="*/ 3894 h 7084"/>
              <a:gd name="T50" fmla="*/ 157 w 7125"/>
              <a:gd name="T51" fmla="*/ 4589 h 7084"/>
              <a:gd name="T52" fmla="*/ 415 w 7125"/>
              <a:gd name="T53" fmla="*/ 5219 h 7084"/>
              <a:gd name="T54" fmla="*/ 811 w 7125"/>
              <a:gd name="T55" fmla="*/ 5777 h 7084"/>
              <a:gd name="T56" fmla="*/ 1290 w 7125"/>
              <a:gd name="T57" fmla="*/ 6262 h 7084"/>
              <a:gd name="T58" fmla="*/ 1853 w 7125"/>
              <a:gd name="T59" fmla="*/ 6645 h 7084"/>
              <a:gd name="T60" fmla="*/ 2489 w 7125"/>
              <a:gd name="T61" fmla="*/ 6911 h 7084"/>
              <a:gd name="T62" fmla="*/ 3189 w 7125"/>
              <a:gd name="T63" fmla="*/ 7057 h 7084"/>
              <a:gd name="T64" fmla="*/ 3558 w 7125"/>
              <a:gd name="T65" fmla="*/ 7084 h 70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125" h="7084">
                <a:moveTo>
                  <a:pt x="3558" y="7084"/>
                </a:moveTo>
                <a:lnTo>
                  <a:pt x="3927" y="7057"/>
                </a:lnTo>
                <a:lnTo>
                  <a:pt x="4277" y="7002"/>
                </a:lnTo>
                <a:lnTo>
                  <a:pt x="4618" y="6911"/>
                </a:lnTo>
                <a:lnTo>
                  <a:pt x="4950" y="6801"/>
                </a:lnTo>
                <a:lnTo>
                  <a:pt x="5254" y="6645"/>
                </a:lnTo>
                <a:lnTo>
                  <a:pt x="5549" y="6472"/>
                </a:lnTo>
                <a:lnTo>
                  <a:pt x="5816" y="6262"/>
                </a:lnTo>
                <a:lnTo>
                  <a:pt x="6084" y="6042"/>
                </a:lnTo>
                <a:lnTo>
                  <a:pt x="6305" y="5777"/>
                </a:lnTo>
                <a:lnTo>
                  <a:pt x="6517" y="5512"/>
                </a:lnTo>
                <a:lnTo>
                  <a:pt x="6692" y="5219"/>
                </a:lnTo>
                <a:lnTo>
                  <a:pt x="6840" y="4909"/>
                </a:lnTo>
                <a:lnTo>
                  <a:pt x="6959" y="4589"/>
                </a:lnTo>
                <a:lnTo>
                  <a:pt x="7052" y="4241"/>
                </a:lnTo>
                <a:lnTo>
                  <a:pt x="7107" y="3894"/>
                </a:lnTo>
                <a:lnTo>
                  <a:pt x="7125" y="3547"/>
                </a:lnTo>
                <a:lnTo>
                  <a:pt x="7107" y="3181"/>
                </a:lnTo>
                <a:lnTo>
                  <a:pt x="7052" y="2825"/>
                </a:lnTo>
                <a:lnTo>
                  <a:pt x="6959" y="2486"/>
                </a:lnTo>
                <a:lnTo>
                  <a:pt x="6840" y="2157"/>
                </a:lnTo>
                <a:lnTo>
                  <a:pt x="6692" y="1847"/>
                </a:lnTo>
                <a:lnTo>
                  <a:pt x="6517" y="1554"/>
                </a:lnTo>
                <a:lnTo>
                  <a:pt x="6305" y="1289"/>
                </a:lnTo>
                <a:lnTo>
                  <a:pt x="6084" y="1033"/>
                </a:lnTo>
                <a:lnTo>
                  <a:pt x="5816" y="805"/>
                </a:lnTo>
                <a:lnTo>
                  <a:pt x="5549" y="594"/>
                </a:lnTo>
                <a:lnTo>
                  <a:pt x="5254" y="421"/>
                </a:lnTo>
                <a:lnTo>
                  <a:pt x="4950" y="274"/>
                </a:lnTo>
                <a:lnTo>
                  <a:pt x="4618" y="156"/>
                </a:lnTo>
                <a:lnTo>
                  <a:pt x="4277" y="73"/>
                </a:lnTo>
                <a:lnTo>
                  <a:pt x="3927" y="9"/>
                </a:lnTo>
                <a:lnTo>
                  <a:pt x="3558" y="0"/>
                </a:lnTo>
                <a:lnTo>
                  <a:pt x="3189" y="9"/>
                </a:lnTo>
                <a:lnTo>
                  <a:pt x="2839" y="73"/>
                </a:lnTo>
                <a:lnTo>
                  <a:pt x="2489" y="156"/>
                </a:lnTo>
                <a:lnTo>
                  <a:pt x="2175" y="274"/>
                </a:lnTo>
                <a:lnTo>
                  <a:pt x="1853" y="421"/>
                </a:lnTo>
                <a:lnTo>
                  <a:pt x="1567" y="594"/>
                </a:lnTo>
                <a:lnTo>
                  <a:pt x="1290" y="805"/>
                </a:lnTo>
                <a:lnTo>
                  <a:pt x="1041" y="1033"/>
                </a:lnTo>
                <a:lnTo>
                  <a:pt x="811" y="1289"/>
                </a:lnTo>
                <a:lnTo>
                  <a:pt x="599" y="1554"/>
                </a:lnTo>
                <a:lnTo>
                  <a:pt x="415" y="1847"/>
                </a:lnTo>
                <a:lnTo>
                  <a:pt x="276" y="2157"/>
                </a:lnTo>
                <a:lnTo>
                  <a:pt x="157" y="2486"/>
                </a:lnTo>
                <a:lnTo>
                  <a:pt x="74" y="2825"/>
                </a:lnTo>
                <a:lnTo>
                  <a:pt x="9" y="3181"/>
                </a:lnTo>
                <a:lnTo>
                  <a:pt x="0" y="3547"/>
                </a:lnTo>
                <a:lnTo>
                  <a:pt x="9" y="3894"/>
                </a:lnTo>
                <a:lnTo>
                  <a:pt x="74" y="4241"/>
                </a:lnTo>
                <a:lnTo>
                  <a:pt x="157" y="4589"/>
                </a:lnTo>
                <a:lnTo>
                  <a:pt x="276" y="4909"/>
                </a:lnTo>
                <a:lnTo>
                  <a:pt x="415" y="5219"/>
                </a:lnTo>
                <a:lnTo>
                  <a:pt x="599" y="5512"/>
                </a:lnTo>
                <a:lnTo>
                  <a:pt x="811" y="5777"/>
                </a:lnTo>
                <a:lnTo>
                  <a:pt x="1041" y="6042"/>
                </a:lnTo>
                <a:lnTo>
                  <a:pt x="1290" y="6262"/>
                </a:lnTo>
                <a:lnTo>
                  <a:pt x="1567" y="6472"/>
                </a:lnTo>
                <a:lnTo>
                  <a:pt x="1853" y="6645"/>
                </a:lnTo>
                <a:lnTo>
                  <a:pt x="2175" y="6801"/>
                </a:lnTo>
                <a:lnTo>
                  <a:pt x="2489" y="6911"/>
                </a:lnTo>
                <a:lnTo>
                  <a:pt x="2839" y="7002"/>
                </a:lnTo>
                <a:lnTo>
                  <a:pt x="3189" y="7057"/>
                </a:lnTo>
                <a:lnTo>
                  <a:pt x="3558" y="7084"/>
                </a:lnTo>
                <a:close/>
              </a:path>
            </a:pathLst>
          </a:custGeom>
          <a:solidFill>
            <a:srgbClr val="00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45" name="Freeform 66">
            <a:extLst>
              <a:ext uri="{FF2B5EF4-FFF2-40B4-BE49-F238E27FC236}">
                <a16:creationId xmlns="" xmlns:a16="http://schemas.microsoft.com/office/drawing/2014/main" id="{00000000-0008-0000-0200-00004D030000}"/>
              </a:ext>
            </a:extLst>
          </xdr:cNvPr>
          <xdr:cNvSpPr>
            <a:spLocks/>
          </xdr:cNvSpPr>
        </xdr:nvSpPr>
        <xdr:spPr bwMode="auto">
          <a:xfrm>
            <a:off x="123429" y="19748"/>
            <a:ext cx="530297" cy="526071"/>
          </a:xfrm>
          <a:custGeom>
            <a:avLst/>
            <a:gdLst>
              <a:gd name="T0" fmla="*/ 3632 w 6618"/>
              <a:gd name="T1" fmla="*/ 6554 h 6572"/>
              <a:gd name="T2" fmla="*/ 4277 w 6618"/>
              <a:gd name="T3" fmla="*/ 6417 h 6572"/>
              <a:gd name="T4" fmla="*/ 4876 w 6618"/>
              <a:gd name="T5" fmla="*/ 6170 h 6572"/>
              <a:gd name="T6" fmla="*/ 5401 w 6618"/>
              <a:gd name="T7" fmla="*/ 5813 h 6572"/>
              <a:gd name="T8" fmla="*/ 5853 w 6618"/>
              <a:gd name="T9" fmla="*/ 5375 h 6572"/>
              <a:gd name="T10" fmla="*/ 6213 w 6618"/>
              <a:gd name="T11" fmla="*/ 4845 h 6572"/>
              <a:gd name="T12" fmla="*/ 6461 w 6618"/>
              <a:gd name="T13" fmla="*/ 4250 h 6572"/>
              <a:gd name="T14" fmla="*/ 6600 w 6618"/>
              <a:gd name="T15" fmla="*/ 3620 h 6572"/>
              <a:gd name="T16" fmla="*/ 6600 w 6618"/>
              <a:gd name="T17" fmla="*/ 2952 h 6572"/>
              <a:gd name="T18" fmla="*/ 6461 w 6618"/>
              <a:gd name="T19" fmla="*/ 2303 h 6572"/>
              <a:gd name="T20" fmla="*/ 6213 w 6618"/>
              <a:gd name="T21" fmla="*/ 1718 h 6572"/>
              <a:gd name="T22" fmla="*/ 5853 w 6618"/>
              <a:gd name="T23" fmla="*/ 1197 h 6572"/>
              <a:gd name="T24" fmla="*/ 5401 w 6618"/>
              <a:gd name="T25" fmla="*/ 749 h 6572"/>
              <a:gd name="T26" fmla="*/ 4876 w 6618"/>
              <a:gd name="T27" fmla="*/ 393 h 6572"/>
              <a:gd name="T28" fmla="*/ 4277 w 6618"/>
              <a:gd name="T29" fmla="*/ 146 h 6572"/>
              <a:gd name="T30" fmla="*/ 3632 w 6618"/>
              <a:gd name="T31" fmla="*/ 18 h 6572"/>
              <a:gd name="T32" fmla="*/ 2959 w 6618"/>
              <a:gd name="T33" fmla="*/ 18 h 6572"/>
              <a:gd name="T34" fmla="*/ 2313 w 6618"/>
              <a:gd name="T35" fmla="*/ 146 h 6572"/>
              <a:gd name="T36" fmla="*/ 1723 w 6618"/>
              <a:gd name="T37" fmla="*/ 393 h 6572"/>
              <a:gd name="T38" fmla="*/ 1198 w 6618"/>
              <a:gd name="T39" fmla="*/ 749 h 6572"/>
              <a:gd name="T40" fmla="*/ 746 w 6618"/>
              <a:gd name="T41" fmla="*/ 1197 h 6572"/>
              <a:gd name="T42" fmla="*/ 387 w 6618"/>
              <a:gd name="T43" fmla="*/ 1718 h 6572"/>
              <a:gd name="T44" fmla="*/ 138 w 6618"/>
              <a:gd name="T45" fmla="*/ 2303 h 6572"/>
              <a:gd name="T46" fmla="*/ 9 w 6618"/>
              <a:gd name="T47" fmla="*/ 2952 h 6572"/>
              <a:gd name="T48" fmla="*/ 9 w 6618"/>
              <a:gd name="T49" fmla="*/ 3620 h 6572"/>
              <a:gd name="T50" fmla="*/ 138 w 6618"/>
              <a:gd name="T51" fmla="*/ 4250 h 6572"/>
              <a:gd name="T52" fmla="*/ 387 w 6618"/>
              <a:gd name="T53" fmla="*/ 4845 h 6572"/>
              <a:gd name="T54" fmla="*/ 746 w 6618"/>
              <a:gd name="T55" fmla="*/ 5375 h 6572"/>
              <a:gd name="T56" fmla="*/ 1198 w 6618"/>
              <a:gd name="T57" fmla="*/ 5813 h 6572"/>
              <a:gd name="T58" fmla="*/ 1723 w 6618"/>
              <a:gd name="T59" fmla="*/ 6170 h 6572"/>
              <a:gd name="T60" fmla="*/ 2313 w 6618"/>
              <a:gd name="T61" fmla="*/ 6417 h 6572"/>
              <a:gd name="T62" fmla="*/ 2959 w 6618"/>
              <a:gd name="T63" fmla="*/ 6554 h 6572"/>
              <a:gd name="T64" fmla="*/ 3309 w 6618"/>
              <a:gd name="T65" fmla="*/ 6572 h 65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618" h="6572">
                <a:moveTo>
                  <a:pt x="3309" y="6572"/>
                </a:moveTo>
                <a:lnTo>
                  <a:pt x="3632" y="6554"/>
                </a:lnTo>
                <a:lnTo>
                  <a:pt x="3963" y="6508"/>
                </a:lnTo>
                <a:lnTo>
                  <a:pt x="4277" y="6417"/>
                </a:lnTo>
                <a:lnTo>
                  <a:pt x="4590" y="6316"/>
                </a:lnTo>
                <a:lnTo>
                  <a:pt x="4876" y="6170"/>
                </a:lnTo>
                <a:lnTo>
                  <a:pt x="5153" y="6015"/>
                </a:lnTo>
                <a:lnTo>
                  <a:pt x="5401" y="5813"/>
                </a:lnTo>
                <a:lnTo>
                  <a:pt x="5641" y="5612"/>
                </a:lnTo>
                <a:lnTo>
                  <a:pt x="5853" y="5375"/>
                </a:lnTo>
                <a:lnTo>
                  <a:pt x="6047" y="5119"/>
                </a:lnTo>
                <a:lnTo>
                  <a:pt x="6213" y="4845"/>
                </a:lnTo>
                <a:lnTo>
                  <a:pt x="6351" y="4561"/>
                </a:lnTo>
                <a:lnTo>
                  <a:pt x="6461" y="4250"/>
                </a:lnTo>
                <a:lnTo>
                  <a:pt x="6554" y="3949"/>
                </a:lnTo>
                <a:lnTo>
                  <a:pt x="6600" y="3620"/>
                </a:lnTo>
                <a:lnTo>
                  <a:pt x="6618" y="3291"/>
                </a:lnTo>
                <a:lnTo>
                  <a:pt x="6600" y="2952"/>
                </a:lnTo>
                <a:lnTo>
                  <a:pt x="6554" y="2623"/>
                </a:lnTo>
                <a:lnTo>
                  <a:pt x="6461" y="2303"/>
                </a:lnTo>
                <a:lnTo>
                  <a:pt x="6351" y="2011"/>
                </a:lnTo>
                <a:lnTo>
                  <a:pt x="6213" y="1718"/>
                </a:lnTo>
                <a:lnTo>
                  <a:pt x="6047" y="1444"/>
                </a:lnTo>
                <a:lnTo>
                  <a:pt x="5853" y="1197"/>
                </a:lnTo>
                <a:lnTo>
                  <a:pt x="5641" y="960"/>
                </a:lnTo>
                <a:lnTo>
                  <a:pt x="5401" y="749"/>
                </a:lnTo>
                <a:lnTo>
                  <a:pt x="5153" y="558"/>
                </a:lnTo>
                <a:lnTo>
                  <a:pt x="4876" y="393"/>
                </a:lnTo>
                <a:lnTo>
                  <a:pt x="4590" y="265"/>
                </a:lnTo>
                <a:lnTo>
                  <a:pt x="4277" y="146"/>
                </a:lnTo>
                <a:lnTo>
                  <a:pt x="3963" y="64"/>
                </a:lnTo>
                <a:lnTo>
                  <a:pt x="3632" y="18"/>
                </a:lnTo>
                <a:lnTo>
                  <a:pt x="3309" y="0"/>
                </a:lnTo>
                <a:lnTo>
                  <a:pt x="2959" y="18"/>
                </a:lnTo>
                <a:lnTo>
                  <a:pt x="2627" y="64"/>
                </a:lnTo>
                <a:lnTo>
                  <a:pt x="2313" y="146"/>
                </a:lnTo>
                <a:lnTo>
                  <a:pt x="2018" y="265"/>
                </a:lnTo>
                <a:lnTo>
                  <a:pt x="1723" y="393"/>
                </a:lnTo>
                <a:lnTo>
                  <a:pt x="1456" y="558"/>
                </a:lnTo>
                <a:lnTo>
                  <a:pt x="1198" y="749"/>
                </a:lnTo>
                <a:lnTo>
                  <a:pt x="968" y="960"/>
                </a:lnTo>
                <a:lnTo>
                  <a:pt x="746" y="1197"/>
                </a:lnTo>
                <a:lnTo>
                  <a:pt x="562" y="1444"/>
                </a:lnTo>
                <a:lnTo>
                  <a:pt x="387" y="1718"/>
                </a:lnTo>
                <a:lnTo>
                  <a:pt x="258" y="2011"/>
                </a:lnTo>
                <a:lnTo>
                  <a:pt x="138" y="2303"/>
                </a:lnTo>
                <a:lnTo>
                  <a:pt x="64" y="2623"/>
                </a:lnTo>
                <a:lnTo>
                  <a:pt x="9" y="2952"/>
                </a:lnTo>
                <a:lnTo>
                  <a:pt x="0" y="3291"/>
                </a:lnTo>
                <a:lnTo>
                  <a:pt x="9" y="3620"/>
                </a:lnTo>
                <a:lnTo>
                  <a:pt x="64" y="3949"/>
                </a:lnTo>
                <a:lnTo>
                  <a:pt x="138" y="4250"/>
                </a:lnTo>
                <a:lnTo>
                  <a:pt x="258" y="4561"/>
                </a:lnTo>
                <a:lnTo>
                  <a:pt x="387" y="4845"/>
                </a:lnTo>
                <a:lnTo>
                  <a:pt x="562" y="5119"/>
                </a:lnTo>
                <a:lnTo>
                  <a:pt x="746" y="5375"/>
                </a:lnTo>
                <a:lnTo>
                  <a:pt x="968" y="5612"/>
                </a:lnTo>
                <a:lnTo>
                  <a:pt x="1198" y="5813"/>
                </a:lnTo>
                <a:lnTo>
                  <a:pt x="1456" y="6015"/>
                </a:lnTo>
                <a:lnTo>
                  <a:pt x="1723" y="6170"/>
                </a:lnTo>
                <a:lnTo>
                  <a:pt x="2018" y="6316"/>
                </a:lnTo>
                <a:lnTo>
                  <a:pt x="2313" y="6417"/>
                </a:lnTo>
                <a:lnTo>
                  <a:pt x="2627" y="6508"/>
                </a:lnTo>
                <a:lnTo>
                  <a:pt x="2959" y="6554"/>
                </a:lnTo>
                <a:lnTo>
                  <a:pt x="3309" y="6572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46" name="Freeform 67">
            <a:extLst>
              <a:ext uri="{FF2B5EF4-FFF2-40B4-BE49-F238E27FC236}">
                <a16:creationId xmlns="" xmlns:a16="http://schemas.microsoft.com/office/drawing/2014/main" id="{00000000-0008-0000-0200-00004E030000}"/>
              </a:ext>
            </a:extLst>
          </xdr:cNvPr>
          <xdr:cNvSpPr>
            <a:spLocks/>
          </xdr:cNvSpPr>
        </xdr:nvSpPr>
        <xdr:spPr bwMode="auto">
          <a:xfrm>
            <a:off x="142523" y="39556"/>
            <a:ext cx="490442" cy="485801"/>
          </a:xfrm>
          <a:custGeom>
            <a:avLst/>
            <a:gdLst>
              <a:gd name="T0" fmla="*/ 3365 w 6121"/>
              <a:gd name="T1" fmla="*/ 6051 h 6069"/>
              <a:gd name="T2" fmla="*/ 3955 w 6121"/>
              <a:gd name="T3" fmla="*/ 5923 h 6069"/>
              <a:gd name="T4" fmla="*/ 4508 w 6121"/>
              <a:gd name="T5" fmla="*/ 5694 h 6069"/>
              <a:gd name="T6" fmla="*/ 5006 w 6121"/>
              <a:gd name="T7" fmla="*/ 5374 h 6069"/>
              <a:gd name="T8" fmla="*/ 5421 w 6121"/>
              <a:gd name="T9" fmla="*/ 4963 h 6069"/>
              <a:gd name="T10" fmla="*/ 5743 w 6121"/>
              <a:gd name="T11" fmla="*/ 4470 h 6069"/>
              <a:gd name="T12" fmla="*/ 5974 w 6121"/>
              <a:gd name="T13" fmla="*/ 3930 h 6069"/>
              <a:gd name="T14" fmla="*/ 6103 w 6121"/>
              <a:gd name="T15" fmla="*/ 3336 h 6069"/>
              <a:gd name="T16" fmla="*/ 6103 w 6121"/>
              <a:gd name="T17" fmla="*/ 2724 h 6069"/>
              <a:gd name="T18" fmla="*/ 5974 w 6121"/>
              <a:gd name="T19" fmla="*/ 2130 h 6069"/>
              <a:gd name="T20" fmla="*/ 5743 w 6121"/>
              <a:gd name="T21" fmla="*/ 1581 h 6069"/>
              <a:gd name="T22" fmla="*/ 5421 w 6121"/>
              <a:gd name="T23" fmla="*/ 1097 h 6069"/>
              <a:gd name="T24" fmla="*/ 5006 w 6121"/>
              <a:gd name="T25" fmla="*/ 685 h 6069"/>
              <a:gd name="T26" fmla="*/ 4508 w 6121"/>
              <a:gd name="T27" fmla="*/ 365 h 6069"/>
              <a:gd name="T28" fmla="*/ 3955 w 6121"/>
              <a:gd name="T29" fmla="*/ 128 h 6069"/>
              <a:gd name="T30" fmla="*/ 3365 w 6121"/>
              <a:gd name="T31" fmla="*/ 18 h 6069"/>
              <a:gd name="T32" fmla="*/ 2738 w 6121"/>
              <a:gd name="T33" fmla="*/ 18 h 6069"/>
              <a:gd name="T34" fmla="*/ 2148 w 6121"/>
              <a:gd name="T35" fmla="*/ 128 h 6069"/>
              <a:gd name="T36" fmla="*/ 1595 w 6121"/>
              <a:gd name="T37" fmla="*/ 365 h 6069"/>
              <a:gd name="T38" fmla="*/ 1107 w 6121"/>
              <a:gd name="T39" fmla="*/ 685 h 6069"/>
              <a:gd name="T40" fmla="*/ 692 w 6121"/>
              <a:gd name="T41" fmla="*/ 1097 h 6069"/>
              <a:gd name="T42" fmla="*/ 369 w 6121"/>
              <a:gd name="T43" fmla="*/ 1581 h 6069"/>
              <a:gd name="T44" fmla="*/ 129 w 6121"/>
              <a:gd name="T45" fmla="*/ 2130 h 6069"/>
              <a:gd name="T46" fmla="*/ 19 w 6121"/>
              <a:gd name="T47" fmla="*/ 2724 h 6069"/>
              <a:gd name="T48" fmla="*/ 19 w 6121"/>
              <a:gd name="T49" fmla="*/ 3336 h 6069"/>
              <a:gd name="T50" fmla="*/ 129 w 6121"/>
              <a:gd name="T51" fmla="*/ 3930 h 6069"/>
              <a:gd name="T52" fmla="*/ 369 w 6121"/>
              <a:gd name="T53" fmla="*/ 4470 h 6069"/>
              <a:gd name="T54" fmla="*/ 692 w 6121"/>
              <a:gd name="T55" fmla="*/ 4963 h 6069"/>
              <a:gd name="T56" fmla="*/ 1107 w 6121"/>
              <a:gd name="T57" fmla="*/ 5374 h 6069"/>
              <a:gd name="T58" fmla="*/ 1595 w 6121"/>
              <a:gd name="T59" fmla="*/ 5694 h 6069"/>
              <a:gd name="T60" fmla="*/ 2148 w 6121"/>
              <a:gd name="T61" fmla="*/ 5923 h 6069"/>
              <a:gd name="T62" fmla="*/ 2738 w 6121"/>
              <a:gd name="T63" fmla="*/ 6051 h 6069"/>
              <a:gd name="T64" fmla="*/ 3061 w 6121"/>
              <a:gd name="T65" fmla="*/ 6069 h 60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121" h="6069">
                <a:moveTo>
                  <a:pt x="3061" y="6069"/>
                </a:moveTo>
                <a:lnTo>
                  <a:pt x="3365" y="6051"/>
                </a:lnTo>
                <a:lnTo>
                  <a:pt x="3669" y="6005"/>
                </a:lnTo>
                <a:lnTo>
                  <a:pt x="3955" y="5923"/>
                </a:lnTo>
                <a:lnTo>
                  <a:pt x="4241" y="5832"/>
                </a:lnTo>
                <a:lnTo>
                  <a:pt x="4508" y="5694"/>
                </a:lnTo>
                <a:lnTo>
                  <a:pt x="4766" y="5548"/>
                </a:lnTo>
                <a:lnTo>
                  <a:pt x="5006" y="5374"/>
                </a:lnTo>
                <a:lnTo>
                  <a:pt x="5218" y="5173"/>
                </a:lnTo>
                <a:lnTo>
                  <a:pt x="5421" y="4963"/>
                </a:lnTo>
                <a:lnTo>
                  <a:pt x="5596" y="4725"/>
                </a:lnTo>
                <a:lnTo>
                  <a:pt x="5743" y="4470"/>
                </a:lnTo>
                <a:lnTo>
                  <a:pt x="5881" y="4214"/>
                </a:lnTo>
                <a:lnTo>
                  <a:pt x="5974" y="3930"/>
                </a:lnTo>
                <a:lnTo>
                  <a:pt x="6057" y="3638"/>
                </a:lnTo>
                <a:lnTo>
                  <a:pt x="6103" y="3336"/>
                </a:lnTo>
                <a:lnTo>
                  <a:pt x="6121" y="3034"/>
                </a:lnTo>
                <a:lnTo>
                  <a:pt x="6103" y="2724"/>
                </a:lnTo>
                <a:lnTo>
                  <a:pt x="6057" y="2422"/>
                </a:lnTo>
                <a:lnTo>
                  <a:pt x="5974" y="2130"/>
                </a:lnTo>
                <a:lnTo>
                  <a:pt x="5881" y="1855"/>
                </a:lnTo>
                <a:lnTo>
                  <a:pt x="5743" y="1581"/>
                </a:lnTo>
                <a:lnTo>
                  <a:pt x="5596" y="1343"/>
                </a:lnTo>
                <a:lnTo>
                  <a:pt x="5421" y="1097"/>
                </a:lnTo>
                <a:lnTo>
                  <a:pt x="5218" y="886"/>
                </a:lnTo>
                <a:lnTo>
                  <a:pt x="5006" y="685"/>
                </a:lnTo>
                <a:lnTo>
                  <a:pt x="4766" y="512"/>
                </a:lnTo>
                <a:lnTo>
                  <a:pt x="4508" y="365"/>
                </a:lnTo>
                <a:lnTo>
                  <a:pt x="4241" y="237"/>
                </a:lnTo>
                <a:lnTo>
                  <a:pt x="3955" y="128"/>
                </a:lnTo>
                <a:lnTo>
                  <a:pt x="3669" y="55"/>
                </a:lnTo>
                <a:lnTo>
                  <a:pt x="3365" y="18"/>
                </a:lnTo>
                <a:lnTo>
                  <a:pt x="3061" y="0"/>
                </a:lnTo>
                <a:lnTo>
                  <a:pt x="2738" y="18"/>
                </a:lnTo>
                <a:lnTo>
                  <a:pt x="2443" y="55"/>
                </a:lnTo>
                <a:lnTo>
                  <a:pt x="2148" y="128"/>
                </a:lnTo>
                <a:lnTo>
                  <a:pt x="1872" y="237"/>
                </a:lnTo>
                <a:lnTo>
                  <a:pt x="1595" y="365"/>
                </a:lnTo>
                <a:lnTo>
                  <a:pt x="1346" y="512"/>
                </a:lnTo>
                <a:lnTo>
                  <a:pt x="1107" y="685"/>
                </a:lnTo>
                <a:lnTo>
                  <a:pt x="895" y="886"/>
                </a:lnTo>
                <a:lnTo>
                  <a:pt x="692" y="1097"/>
                </a:lnTo>
                <a:lnTo>
                  <a:pt x="517" y="1343"/>
                </a:lnTo>
                <a:lnTo>
                  <a:pt x="369" y="1581"/>
                </a:lnTo>
                <a:lnTo>
                  <a:pt x="240" y="1855"/>
                </a:lnTo>
                <a:lnTo>
                  <a:pt x="129" y="2130"/>
                </a:lnTo>
                <a:lnTo>
                  <a:pt x="56" y="2422"/>
                </a:lnTo>
                <a:lnTo>
                  <a:pt x="19" y="2724"/>
                </a:lnTo>
                <a:lnTo>
                  <a:pt x="0" y="3034"/>
                </a:lnTo>
                <a:lnTo>
                  <a:pt x="19" y="3336"/>
                </a:lnTo>
                <a:lnTo>
                  <a:pt x="56" y="3638"/>
                </a:lnTo>
                <a:lnTo>
                  <a:pt x="129" y="3930"/>
                </a:lnTo>
                <a:lnTo>
                  <a:pt x="240" y="4214"/>
                </a:lnTo>
                <a:lnTo>
                  <a:pt x="369" y="4470"/>
                </a:lnTo>
                <a:lnTo>
                  <a:pt x="517" y="4725"/>
                </a:lnTo>
                <a:lnTo>
                  <a:pt x="692" y="4963"/>
                </a:lnTo>
                <a:lnTo>
                  <a:pt x="895" y="5173"/>
                </a:lnTo>
                <a:lnTo>
                  <a:pt x="1107" y="5374"/>
                </a:lnTo>
                <a:lnTo>
                  <a:pt x="1346" y="5548"/>
                </a:lnTo>
                <a:lnTo>
                  <a:pt x="1595" y="5694"/>
                </a:lnTo>
                <a:lnTo>
                  <a:pt x="1872" y="5832"/>
                </a:lnTo>
                <a:lnTo>
                  <a:pt x="2148" y="5923"/>
                </a:lnTo>
                <a:lnTo>
                  <a:pt x="2443" y="6005"/>
                </a:lnTo>
                <a:lnTo>
                  <a:pt x="2738" y="6051"/>
                </a:lnTo>
                <a:lnTo>
                  <a:pt x="3061" y="6069"/>
                </a:lnTo>
                <a:close/>
              </a:path>
            </a:pathLst>
          </a:custGeom>
          <a:solidFill>
            <a:srgbClr val="00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47" name="Freeform 68">
            <a:extLst>
              <a:ext uri="{FF2B5EF4-FFF2-40B4-BE49-F238E27FC236}">
                <a16:creationId xmlns="" xmlns:a16="http://schemas.microsoft.com/office/drawing/2014/main" id="{00000000-0008-0000-0200-00004F030000}"/>
              </a:ext>
            </a:extLst>
          </xdr:cNvPr>
          <xdr:cNvSpPr>
            <a:spLocks/>
          </xdr:cNvSpPr>
        </xdr:nvSpPr>
        <xdr:spPr bwMode="auto">
          <a:xfrm>
            <a:off x="163342" y="59305"/>
            <a:ext cx="448269" cy="445530"/>
          </a:xfrm>
          <a:custGeom>
            <a:avLst/>
            <a:gdLst>
              <a:gd name="T0" fmla="*/ 3069 w 5595"/>
              <a:gd name="T1" fmla="*/ 5548 h 5566"/>
              <a:gd name="T2" fmla="*/ 3613 w 5595"/>
              <a:gd name="T3" fmla="*/ 5429 h 5566"/>
              <a:gd name="T4" fmla="*/ 4120 w 5595"/>
              <a:gd name="T5" fmla="*/ 5219 h 5566"/>
              <a:gd name="T6" fmla="*/ 4572 w 5595"/>
              <a:gd name="T7" fmla="*/ 4926 h 5566"/>
              <a:gd name="T8" fmla="*/ 4950 w 5595"/>
              <a:gd name="T9" fmla="*/ 4542 h 5566"/>
              <a:gd name="T10" fmla="*/ 5244 w 5595"/>
              <a:gd name="T11" fmla="*/ 4104 h 5566"/>
              <a:gd name="T12" fmla="*/ 5466 w 5595"/>
              <a:gd name="T13" fmla="*/ 3601 h 5566"/>
              <a:gd name="T14" fmla="*/ 5576 w 5595"/>
              <a:gd name="T15" fmla="*/ 3062 h 5566"/>
              <a:gd name="T16" fmla="*/ 5576 w 5595"/>
              <a:gd name="T17" fmla="*/ 2495 h 5566"/>
              <a:gd name="T18" fmla="*/ 5466 w 5595"/>
              <a:gd name="T19" fmla="*/ 1946 h 5566"/>
              <a:gd name="T20" fmla="*/ 5244 w 5595"/>
              <a:gd name="T21" fmla="*/ 1444 h 5566"/>
              <a:gd name="T22" fmla="*/ 4950 w 5595"/>
              <a:gd name="T23" fmla="*/ 1005 h 5566"/>
              <a:gd name="T24" fmla="*/ 4572 w 5595"/>
              <a:gd name="T25" fmla="*/ 621 h 5566"/>
              <a:gd name="T26" fmla="*/ 4120 w 5595"/>
              <a:gd name="T27" fmla="*/ 329 h 5566"/>
              <a:gd name="T28" fmla="*/ 3613 w 5595"/>
              <a:gd name="T29" fmla="*/ 118 h 5566"/>
              <a:gd name="T30" fmla="*/ 3069 w 5595"/>
              <a:gd name="T31" fmla="*/ 9 h 5566"/>
              <a:gd name="T32" fmla="*/ 2507 w 5595"/>
              <a:gd name="T33" fmla="*/ 9 h 5566"/>
              <a:gd name="T34" fmla="*/ 1954 w 5595"/>
              <a:gd name="T35" fmla="*/ 118 h 5566"/>
              <a:gd name="T36" fmla="*/ 1456 w 5595"/>
              <a:gd name="T37" fmla="*/ 329 h 5566"/>
              <a:gd name="T38" fmla="*/ 1004 w 5595"/>
              <a:gd name="T39" fmla="*/ 621 h 5566"/>
              <a:gd name="T40" fmla="*/ 626 w 5595"/>
              <a:gd name="T41" fmla="*/ 1005 h 5566"/>
              <a:gd name="T42" fmla="*/ 322 w 5595"/>
              <a:gd name="T43" fmla="*/ 1444 h 5566"/>
              <a:gd name="T44" fmla="*/ 110 w 5595"/>
              <a:gd name="T45" fmla="*/ 1946 h 5566"/>
              <a:gd name="T46" fmla="*/ 9 w 5595"/>
              <a:gd name="T47" fmla="*/ 2495 h 5566"/>
              <a:gd name="T48" fmla="*/ 9 w 5595"/>
              <a:gd name="T49" fmla="*/ 3062 h 5566"/>
              <a:gd name="T50" fmla="*/ 110 w 5595"/>
              <a:gd name="T51" fmla="*/ 3601 h 5566"/>
              <a:gd name="T52" fmla="*/ 322 w 5595"/>
              <a:gd name="T53" fmla="*/ 4104 h 5566"/>
              <a:gd name="T54" fmla="*/ 626 w 5595"/>
              <a:gd name="T55" fmla="*/ 4542 h 5566"/>
              <a:gd name="T56" fmla="*/ 1004 w 5595"/>
              <a:gd name="T57" fmla="*/ 4926 h 5566"/>
              <a:gd name="T58" fmla="*/ 1456 w 5595"/>
              <a:gd name="T59" fmla="*/ 5219 h 5566"/>
              <a:gd name="T60" fmla="*/ 1954 w 5595"/>
              <a:gd name="T61" fmla="*/ 5429 h 5566"/>
              <a:gd name="T62" fmla="*/ 2507 w 5595"/>
              <a:gd name="T63" fmla="*/ 5548 h 5566"/>
              <a:gd name="T64" fmla="*/ 2793 w 5595"/>
              <a:gd name="T65" fmla="*/ 5566 h 55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5595" h="5566">
                <a:moveTo>
                  <a:pt x="2793" y="5566"/>
                </a:moveTo>
                <a:lnTo>
                  <a:pt x="3069" y="5548"/>
                </a:lnTo>
                <a:lnTo>
                  <a:pt x="3355" y="5502"/>
                </a:lnTo>
                <a:lnTo>
                  <a:pt x="3613" y="5429"/>
                </a:lnTo>
                <a:lnTo>
                  <a:pt x="3880" y="5347"/>
                </a:lnTo>
                <a:lnTo>
                  <a:pt x="4120" y="5219"/>
                </a:lnTo>
                <a:lnTo>
                  <a:pt x="4350" y="5082"/>
                </a:lnTo>
                <a:lnTo>
                  <a:pt x="4572" y="4926"/>
                </a:lnTo>
                <a:lnTo>
                  <a:pt x="4774" y="4753"/>
                </a:lnTo>
                <a:lnTo>
                  <a:pt x="4950" y="4542"/>
                </a:lnTo>
                <a:lnTo>
                  <a:pt x="5115" y="4332"/>
                </a:lnTo>
                <a:lnTo>
                  <a:pt x="5244" y="4104"/>
                </a:lnTo>
                <a:lnTo>
                  <a:pt x="5374" y="3866"/>
                </a:lnTo>
                <a:lnTo>
                  <a:pt x="5466" y="3601"/>
                </a:lnTo>
                <a:lnTo>
                  <a:pt x="5530" y="3336"/>
                </a:lnTo>
                <a:lnTo>
                  <a:pt x="5576" y="3062"/>
                </a:lnTo>
                <a:lnTo>
                  <a:pt x="5595" y="2787"/>
                </a:lnTo>
                <a:lnTo>
                  <a:pt x="5576" y="2495"/>
                </a:lnTo>
                <a:lnTo>
                  <a:pt x="5530" y="2221"/>
                </a:lnTo>
                <a:lnTo>
                  <a:pt x="5466" y="1946"/>
                </a:lnTo>
                <a:lnTo>
                  <a:pt x="5374" y="1700"/>
                </a:lnTo>
                <a:lnTo>
                  <a:pt x="5244" y="1444"/>
                </a:lnTo>
                <a:lnTo>
                  <a:pt x="5115" y="1224"/>
                </a:lnTo>
                <a:lnTo>
                  <a:pt x="4950" y="1005"/>
                </a:lnTo>
                <a:lnTo>
                  <a:pt x="4774" y="813"/>
                </a:lnTo>
                <a:lnTo>
                  <a:pt x="4572" y="621"/>
                </a:lnTo>
                <a:lnTo>
                  <a:pt x="4350" y="466"/>
                </a:lnTo>
                <a:lnTo>
                  <a:pt x="4120" y="329"/>
                </a:lnTo>
                <a:lnTo>
                  <a:pt x="3880" y="210"/>
                </a:lnTo>
                <a:lnTo>
                  <a:pt x="3613" y="118"/>
                </a:lnTo>
                <a:lnTo>
                  <a:pt x="3355" y="54"/>
                </a:lnTo>
                <a:lnTo>
                  <a:pt x="3069" y="9"/>
                </a:lnTo>
                <a:lnTo>
                  <a:pt x="2793" y="0"/>
                </a:lnTo>
                <a:lnTo>
                  <a:pt x="2507" y="9"/>
                </a:lnTo>
                <a:lnTo>
                  <a:pt x="2221" y="54"/>
                </a:lnTo>
                <a:lnTo>
                  <a:pt x="1954" y="118"/>
                </a:lnTo>
                <a:lnTo>
                  <a:pt x="1705" y="210"/>
                </a:lnTo>
                <a:lnTo>
                  <a:pt x="1456" y="329"/>
                </a:lnTo>
                <a:lnTo>
                  <a:pt x="1225" y="466"/>
                </a:lnTo>
                <a:lnTo>
                  <a:pt x="1004" y="621"/>
                </a:lnTo>
                <a:lnTo>
                  <a:pt x="811" y="813"/>
                </a:lnTo>
                <a:lnTo>
                  <a:pt x="626" y="1005"/>
                </a:lnTo>
                <a:lnTo>
                  <a:pt x="470" y="1224"/>
                </a:lnTo>
                <a:lnTo>
                  <a:pt x="322" y="1444"/>
                </a:lnTo>
                <a:lnTo>
                  <a:pt x="212" y="1700"/>
                </a:lnTo>
                <a:lnTo>
                  <a:pt x="110" y="1946"/>
                </a:lnTo>
                <a:lnTo>
                  <a:pt x="46" y="2221"/>
                </a:lnTo>
                <a:lnTo>
                  <a:pt x="9" y="2495"/>
                </a:lnTo>
                <a:lnTo>
                  <a:pt x="0" y="2787"/>
                </a:lnTo>
                <a:lnTo>
                  <a:pt x="9" y="3062"/>
                </a:lnTo>
                <a:lnTo>
                  <a:pt x="46" y="3336"/>
                </a:lnTo>
                <a:lnTo>
                  <a:pt x="110" y="3601"/>
                </a:lnTo>
                <a:lnTo>
                  <a:pt x="212" y="3866"/>
                </a:lnTo>
                <a:lnTo>
                  <a:pt x="322" y="4104"/>
                </a:lnTo>
                <a:lnTo>
                  <a:pt x="470" y="4332"/>
                </a:lnTo>
                <a:lnTo>
                  <a:pt x="626" y="4542"/>
                </a:lnTo>
                <a:lnTo>
                  <a:pt x="811" y="4753"/>
                </a:lnTo>
                <a:lnTo>
                  <a:pt x="1004" y="4926"/>
                </a:lnTo>
                <a:lnTo>
                  <a:pt x="1225" y="5082"/>
                </a:lnTo>
                <a:lnTo>
                  <a:pt x="1456" y="5219"/>
                </a:lnTo>
                <a:lnTo>
                  <a:pt x="1705" y="5347"/>
                </a:lnTo>
                <a:lnTo>
                  <a:pt x="1954" y="5429"/>
                </a:lnTo>
                <a:lnTo>
                  <a:pt x="2221" y="5502"/>
                </a:lnTo>
                <a:lnTo>
                  <a:pt x="2507" y="5548"/>
                </a:lnTo>
                <a:lnTo>
                  <a:pt x="2793" y="5566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48" name="Freeform 69">
            <a:extLst>
              <a:ext uri="{FF2B5EF4-FFF2-40B4-BE49-F238E27FC236}">
                <a16:creationId xmlns="" xmlns:a16="http://schemas.microsoft.com/office/drawing/2014/main" id="{00000000-0008-0000-0200-000050030000}"/>
              </a:ext>
            </a:extLst>
          </xdr:cNvPr>
          <xdr:cNvSpPr>
            <a:spLocks/>
          </xdr:cNvSpPr>
        </xdr:nvSpPr>
        <xdr:spPr bwMode="auto">
          <a:xfrm>
            <a:off x="182020" y="74949"/>
            <a:ext cx="206051" cy="405379"/>
          </a:xfrm>
          <a:custGeom>
            <a:avLst/>
            <a:gdLst>
              <a:gd name="T0" fmla="*/ 2268 w 2572"/>
              <a:gd name="T1" fmla="*/ 5028 h 5064"/>
              <a:gd name="T2" fmla="*/ 1733 w 2572"/>
              <a:gd name="T3" fmla="*/ 4918 h 5064"/>
              <a:gd name="T4" fmla="*/ 1263 w 2572"/>
              <a:gd name="T5" fmla="*/ 4726 h 5064"/>
              <a:gd name="T6" fmla="*/ 858 w 2572"/>
              <a:gd name="T7" fmla="*/ 4443 h 5064"/>
              <a:gd name="T8" fmla="*/ 507 w 2572"/>
              <a:gd name="T9" fmla="*/ 4095 h 5064"/>
              <a:gd name="T10" fmla="*/ 249 w 2572"/>
              <a:gd name="T11" fmla="*/ 3684 h 5064"/>
              <a:gd name="T12" fmla="*/ 74 w 2572"/>
              <a:gd name="T13" fmla="*/ 3218 h 5064"/>
              <a:gd name="T14" fmla="*/ 0 w 2572"/>
              <a:gd name="T15" fmla="*/ 2706 h 5064"/>
              <a:gd name="T16" fmla="*/ 19 w 2572"/>
              <a:gd name="T17" fmla="*/ 2148 h 5064"/>
              <a:gd name="T18" fmla="*/ 129 w 2572"/>
              <a:gd name="T19" fmla="*/ 1646 h 5064"/>
              <a:gd name="T20" fmla="*/ 332 w 2572"/>
              <a:gd name="T21" fmla="*/ 1189 h 5064"/>
              <a:gd name="T22" fmla="*/ 609 w 2572"/>
              <a:gd name="T23" fmla="*/ 805 h 5064"/>
              <a:gd name="T24" fmla="*/ 950 w 2572"/>
              <a:gd name="T25" fmla="*/ 476 h 5064"/>
              <a:gd name="T26" fmla="*/ 1355 w 2572"/>
              <a:gd name="T27" fmla="*/ 238 h 5064"/>
              <a:gd name="T28" fmla="*/ 1807 w 2572"/>
              <a:gd name="T29" fmla="*/ 64 h 5064"/>
              <a:gd name="T30" fmla="*/ 2305 w 2572"/>
              <a:gd name="T31" fmla="*/ 0 h 5064"/>
              <a:gd name="T32" fmla="*/ 2563 w 2572"/>
              <a:gd name="T33" fmla="*/ 265 h 5064"/>
              <a:gd name="T34" fmla="*/ 2084 w 2572"/>
              <a:gd name="T35" fmla="*/ 293 h 5064"/>
              <a:gd name="T36" fmla="*/ 1641 w 2572"/>
              <a:gd name="T37" fmla="*/ 412 h 5064"/>
              <a:gd name="T38" fmla="*/ 1236 w 2572"/>
              <a:gd name="T39" fmla="*/ 604 h 5064"/>
              <a:gd name="T40" fmla="*/ 904 w 2572"/>
              <a:gd name="T41" fmla="*/ 869 h 5064"/>
              <a:gd name="T42" fmla="*/ 609 w 2572"/>
              <a:gd name="T43" fmla="*/ 1189 h 5064"/>
              <a:gd name="T44" fmla="*/ 406 w 2572"/>
              <a:gd name="T45" fmla="*/ 1573 h 5064"/>
              <a:gd name="T46" fmla="*/ 277 w 2572"/>
              <a:gd name="T47" fmla="*/ 1993 h 5064"/>
              <a:gd name="T48" fmla="*/ 231 w 2572"/>
              <a:gd name="T49" fmla="*/ 2468 h 5064"/>
              <a:gd name="T50" fmla="*/ 277 w 2572"/>
              <a:gd name="T51" fmla="*/ 2925 h 5064"/>
              <a:gd name="T52" fmla="*/ 406 w 2572"/>
              <a:gd name="T53" fmla="*/ 3364 h 5064"/>
              <a:gd name="T54" fmla="*/ 600 w 2572"/>
              <a:gd name="T55" fmla="*/ 3766 h 5064"/>
              <a:gd name="T56" fmla="*/ 885 w 2572"/>
              <a:gd name="T57" fmla="*/ 4123 h 5064"/>
              <a:gd name="T58" fmla="*/ 1208 w 2572"/>
              <a:gd name="T59" fmla="*/ 4406 h 5064"/>
              <a:gd name="T60" fmla="*/ 1614 w 2572"/>
              <a:gd name="T61" fmla="*/ 4626 h 5064"/>
              <a:gd name="T62" fmla="*/ 2056 w 2572"/>
              <a:gd name="T63" fmla="*/ 4772 h 5064"/>
              <a:gd name="T64" fmla="*/ 2563 w 2572"/>
              <a:gd name="T65" fmla="*/ 4827 h 5064"/>
              <a:gd name="T66" fmla="*/ 2563 w 2572"/>
              <a:gd name="T67" fmla="*/ 5064 h 50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572" h="5064">
                <a:moveTo>
                  <a:pt x="2563" y="5064"/>
                </a:moveTo>
                <a:lnTo>
                  <a:pt x="2268" y="5028"/>
                </a:lnTo>
                <a:lnTo>
                  <a:pt x="1991" y="4991"/>
                </a:lnTo>
                <a:lnTo>
                  <a:pt x="1733" y="4918"/>
                </a:lnTo>
                <a:lnTo>
                  <a:pt x="1494" y="4836"/>
                </a:lnTo>
                <a:lnTo>
                  <a:pt x="1263" y="4726"/>
                </a:lnTo>
                <a:lnTo>
                  <a:pt x="1051" y="4598"/>
                </a:lnTo>
                <a:lnTo>
                  <a:pt x="858" y="4443"/>
                </a:lnTo>
                <a:lnTo>
                  <a:pt x="683" y="4287"/>
                </a:lnTo>
                <a:lnTo>
                  <a:pt x="507" y="4095"/>
                </a:lnTo>
                <a:lnTo>
                  <a:pt x="378" y="3903"/>
                </a:lnTo>
                <a:lnTo>
                  <a:pt x="249" y="3684"/>
                </a:lnTo>
                <a:lnTo>
                  <a:pt x="157" y="3474"/>
                </a:lnTo>
                <a:lnTo>
                  <a:pt x="74" y="3218"/>
                </a:lnTo>
                <a:lnTo>
                  <a:pt x="28" y="2971"/>
                </a:lnTo>
                <a:lnTo>
                  <a:pt x="0" y="2706"/>
                </a:lnTo>
                <a:lnTo>
                  <a:pt x="0" y="2432"/>
                </a:lnTo>
                <a:lnTo>
                  <a:pt x="19" y="2148"/>
                </a:lnTo>
                <a:lnTo>
                  <a:pt x="65" y="1892"/>
                </a:lnTo>
                <a:lnTo>
                  <a:pt x="129" y="1646"/>
                </a:lnTo>
                <a:lnTo>
                  <a:pt x="222" y="1408"/>
                </a:lnTo>
                <a:lnTo>
                  <a:pt x="332" y="1189"/>
                </a:lnTo>
                <a:lnTo>
                  <a:pt x="461" y="988"/>
                </a:lnTo>
                <a:lnTo>
                  <a:pt x="609" y="805"/>
                </a:lnTo>
                <a:lnTo>
                  <a:pt x="775" y="631"/>
                </a:lnTo>
                <a:lnTo>
                  <a:pt x="950" y="476"/>
                </a:lnTo>
                <a:lnTo>
                  <a:pt x="1143" y="348"/>
                </a:lnTo>
                <a:lnTo>
                  <a:pt x="1355" y="238"/>
                </a:lnTo>
                <a:lnTo>
                  <a:pt x="1577" y="147"/>
                </a:lnTo>
                <a:lnTo>
                  <a:pt x="1807" y="64"/>
                </a:lnTo>
                <a:lnTo>
                  <a:pt x="2056" y="19"/>
                </a:lnTo>
                <a:lnTo>
                  <a:pt x="2305" y="0"/>
                </a:lnTo>
                <a:lnTo>
                  <a:pt x="2572" y="0"/>
                </a:lnTo>
                <a:lnTo>
                  <a:pt x="2563" y="265"/>
                </a:lnTo>
                <a:lnTo>
                  <a:pt x="2305" y="265"/>
                </a:lnTo>
                <a:lnTo>
                  <a:pt x="2084" y="293"/>
                </a:lnTo>
                <a:lnTo>
                  <a:pt x="1844" y="339"/>
                </a:lnTo>
                <a:lnTo>
                  <a:pt x="1641" y="412"/>
                </a:lnTo>
                <a:lnTo>
                  <a:pt x="1429" y="494"/>
                </a:lnTo>
                <a:lnTo>
                  <a:pt x="1236" y="604"/>
                </a:lnTo>
                <a:lnTo>
                  <a:pt x="1051" y="722"/>
                </a:lnTo>
                <a:lnTo>
                  <a:pt x="904" y="869"/>
                </a:lnTo>
                <a:lnTo>
                  <a:pt x="747" y="1015"/>
                </a:lnTo>
                <a:lnTo>
                  <a:pt x="609" y="1189"/>
                </a:lnTo>
                <a:lnTo>
                  <a:pt x="489" y="1371"/>
                </a:lnTo>
                <a:lnTo>
                  <a:pt x="406" y="1573"/>
                </a:lnTo>
                <a:lnTo>
                  <a:pt x="323" y="1774"/>
                </a:lnTo>
                <a:lnTo>
                  <a:pt x="277" y="1993"/>
                </a:lnTo>
                <a:lnTo>
                  <a:pt x="231" y="2222"/>
                </a:lnTo>
                <a:lnTo>
                  <a:pt x="231" y="2468"/>
                </a:lnTo>
                <a:lnTo>
                  <a:pt x="240" y="2697"/>
                </a:lnTo>
                <a:lnTo>
                  <a:pt x="277" y="2925"/>
                </a:lnTo>
                <a:lnTo>
                  <a:pt x="323" y="3145"/>
                </a:lnTo>
                <a:lnTo>
                  <a:pt x="406" y="3364"/>
                </a:lnTo>
                <a:lnTo>
                  <a:pt x="489" y="3565"/>
                </a:lnTo>
                <a:lnTo>
                  <a:pt x="600" y="3766"/>
                </a:lnTo>
                <a:lnTo>
                  <a:pt x="729" y="3949"/>
                </a:lnTo>
                <a:lnTo>
                  <a:pt x="885" y="4123"/>
                </a:lnTo>
                <a:lnTo>
                  <a:pt x="1033" y="4269"/>
                </a:lnTo>
                <a:lnTo>
                  <a:pt x="1208" y="4406"/>
                </a:lnTo>
                <a:lnTo>
                  <a:pt x="1402" y="4525"/>
                </a:lnTo>
                <a:lnTo>
                  <a:pt x="1614" y="4626"/>
                </a:lnTo>
                <a:lnTo>
                  <a:pt x="1826" y="4708"/>
                </a:lnTo>
                <a:lnTo>
                  <a:pt x="2056" y="4772"/>
                </a:lnTo>
                <a:lnTo>
                  <a:pt x="2296" y="4808"/>
                </a:lnTo>
                <a:lnTo>
                  <a:pt x="2563" y="4827"/>
                </a:lnTo>
                <a:lnTo>
                  <a:pt x="2563" y="5064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49" name="Freeform 70">
            <a:extLst>
              <a:ext uri="{FF2B5EF4-FFF2-40B4-BE49-F238E27FC236}">
                <a16:creationId xmlns="" xmlns:a16="http://schemas.microsoft.com/office/drawing/2014/main" id="{00000000-0008-0000-0200-000051030000}"/>
              </a:ext>
            </a:extLst>
          </xdr:cNvPr>
          <xdr:cNvSpPr>
            <a:spLocks/>
          </xdr:cNvSpPr>
        </xdr:nvSpPr>
        <xdr:spPr bwMode="auto">
          <a:xfrm>
            <a:off x="340544" y="87084"/>
            <a:ext cx="421739" cy="127235"/>
          </a:xfrm>
          <a:custGeom>
            <a:avLst/>
            <a:gdLst>
              <a:gd name="T0" fmla="*/ 451 w 5263"/>
              <a:gd name="T1" fmla="*/ 100 h 1590"/>
              <a:gd name="T2" fmla="*/ 507 w 5263"/>
              <a:gd name="T3" fmla="*/ 91 h 1590"/>
              <a:gd name="T4" fmla="*/ 581 w 5263"/>
              <a:gd name="T5" fmla="*/ 91 h 1590"/>
              <a:gd name="T6" fmla="*/ 663 w 5263"/>
              <a:gd name="T7" fmla="*/ 100 h 1590"/>
              <a:gd name="T8" fmla="*/ 756 w 5263"/>
              <a:gd name="T9" fmla="*/ 128 h 1590"/>
              <a:gd name="T10" fmla="*/ 866 w 5263"/>
              <a:gd name="T11" fmla="*/ 164 h 1590"/>
              <a:gd name="T12" fmla="*/ 977 w 5263"/>
              <a:gd name="T13" fmla="*/ 238 h 1590"/>
              <a:gd name="T14" fmla="*/ 1161 w 5263"/>
              <a:gd name="T15" fmla="*/ 393 h 1590"/>
              <a:gd name="T16" fmla="*/ 1364 w 5263"/>
              <a:gd name="T17" fmla="*/ 503 h 1590"/>
              <a:gd name="T18" fmla="*/ 1530 w 5263"/>
              <a:gd name="T19" fmla="*/ 512 h 1590"/>
              <a:gd name="T20" fmla="*/ 1659 w 5263"/>
              <a:gd name="T21" fmla="*/ 448 h 1590"/>
              <a:gd name="T22" fmla="*/ 1770 w 5263"/>
              <a:gd name="T23" fmla="*/ 338 h 1590"/>
              <a:gd name="T24" fmla="*/ 1899 w 5263"/>
              <a:gd name="T25" fmla="*/ 201 h 1590"/>
              <a:gd name="T26" fmla="*/ 2037 w 5263"/>
              <a:gd name="T27" fmla="*/ 91 h 1590"/>
              <a:gd name="T28" fmla="*/ 2231 w 5263"/>
              <a:gd name="T29" fmla="*/ 9 h 1590"/>
              <a:gd name="T30" fmla="*/ 2424 w 5263"/>
              <a:gd name="T31" fmla="*/ 0 h 1590"/>
              <a:gd name="T32" fmla="*/ 2562 w 5263"/>
              <a:gd name="T33" fmla="*/ 36 h 1590"/>
              <a:gd name="T34" fmla="*/ 2691 w 5263"/>
              <a:gd name="T35" fmla="*/ 110 h 1590"/>
              <a:gd name="T36" fmla="*/ 2793 w 5263"/>
              <a:gd name="T37" fmla="*/ 192 h 1590"/>
              <a:gd name="T38" fmla="*/ 2903 w 5263"/>
              <a:gd name="T39" fmla="*/ 292 h 1590"/>
              <a:gd name="T40" fmla="*/ 3005 w 5263"/>
              <a:gd name="T41" fmla="*/ 375 h 1590"/>
              <a:gd name="T42" fmla="*/ 3125 w 5263"/>
              <a:gd name="T43" fmla="*/ 439 h 1590"/>
              <a:gd name="T44" fmla="*/ 3254 w 5263"/>
              <a:gd name="T45" fmla="*/ 484 h 1590"/>
              <a:gd name="T46" fmla="*/ 3410 w 5263"/>
              <a:gd name="T47" fmla="*/ 484 h 1590"/>
              <a:gd name="T48" fmla="*/ 3530 w 5263"/>
              <a:gd name="T49" fmla="*/ 439 h 1590"/>
              <a:gd name="T50" fmla="*/ 3641 w 5263"/>
              <a:gd name="T51" fmla="*/ 375 h 1590"/>
              <a:gd name="T52" fmla="*/ 3733 w 5263"/>
              <a:gd name="T53" fmla="*/ 292 h 1590"/>
              <a:gd name="T54" fmla="*/ 3825 w 5263"/>
              <a:gd name="T55" fmla="*/ 201 h 1590"/>
              <a:gd name="T56" fmla="*/ 3927 w 5263"/>
              <a:gd name="T57" fmla="*/ 119 h 1590"/>
              <a:gd name="T58" fmla="*/ 4046 w 5263"/>
              <a:gd name="T59" fmla="*/ 46 h 1590"/>
              <a:gd name="T60" fmla="*/ 4194 w 5263"/>
              <a:gd name="T61" fmla="*/ 9 h 1590"/>
              <a:gd name="T62" fmla="*/ 4341 w 5263"/>
              <a:gd name="T63" fmla="*/ 18 h 1590"/>
              <a:gd name="T64" fmla="*/ 4470 w 5263"/>
              <a:gd name="T65" fmla="*/ 64 h 1590"/>
              <a:gd name="T66" fmla="*/ 4581 w 5263"/>
              <a:gd name="T67" fmla="*/ 137 h 1590"/>
              <a:gd name="T68" fmla="*/ 4673 w 5263"/>
              <a:gd name="T69" fmla="*/ 238 h 1590"/>
              <a:gd name="T70" fmla="*/ 4756 w 5263"/>
              <a:gd name="T71" fmla="*/ 329 h 1590"/>
              <a:gd name="T72" fmla="*/ 4858 w 5263"/>
              <a:gd name="T73" fmla="*/ 420 h 1590"/>
              <a:gd name="T74" fmla="*/ 4977 w 5263"/>
              <a:gd name="T75" fmla="*/ 484 h 1590"/>
              <a:gd name="T76" fmla="*/ 5143 w 5263"/>
              <a:gd name="T77" fmla="*/ 530 h 1590"/>
              <a:gd name="T78" fmla="*/ 5263 w 5263"/>
              <a:gd name="T79" fmla="*/ 1097 h 1590"/>
              <a:gd name="T80" fmla="*/ 0 w 5263"/>
              <a:gd name="T81" fmla="*/ 1563 h 1590"/>
              <a:gd name="T82" fmla="*/ 442 w 5263"/>
              <a:gd name="T83" fmla="*/ 110 h 15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590">
                <a:moveTo>
                  <a:pt x="442" y="110"/>
                </a:moveTo>
                <a:lnTo>
                  <a:pt x="451" y="100"/>
                </a:lnTo>
                <a:lnTo>
                  <a:pt x="488" y="91"/>
                </a:lnTo>
                <a:lnTo>
                  <a:pt x="507" y="91"/>
                </a:lnTo>
                <a:lnTo>
                  <a:pt x="553" y="91"/>
                </a:lnTo>
                <a:lnTo>
                  <a:pt x="581" y="91"/>
                </a:lnTo>
                <a:lnTo>
                  <a:pt x="627" y="100"/>
                </a:lnTo>
                <a:lnTo>
                  <a:pt x="663" y="100"/>
                </a:lnTo>
                <a:lnTo>
                  <a:pt x="710" y="119"/>
                </a:lnTo>
                <a:lnTo>
                  <a:pt x="756" y="128"/>
                </a:lnTo>
                <a:lnTo>
                  <a:pt x="811" y="146"/>
                </a:lnTo>
                <a:lnTo>
                  <a:pt x="866" y="164"/>
                </a:lnTo>
                <a:lnTo>
                  <a:pt x="922" y="201"/>
                </a:lnTo>
                <a:lnTo>
                  <a:pt x="977" y="238"/>
                </a:lnTo>
                <a:lnTo>
                  <a:pt x="1032" y="292"/>
                </a:lnTo>
                <a:lnTo>
                  <a:pt x="1161" y="393"/>
                </a:lnTo>
                <a:lnTo>
                  <a:pt x="1272" y="466"/>
                </a:lnTo>
                <a:lnTo>
                  <a:pt x="1364" y="503"/>
                </a:lnTo>
                <a:lnTo>
                  <a:pt x="1456" y="530"/>
                </a:lnTo>
                <a:lnTo>
                  <a:pt x="1530" y="512"/>
                </a:lnTo>
                <a:lnTo>
                  <a:pt x="1594" y="493"/>
                </a:lnTo>
                <a:lnTo>
                  <a:pt x="1659" y="448"/>
                </a:lnTo>
                <a:lnTo>
                  <a:pt x="1724" y="402"/>
                </a:lnTo>
                <a:lnTo>
                  <a:pt x="1770" y="338"/>
                </a:lnTo>
                <a:lnTo>
                  <a:pt x="1834" y="274"/>
                </a:lnTo>
                <a:lnTo>
                  <a:pt x="1899" y="201"/>
                </a:lnTo>
                <a:lnTo>
                  <a:pt x="1972" y="146"/>
                </a:lnTo>
                <a:lnTo>
                  <a:pt x="2037" y="91"/>
                </a:lnTo>
                <a:lnTo>
                  <a:pt x="2129" y="46"/>
                </a:lnTo>
                <a:lnTo>
                  <a:pt x="2231" y="9"/>
                </a:lnTo>
                <a:lnTo>
                  <a:pt x="2341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6"/>
                </a:lnTo>
                <a:lnTo>
                  <a:pt x="2636" y="73"/>
                </a:lnTo>
                <a:lnTo>
                  <a:pt x="2691" y="110"/>
                </a:lnTo>
                <a:lnTo>
                  <a:pt x="2747" y="146"/>
                </a:lnTo>
                <a:lnTo>
                  <a:pt x="2793" y="192"/>
                </a:lnTo>
                <a:lnTo>
                  <a:pt x="2857" y="247"/>
                </a:lnTo>
                <a:lnTo>
                  <a:pt x="2903" y="292"/>
                </a:lnTo>
                <a:lnTo>
                  <a:pt x="2950" y="329"/>
                </a:lnTo>
                <a:lnTo>
                  <a:pt x="3005" y="375"/>
                </a:lnTo>
                <a:lnTo>
                  <a:pt x="3060" y="420"/>
                </a:lnTo>
                <a:lnTo>
                  <a:pt x="3125" y="439"/>
                </a:lnTo>
                <a:lnTo>
                  <a:pt x="3189" y="466"/>
                </a:lnTo>
                <a:lnTo>
                  <a:pt x="3254" y="484"/>
                </a:lnTo>
                <a:lnTo>
                  <a:pt x="3337" y="493"/>
                </a:lnTo>
                <a:lnTo>
                  <a:pt x="3410" y="484"/>
                </a:lnTo>
                <a:lnTo>
                  <a:pt x="3466" y="466"/>
                </a:lnTo>
                <a:lnTo>
                  <a:pt x="3530" y="439"/>
                </a:lnTo>
                <a:lnTo>
                  <a:pt x="3586" y="411"/>
                </a:lnTo>
                <a:lnTo>
                  <a:pt x="3641" y="375"/>
                </a:lnTo>
                <a:lnTo>
                  <a:pt x="3687" y="329"/>
                </a:lnTo>
                <a:lnTo>
                  <a:pt x="3733" y="292"/>
                </a:lnTo>
                <a:lnTo>
                  <a:pt x="3788" y="247"/>
                </a:lnTo>
                <a:lnTo>
                  <a:pt x="3825" y="201"/>
                </a:lnTo>
                <a:lnTo>
                  <a:pt x="3881" y="155"/>
                </a:lnTo>
                <a:lnTo>
                  <a:pt x="3927" y="119"/>
                </a:lnTo>
                <a:lnTo>
                  <a:pt x="3991" y="82"/>
                </a:lnTo>
                <a:lnTo>
                  <a:pt x="4046" y="46"/>
                </a:lnTo>
                <a:lnTo>
                  <a:pt x="4111" y="27"/>
                </a:lnTo>
                <a:lnTo>
                  <a:pt x="4194" y="9"/>
                </a:lnTo>
                <a:lnTo>
                  <a:pt x="4277" y="18"/>
                </a:lnTo>
                <a:lnTo>
                  <a:pt x="4341" y="18"/>
                </a:lnTo>
                <a:lnTo>
                  <a:pt x="4415" y="36"/>
                </a:lnTo>
                <a:lnTo>
                  <a:pt x="4470" y="64"/>
                </a:lnTo>
                <a:lnTo>
                  <a:pt x="4535" y="100"/>
                </a:lnTo>
                <a:lnTo>
                  <a:pt x="4581" y="137"/>
                </a:lnTo>
                <a:lnTo>
                  <a:pt x="4627" y="183"/>
                </a:lnTo>
                <a:lnTo>
                  <a:pt x="4673" y="238"/>
                </a:lnTo>
                <a:lnTo>
                  <a:pt x="4719" y="292"/>
                </a:lnTo>
                <a:lnTo>
                  <a:pt x="4756" y="329"/>
                </a:lnTo>
                <a:lnTo>
                  <a:pt x="4812" y="375"/>
                </a:lnTo>
                <a:lnTo>
                  <a:pt x="4858" y="420"/>
                </a:lnTo>
                <a:lnTo>
                  <a:pt x="4922" y="466"/>
                </a:lnTo>
                <a:lnTo>
                  <a:pt x="4977" y="484"/>
                </a:lnTo>
                <a:lnTo>
                  <a:pt x="5060" y="512"/>
                </a:lnTo>
                <a:lnTo>
                  <a:pt x="5143" y="530"/>
                </a:lnTo>
                <a:lnTo>
                  <a:pt x="5254" y="530"/>
                </a:lnTo>
                <a:lnTo>
                  <a:pt x="5263" y="1097"/>
                </a:lnTo>
                <a:lnTo>
                  <a:pt x="3106" y="1590"/>
                </a:lnTo>
                <a:lnTo>
                  <a:pt x="0" y="1563"/>
                </a:lnTo>
                <a:lnTo>
                  <a:pt x="46" y="311"/>
                </a:lnTo>
                <a:lnTo>
                  <a:pt x="442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0" name="Freeform 71">
            <a:extLst>
              <a:ext uri="{FF2B5EF4-FFF2-40B4-BE49-F238E27FC236}">
                <a16:creationId xmlns="" xmlns:a16="http://schemas.microsoft.com/office/drawing/2014/main" id="{00000000-0008-0000-0200-000052030000}"/>
              </a:ext>
            </a:extLst>
          </xdr:cNvPr>
          <xdr:cNvSpPr>
            <a:spLocks/>
          </xdr:cNvSpPr>
        </xdr:nvSpPr>
        <xdr:spPr bwMode="auto">
          <a:xfrm>
            <a:off x="340544" y="98088"/>
            <a:ext cx="422453" cy="112662"/>
          </a:xfrm>
          <a:custGeom>
            <a:avLst/>
            <a:gdLst>
              <a:gd name="T0" fmla="*/ 451 w 5272"/>
              <a:gd name="T1" fmla="*/ 91 h 1408"/>
              <a:gd name="T2" fmla="*/ 507 w 5272"/>
              <a:gd name="T3" fmla="*/ 82 h 1408"/>
              <a:gd name="T4" fmla="*/ 590 w 5272"/>
              <a:gd name="T5" fmla="*/ 82 h 1408"/>
              <a:gd name="T6" fmla="*/ 673 w 5272"/>
              <a:gd name="T7" fmla="*/ 91 h 1408"/>
              <a:gd name="T8" fmla="*/ 765 w 5272"/>
              <a:gd name="T9" fmla="*/ 110 h 1408"/>
              <a:gd name="T10" fmla="*/ 866 w 5272"/>
              <a:gd name="T11" fmla="*/ 155 h 1408"/>
              <a:gd name="T12" fmla="*/ 977 w 5272"/>
              <a:gd name="T13" fmla="*/ 219 h 1408"/>
              <a:gd name="T14" fmla="*/ 1161 w 5272"/>
              <a:gd name="T15" fmla="*/ 347 h 1408"/>
              <a:gd name="T16" fmla="*/ 1364 w 5272"/>
              <a:gd name="T17" fmla="*/ 457 h 1408"/>
              <a:gd name="T18" fmla="*/ 1530 w 5272"/>
              <a:gd name="T19" fmla="*/ 457 h 1408"/>
              <a:gd name="T20" fmla="*/ 1659 w 5272"/>
              <a:gd name="T21" fmla="*/ 402 h 1408"/>
              <a:gd name="T22" fmla="*/ 1770 w 5272"/>
              <a:gd name="T23" fmla="*/ 302 h 1408"/>
              <a:gd name="T24" fmla="*/ 1899 w 5272"/>
              <a:gd name="T25" fmla="*/ 192 h 1408"/>
              <a:gd name="T26" fmla="*/ 2037 w 5272"/>
              <a:gd name="T27" fmla="*/ 82 h 1408"/>
              <a:gd name="T28" fmla="*/ 2231 w 5272"/>
              <a:gd name="T29" fmla="*/ 18 h 1408"/>
              <a:gd name="T30" fmla="*/ 2424 w 5272"/>
              <a:gd name="T31" fmla="*/ 0 h 1408"/>
              <a:gd name="T32" fmla="*/ 2562 w 5272"/>
              <a:gd name="T33" fmla="*/ 37 h 1408"/>
              <a:gd name="T34" fmla="*/ 2691 w 5272"/>
              <a:gd name="T35" fmla="*/ 101 h 1408"/>
              <a:gd name="T36" fmla="*/ 2793 w 5272"/>
              <a:gd name="T37" fmla="*/ 174 h 1408"/>
              <a:gd name="T38" fmla="*/ 2903 w 5272"/>
              <a:gd name="T39" fmla="*/ 265 h 1408"/>
              <a:gd name="T40" fmla="*/ 3005 w 5272"/>
              <a:gd name="T41" fmla="*/ 329 h 1408"/>
              <a:gd name="T42" fmla="*/ 3125 w 5272"/>
              <a:gd name="T43" fmla="*/ 393 h 1408"/>
              <a:gd name="T44" fmla="*/ 3254 w 5272"/>
              <a:gd name="T45" fmla="*/ 439 h 1408"/>
              <a:gd name="T46" fmla="*/ 3410 w 5272"/>
              <a:gd name="T47" fmla="*/ 430 h 1408"/>
              <a:gd name="T48" fmla="*/ 3530 w 5272"/>
              <a:gd name="T49" fmla="*/ 393 h 1408"/>
              <a:gd name="T50" fmla="*/ 3641 w 5272"/>
              <a:gd name="T51" fmla="*/ 329 h 1408"/>
              <a:gd name="T52" fmla="*/ 3733 w 5272"/>
              <a:gd name="T53" fmla="*/ 256 h 1408"/>
              <a:gd name="T54" fmla="*/ 3834 w 5272"/>
              <a:gd name="T55" fmla="*/ 183 h 1408"/>
              <a:gd name="T56" fmla="*/ 3936 w 5272"/>
              <a:gd name="T57" fmla="*/ 110 h 1408"/>
              <a:gd name="T58" fmla="*/ 4056 w 5272"/>
              <a:gd name="T59" fmla="*/ 46 h 1408"/>
              <a:gd name="T60" fmla="*/ 4194 w 5272"/>
              <a:gd name="T61" fmla="*/ 18 h 1408"/>
              <a:gd name="T62" fmla="*/ 4351 w 5272"/>
              <a:gd name="T63" fmla="*/ 18 h 1408"/>
              <a:gd name="T64" fmla="*/ 4480 w 5272"/>
              <a:gd name="T65" fmla="*/ 55 h 1408"/>
              <a:gd name="T66" fmla="*/ 4581 w 5272"/>
              <a:gd name="T67" fmla="*/ 128 h 1408"/>
              <a:gd name="T68" fmla="*/ 4682 w 5272"/>
              <a:gd name="T69" fmla="*/ 210 h 1408"/>
              <a:gd name="T70" fmla="*/ 4765 w 5272"/>
              <a:gd name="T71" fmla="*/ 302 h 1408"/>
              <a:gd name="T72" fmla="*/ 4867 w 5272"/>
              <a:gd name="T73" fmla="*/ 375 h 1408"/>
              <a:gd name="T74" fmla="*/ 4987 w 5272"/>
              <a:gd name="T75" fmla="*/ 439 h 1408"/>
              <a:gd name="T76" fmla="*/ 5153 w 5272"/>
              <a:gd name="T77" fmla="*/ 475 h 1408"/>
              <a:gd name="T78" fmla="*/ 5272 w 5272"/>
              <a:gd name="T79" fmla="*/ 978 h 1408"/>
              <a:gd name="T80" fmla="*/ 0 w 5272"/>
              <a:gd name="T81" fmla="*/ 1389 h 1408"/>
              <a:gd name="T82" fmla="*/ 442 w 5272"/>
              <a:gd name="T83" fmla="*/ 101 h 14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2" h="1408">
                <a:moveTo>
                  <a:pt x="442" y="101"/>
                </a:moveTo>
                <a:lnTo>
                  <a:pt x="451" y="91"/>
                </a:lnTo>
                <a:lnTo>
                  <a:pt x="488" y="82"/>
                </a:lnTo>
                <a:lnTo>
                  <a:pt x="507" y="82"/>
                </a:lnTo>
                <a:lnTo>
                  <a:pt x="553" y="82"/>
                </a:lnTo>
                <a:lnTo>
                  <a:pt x="590" y="82"/>
                </a:lnTo>
                <a:lnTo>
                  <a:pt x="636" y="91"/>
                </a:lnTo>
                <a:lnTo>
                  <a:pt x="673" y="91"/>
                </a:lnTo>
                <a:lnTo>
                  <a:pt x="719" y="101"/>
                </a:lnTo>
                <a:lnTo>
                  <a:pt x="765" y="110"/>
                </a:lnTo>
                <a:lnTo>
                  <a:pt x="820" y="128"/>
                </a:lnTo>
                <a:lnTo>
                  <a:pt x="866" y="155"/>
                </a:lnTo>
                <a:lnTo>
                  <a:pt x="922" y="183"/>
                </a:lnTo>
                <a:lnTo>
                  <a:pt x="977" y="219"/>
                </a:lnTo>
                <a:lnTo>
                  <a:pt x="1032" y="265"/>
                </a:lnTo>
                <a:lnTo>
                  <a:pt x="1161" y="347"/>
                </a:lnTo>
                <a:lnTo>
                  <a:pt x="1272" y="411"/>
                </a:lnTo>
                <a:lnTo>
                  <a:pt x="1364" y="457"/>
                </a:lnTo>
                <a:lnTo>
                  <a:pt x="1456" y="475"/>
                </a:lnTo>
                <a:lnTo>
                  <a:pt x="1530" y="457"/>
                </a:lnTo>
                <a:lnTo>
                  <a:pt x="1594" y="439"/>
                </a:lnTo>
                <a:lnTo>
                  <a:pt x="1659" y="402"/>
                </a:lnTo>
                <a:lnTo>
                  <a:pt x="1724" y="366"/>
                </a:lnTo>
                <a:lnTo>
                  <a:pt x="1770" y="302"/>
                </a:lnTo>
                <a:lnTo>
                  <a:pt x="1834" y="247"/>
                </a:lnTo>
                <a:lnTo>
                  <a:pt x="1899" y="192"/>
                </a:lnTo>
                <a:lnTo>
                  <a:pt x="1972" y="137"/>
                </a:lnTo>
                <a:lnTo>
                  <a:pt x="2037" y="82"/>
                </a:lnTo>
                <a:lnTo>
                  <a:pt x="2129" y="46"/>
                </a:lnTo>
                <a:lnTo>
                  <a:pt x="2231" y="18"/>
                </a:lnTo>
                <a:lnTo>
                  <a:pt x="2350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7"/>
                </a:lnTo>
                <a:lnTo>
                  <a:pt x="2636" y="64"/>
                </a:lnTo>
                <a:lnTo>
                  <a:pt x="2691" y="101"/>
                </a:lnTo>
                <a:lnTo>
                  <a:pt x="2747" y="137"/>
                </a:lnTo>
                <a:lnTo>
                  <a:pt x="2793" y="174"/>
                </a:lnTo>
                <a:lnTo>
                  <a:pt x="2857" y="219"/>
                </a:lnTo>
                <a:lnTo>
                  <a:pt x="2903" y="265"/>
                </a:lnTo>
                <a:lnTo>
                  <a:pt x="2950" y="302"/>
                </a:lnTo>
                <a:lnTo>
                  <a:pt x="3005" y="329"/>
                </a:lnTo>
                <a:lnTo>
                  <a:pt x="3060" y="366"/>
                </a:lnTo>
                <a:lnTo>
                  <a:pt x="3125" y="393"/>
                </a:lnTo>
                <a:lnTo>
                  <a:pt x="3189" y="420"/>
                </a:lnTo>
                <a:lnTo>
                  <a:pt x="3254" y="439"/>
                </a:lnTo>
                <a:lnTo>
                  <a:pt x="3337" y="439"/>
                </a:lnTo>
                <a:lnTo>
                  <a:pt x="3410" y="430"/>
                </a:lnTo>
                <a:lnTo>
                  <a:pt x="3466" y="411"/>
                </a:lnTo>
                <a:lnTo>
                  <a:pt x="3530" y="393"/>
                </a:lnTo>
                <a:lnTo>
                  <a:pt x="3595" y="366"/>
                </a:lnTo>
                <a:lnTo>
                  <a:pt x="3641" y="329"/>
                </a:lnTo>
                <a:lnTo>
                  <a:pt x="3687" y="292"/>
                </a:lnTo>
                <a:lnTo>
                  <a:pt x="3733" y="256"/>
                </a:lnTo>
                <a:lnTo>
                  <a:pt x="3788" y="219"/>
                </a:lnTo>
                <a:lnTo>
                  <a:pt x="3834" y="183"/>
                </a:lnTo>
                <a:lnTo>
                  <a:pt x="3881" y="146"/>
                </a:lnTo>
                <a:lnTo>
                  <a:pt x="3936" y="110"/>
                </a:lnTo>
                <a:lnTo>
                  <a:pt x="3991" y="82"/>
                </a:lnTo>
                <a:lnTo>
                  <a:pt x="4056" y="46"/>
                </a:lnTo>
                <a:lnTo>
                  <a:pt x="4120" y="27"/>
                </a:lnTo>
                <a:lnTo>
                  <a:pt x="4194" y="18"/>
                </a:lnTo>
                <a:lnTo>
                  <a:pt x="4277" y="18"/>
                </a:lnTo>
                <a:lnTo>
                  <a:pt x="4351" y="18"/>
                </a:lnTo>
                <a:lnTo>
                  <a:pt x="4424" y="37"/>
                </a:lnTo>
                <a:lnTo>
                  <a:pt x="4480" y="55"/>
                </a:lnTo>
                <a:lnTo>
                  <a:pt x="4535" y="91"/>
                </a:lnTo>
                <a:lnTo>
                  <a:pt x="4581" y="128"/>
                </a:lnTo>
                <a:lnTo>
                  <a:pt x="4636" y="174"/>
                </a:lnTo>
                <a:lnTo>
                  <a:pt x="4682" y="210"/>
                </a:lnTo>
                <a:lnTo>
                  <a:pt x="4729" y="265"/>
                </a:lnTo>
                <a:lnTo>
                  <a:pt x="4765" y="302"/>
                </a:lnTo>
                <a:lnTo>
                  <a:pt x="4821" y="347"/>
                </a:lnTo>
                <a:lnTo>
                  <a:pt x="4867" y="375"/>
                </a:lnTo>
                <a:lnTo>
                  <a:pt x="4931" y="411"/>
                </a:lnTo>
                <a:lnTo>
                  <a:pt x="4987" y="439"/>
                </a:lnTo>
                <a:lnTo>
                  <a:pt x="5070" y="466"/>
                </a:lnTo>
                <a:lnTo>
                  <a:pt x="5153" y="475"/>
                </a:lnTo>
                <a:lnTo>
                  <a:pt x="5254" y="475"/>
                </a:lnTo>
                <a:lnTo>
                  <a:pt x="5272" y="978"/>
                </a:lnTo>
                <a:lnTo>
                  <a:pt x="3115" y="1408"/>
                </a:lnTo>
                <a:lnTo>
                  <a:pt x="0" y="1389"/>
                </a:lnTo>
                <a:lnTo>
                  <a:pt x="46" y="283"/>
                </a:lnTo>
                <a:lnTo>
                  <a:pt x="442" y="101"/>
                </a:lnTo>
                <a:close/>
              </a:path>
            </a:pathLst>
          </a:custGeom>
          <a:solidFill>
            <a:srgbClr val="FFCC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1" name="Freeform 72">
            <a:extLst>
              <a:ext uri="{FF2B5EF4-FFF2-40B4-BE49-F238E27FC236}">
                <a16:creationId xmlns="" xmlns:a16="http://schemas.microsoft.com/office/drawing/2014/main" id="{00000000-0008-0000-0200-000053030000}"/>
              </a:ext>
            </a:extLst>
          </xdr:cNvPr>
          <xdr:cNvSpPr>
            <a:spLocks/>
          </xdr:cNvSpPr>
        </xdr:nvSpPr>
        <xdr:spPr bwMode="auto">
          <a:xfrm>
            <a:off x="342685" y="107011"/>
            <a:ext cx="421679" cy="98088"/>
          </a:xfrm>
          <a:custGeom>
            <a:avLst/>
            <a:gdLst>
              <a:gd name="T0" fmla="*/ 452 w 5263"/>
              <a:gd name="T1" fmla="*/ 83 h 1225"/>
              <a:gd name="T2" fmla="*/ 507 w 5263"/>
              <a:gd name="T3" fmla="*/ 73 h 1225"/>
              <a:gd name="T4" fmla="*/ 581 w 5263"/>
              <a:gd name="T5" fmla="*/ 73 h 1225"/>
              <a:gd name="T6" fmla="*/ 664 w 5263"/>
              <a:gd name="T7" fmla="*/ 73 h 1225"/>
              <a:gd name="T8" fmla="*/ 756 w 5263"/>
              <a:gd name="T9" fmla="*/ 92 h 1225"/>
              <a:gd name="T10" fmla="*/ 866 w 5263"/>
              <a:gd name="T11" fmla="*/ 128 h 1225"/>
              <a:gd name="T12" fmla="*/ 977 w 5263"/>
              <a:gd name="T13" fmla="*/ 183 h 1225"/>
              <a:gd name="T14" fmla="*/ 1152 w 5263"/>
              <a:gd name="T15" fmla="*/ 293 h 1225"/>
              <a:gd name="T16" fmla="*/ 1364 w 5263"/>
              <a:gd name="T17" fmla="*/ 384 h 1225"/>
              <a:gd name="T18" fmla="*/ 1521 w 5263"/>
              <a:gd name="T19" fmla="*/ 393 h 1225"/>
              <a:gd name="T20" fmla="*/ 1650 w 5263"/>
              <a:gd name="T21" fmla="*/ 338 h 1225"/>
              <a:gd name="T22" fmla="*/ 1770 w 5263"/>
              <a:gd name="T23" fmla="*/ 256 h 1225"/>
              <a:gd name="T24" fmla="*/ 1890 w 5263"/>
              <a:gd name="T25" fmla="*/ 156 h 1225"/>
              <a:gd name="T26" fmla="*/ 2037 w 5263"/>
              <a:gd name="T27" fmla="*/ 64 h 1225"/>
              <a:gd name="T28" fmla="*/ 2222 w 5263"/>
              <a:gd name="T29" fmla="*/ 9 h 1225"/>
              <a:gd name="T30" fmla="*/ 2415 w 5263"/>
              <a:gd name="T31" fmla="*/ 0 h 1225"/>
              <a:gd name="T32" fmla="*/ 2563 w 5263"/>
              <a:gd name="T33" fmla="*/ 28 h 1225"/>
              <a:gd name="T34" fmla="*/ 2682 w 5263"/>
              <a:gd name="T35" fmla="*/ 83 h 1225"/>
              <a:gd name="T36" fmla="*/ 2793 w 5263"/>
              <a:gd name="T37" fmla="*/ 156 h 1225"/>
              <a:gd name="T38" fmla="*/ 2894 w 5263"/>
              <a:gd name="T39" fmla="*/ 220 h 1225"/>
              <a:gd name="T40" fmla="*/ 3005 w 5263"/>
              <a:gd name="T41" fmla="*/ 293 h 1225"/>
              <a:gd name="T42" fmla="*/ 3116 w 5263"/>
              <a:gd name="T43" fmla="*/ 338 h 1225"/>
              <a:gd name="T44" fmla="*/ 3245 w 5263"/>
              <a:gd name="T45" fmla="*/ 375 h 1225"/>
              <a:gd name="T46" fmla="*/ 3401 w 5263"/>
              <a:gd name="T47" fmla="*/ 375 h 1225"/>
              <a:gd name="T48" fmla="*/ 3530 w 5263"/>
              <a:gd name="T49" fmla="*/ 338 h 1225"/>
              <a:gd name="T50" fmla="*/ 3632 w 5263"/>
              <a:gd name="T51" fmla="*/ 293 h 1225"/>
              <a:gd name="T52" fmla="*/ 3733 w 5263"/>
              <a:gd name="T53" fmla="*/ 220 h 1225"/>
              <a:gd name="T54" fmla="*/ 3825 w 5263"/>
              <a:gd name="T55" fmla="*/ 156 h 1225"/>
              <a:gd name="T56" fmla="*/ 3927 w 5263"/>
              <a:gd name="T57" fmla="*/ 92 h 1225"/>
              <a:gd name="T58" fmla="*/ 4047 w 5263"/>
              <a:gd name="T59" fmla="*/ 37 h 1225"/>
              <a:gd name="T60" fmla="*/ 4185 w 5263"/>
              <a:gd name="T61" fmla="*/ 9 h 1225"/>
              <a:gd name="T62" fmla="*/ 4342 w 5263"/>
              <a:gd name="T63" fmla="*/ 19 h 1225"/>
              <a:gd name="T64" fmla="*/ 4471 w 5263"/>
              <a:gd name="T65" fmla="*/ 46 h 1225"/>
              <a:gd name="T66" fmla="*/ 4572 w 5263"/>
              <a:gd name="T67" fmla="*/ 110 h 1225"/>
              <a:gd name="T68" fmla="*/ 4673 w 5263"/>
              <a:gd name="T69" fmla="*/ 183 h 1225"/>
              <a:gd name="T70" fmla="*/ 4756 w 5263"/>
              <a:gd name="T71" fmla="*/ 256 h 1225"/>
              <a:gd name="T72" fmla="*/ 4858 w 5263"/>
              <a:gd name="T73" fmla="*/ 329 h 1225"/>
              <a:gd name="T74" fmla="*/ 4978 w 5263"/>
              <a:gd name="T75" fmla="*/ 375 h 1225"/>
              <a:gd name="T76" fmla="*/ 5144 w 5263"/>
              <a:gd name="T77" fmla="*/ 402 h 1225"/>
              <a:gd name="T78" fmla="*/ 5263 w 5263"/>
              <a:gd name="T79" fmla="*/ 841 h 1225"/>
              <a:gd name="T80" fmla="*/ 0 w 5263"/>
              <a:gd name="T81" fmla="*/ 1198 h 1225"/>
              <a:gd name="T82" fmla="*/ 442 w 5263"/>
              <a:gd name="T83" fmla="*/ 92 h 12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225">
                <a:moveTo>
                  <a:pt x="442" y="92"/>
                </a:moveTo>
                <a:lnTo>
                  <a:pt x="452" y="83"/>
                </a:lnTo>
                <a:lnTo>
                  <a:pt x="489" y="73"/>
                </a:lnTo>
                <a:lnTo>
                  <a:pt x="507" y="73"/>
                </a:lnTo>
                <a:lnTo>
                  <a:pt x="544" y="73"/>
                </a:lnTo>
                <a:lnTo>
                  <a:pt x="581" y="73"/>
                </a:lnTo>
                <a:lnTo>
                  <a:pt x="627" y="73"/>
                </a:lnTo>
                <a:lnTo>
                  <a:pt x="664" y="73"/>
                </a:lnTo>
                <a:lnTo>
                  <a:pt x="710" y="83"/>
                </a:lnTo>
                <a:lnTo>
                  <a:pt x="756" y="92"/>
                </a:lnTo>
                <a:lnTo>
                  <a:pt x="811" y="119"/>
                </a:lnTo>
                <a:lnTo>
                  <a:pt x="866" y="128"/>
                </a:lnTo>
                <a:lnTo>
                  <a:pt x="913" y="156"/>
                </a:lnTo>
                <a:lnTo>
                  <a:pt x="977" y="183"/>
                </a:lnTo>
                <a:lnTo>
                  <a:pt x="1032" y="220"/>
                </a:lnTo>
                <a:lnTo>
                  <a:pt x="1152" y="293"/>
                </a:lnTo>
                <a:lnTo>
                  <a:pt x="1263" y="357"/>
                </a:lnTo>
                <a:lnTo>
                  <a:pt x="1364" y="384"/>
                </a:lnTo>
                <a:lnTo>
                  <a:pt x="1447" y="393"/>
                </a:lnTo>
                <a:lnTo>
                  <a:pt x="1521" y="393"/>
                </a:lnTo>
                <a:lnTo>
                  <a:pt x="1585" y="375"/>
                </a:lnTo>
                <a:lnTo>
                  <a:pt x="1650" y="338"/>
                </a:lnTo>
                <a:lnTo>
                  <a:pt x="1715" y="311"/>
                </a:lnTo>
                <a:lnTo>
                  <a:pt x="1770" y="256"/>
                </a:lnTo>
                <a:lnTo>
                  <a:pt x="1825" y="210"/>
                </a:lnTo>
                <a:lnTo>
                  <a:pt x="1890" y="156"/>
                </a:lnTo>
                <a:lnTo>
                  <a:pt x="1963" y="119"/>
                </a:lnTo>
                <a:lnTo>
                  <a:pt x="2037" y="64"/>
                </a:lnTo>
                <a:lnTo>
                  <a:pt x="2129" y="28"/>
                </a:lnTo>
                <a:lnTo>
                  <a:pt x="2222" y="9"/>
                </a:lnTo>
                <a:lnTo>
                  <a:pt x="2341" y="9"/>
                </a:lnTo>
                <a:lnTo>
                  <a:pt x="2415" y="0"/>
                </a:lnTo>
                <a:lnTo>
                  <a:pt x="2498" y="9"/>
                </a:lnTo>
                <a:lnTo>
                  <a:pt x="2563" y="28"/>
                </a:lnTo>
                <a:lnTo>
                  <a:pt x="2636" y="55"/>
                </a:lnTo>
                <a:lnTo>
                  <a:pt x="2682" y="83"/>
                </a:lnTo>
                <a:lnTo>
                  <a:pt x="2738" y="119"/>
                </a:lnTo>
                <a:lnTo>
                  <a:pt x="2793" y="156"/>
                </a:lnTo>
                <a:lnTo>
                  <a:pt x="2848" y="192"/>
                </a:lnTo>
                <a:lnTo>
                  <a:pt x="2894" y="220"/>
                </a:lnTo>
                <a:lnTo>
                  <a:pt x="2950" y="256"/>
                </a:lnTo>
                <a:lnTo>
                  <a:pt x="3005" y="293"/>
                </a:lnTo>
                <a:lnTo>
                  <a:pt x="3060" y="320"/>
                </a:lnTo>
                <a:lnTo>
                  <a:pt x="3116" y="338"/>
                </a:lnTo>
                <a:lnTo>
                  <a:pt x="3180" y="366"/>
                </a:lnTo>
                <a:lnTo>
                  <a:pt x="3245" y="375"/>
                </a:lnTo>
                <a:lnTo>
                  <a:pt x="3328" y="384"/>
                </a:lnTo>
                <a:lnTo>
                  <a:pt x="3401" y="375"/>
                </a:lnTo>
                <a:lnTo>
                  <a:pt x="3466" y="357"/>
                </a:lnTo>
                <a:lnTo>
                  <a:pt x="3530" y="338"/>
                </a:lnTo>
                <a:lnTo>
                  <a:pt x="3586" y="320"/>
                </a:lnTo>
                <a:lnTo>
                  <a:pt x="3632" y="293"/>
                </a:lnTo>
                <a:lnTo>
                  <a:pt x="3687" y="256"/>
                </a:lnTo>
                <a:lnTo>
                  <a:pt x="3733" y="220"/>
                </a:lnTo>
                <a:lnTo>
                  <a:pt x="3789" y="192"/>
                </a:lnTo>
                <a:lnTo>
                  <a:pt x="3825" y="156"/>
                </a:lnTo>
                <a:lnTo>
                  <a:pt x="3872" y="119"/>
                </a:lnTo>
                <a:lnTo>
                  <a:pt x="3927" y="92"/>
                </a:lnTo>
                <a:lnTo>
                  <a:pt x="3982" y="64"/>
                </a:lnTo>
                <a:lnTo>
                  <a:pt x="4047" y="37"/>
                </a:lnTo>
                <a:lnTo>
                  <a:pt x="4111" y="28"/>
                </a:lnTo>
                <a:lnTo>
                  <a:pt x="4185" y="9"/>
                </a:lnTo>
                <a:lnTo>
                  <a:pt x="4268" y="19"/>
                </a:lnTo>
                <a:lnTo>
                  <a:pt x="4342" y="19"/>
                </a:lnTo>
                <a:lnTo>
                  <a:pt x="4415" y="28"/>
                </a:lnTo>
                <a:lnTo>
                  <a:pt x="4471" y="46"/>
                </a:lnTo>
                <a:lnTo>
                  <a:pt x="4526" y="83"/>
                </a:lnTo>
                <a:lnTo>
                  <a:pt x="4572" y="110"/>
                </a:lnTo>
                <a:lnTo>
                  <a:pt x="4627" y="146"/>
                </a:lnTo>
                <a:lnTo>
                  <a:pt x="4673" y="183"/>
                </a:lnTo>
                <a:lnTo>
                  <a:pt x="4720" y="220"/>
                </a:lnTo>
                <a:lnTo>
                  <a:pt x="4756" y="256"/>
                </a:lnTo>
                <a:lnTo>
                  <a:pt x="4812" y="293"/>
                </a:lnTo>
                <a:lnTo>
                  <a:pt x="4858" y="329"/>
                </a:lnTo>
                <a:lnTo>
                  <a:pt x="4922" y="357"/>
                </a:lnTo>
                <a:lnTo>
                  <a:pt x="4978" y="375"/>
                </a:lnTo>
                <a:lnTo>
                  <a:pt x="5061" y="393"/>
                </a:lnTo>
                <a:lnTo>
                  <a:pt x="5144" y="402"/>
                </a:lnTo>
                <a:lnTo>
                  <a:pt x="5245" y="412"/>
                </a:lnTo>
                <a:lnTo>
                  <a:pt x="5263" y="841"/>
                </a:lnTo>
                <a:lnTo>
                  <a:pt x="3106" y="1225"/>
                </a:lnTo>
                <a:lnTo>
                  <a:pt x="0" y="1198"/>
                </a:lnTo>
                <a:lnTo>
                  <a:pt x="46" y="247"/>
                </a:lnTo>
                <a:lnTo>
                  <a:pt x="442" y="92"/>
                </a:lnTo>
                <a:close/>
              </a:path>
            </a:pathLst>
          </a:custGeom>
          <a:solidFill>
            <a:srgbClr val="DBE8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2" name="Freeform 73">
            <a:extLst>
              <a:ext uri="{FF2B5EF4-FFF2-40B4-BE49-F238E27FC236}">
                <a16:creationId xmlns="" xmlns:a16="http://schemas.microsoft.com/office/drawing/2014/main" id="{00000000-0008-0000-0200-000054030000}"/>
              </a:ext>
            </a:extLst>
          </xdr:cNvPr>
          <xdr:cNvSpPr>
            <a:spLocks/>
          </xdr:cNvSpPr>
        </xdr:nvSpPr>
        <xdr:spPr bwMode="auto">
          <a:xfrm>
            <a:off x="345838" y="123844"/>
            <a:ext cx="422512" cy="83396"/>
          </a:xfrm>
          <a:custGeom>
            <a:avLst/>
            <a:gdLst>
              <a:gd name="T0" fmla="*/ 452 w 5273"/>
              <a:gd name="T1" fmla="*/ 73 h 1042"/>
              <a:gd name="T2" fmla="*/ 507 w 5273"/>
              <a:gd name="T3" fmla="*/ 64 h 1042"/>
              <a:gd name="T4" fmla="*/ 590 w 5273"/>
              <a:gd name="T5" fmla="*/ 64 h 1042"/>
              <a:gd name="T6" fmla="*/ 673 w 5273"/>
              <a:gd name="T7" fmla="*/ 73 h 1042"/>
              <a:gd name="T8" fmla="*/ 765 w 5273"/>
              <a:gd name="T9" fmla="*/ 83 h 1042"/>
              <a:gd name="T10" fmla="*/ 866 w 5273"/>
              <a:gd name="T11" fmla="*/ 119 h 1042"/>
              <a:gd name="T12" fmla="*/ 977 w 5273"/>
              <a:gd name="T13" fmla="*/ 156 h 1042"/>
              <a:gd name="T14" fmla="*/ 1152 w 5273"/>
              <a:gd name="T15" fmla="*/ 256 h 1042"/>
              <a:gd name="T16" fmla="*/ 1364 w 5273"/>
              <a:gd name="T17" fmla="*/ 329 h 1042"/>
              <a:gd name="T18" fmla="*/ 1521 w 5273"/>
              <a:gd name="T19" fmla="*/ 339 h 1042"/>
              <a:gd name="T20" fmla="*/ 1650 w 5273"/>
              <a:gd name="T21" fmla="*/ 302 h 1042"/>
              <a:gd name="T22" fmla="*/ 1770 w 5273"/>
              <a:gd name="T23" fmla="*/ 220 h 1042"/>
              <a:gd name="T24" fmla="*/ 1899 w 5273"/>
              <a:gd name="T25" fmla="*/ 137 h 1042"/>
              <a:gd name="T26" fmla="*/ 2037 w 5273"/>
              <a:gd name="T27" fmla="*/ 64 h 1042"/>
              <a:gd name="T28" fmla="*/ 2222 w 5273"/>
              <a:gd name="T29" fmla="*/ 9 h 1042"/>
              <a:gd name="T30" fmla="*/ 2415 w 5273"/>
              <a:gd name="T31" fmla="*/ 0 h 1042"/>
              <a:gd name="T32" fmla="*/ 2563 w 5273"/>
              <a:gd name="T33" fmla="*/ 28 h 1042"/>
              <a:gd name="T34" fmla="*/ 2682 w 5273"/>
              <a:gd name="T35" fmla="*/ 73 h 1042"/>
              <a:gd name="T36" fmla="*/ 2793 w 5273"/>
              <a:gd name="T37" fmla="*/ 128 h 1042"/>
              <a:gd name="T38" fmla="*/ 2894 w 5273"/>
              <a:gd name="T39" fmla="*/ 192 h 1042"/>
              <a:gd name="T40" fmla="*/ 3005 w 5273"/>
              <a:gd name="T41" fmla="*/ 247 h 1042"/>
              <a:gd name="T42" fmla="*/ 3116 w 5273"/>
              <a:gd name="T43" fmla="*/ 293 h 1042"/>
              <a:gd name="T44" fmla="*/ 3245 w 5273"/>
              <a:gd name="T45" fmla="*/ 329 h 1042"/>
              <a:gd name="T46" fmla="*/ 3401 w 5273"/>
              <a:gd name="T47" fmla="*/ 320 h 1042"/>
              <a:gd name="T48" fmla="*/ 3530 w 5273"/>
              <a:gd name="T49" fmla="*/ 293 h 1042"/>
              <a:gd name="T50" fmla="*/ 3632 w 5273"/>
              <a:gd name="T51" fmla="*/ 247 h 1042"/>
              <a:gd name="T52" fmla="*/ 3733 w 5273"/>
              <a:gd name="T53" fmla="*/ 192 h 1042"/>
              <a:gd name="T54" fmla="*/ 3825 w 5273"/>
              <a:gd name="T55" fmla="*/ 137 h 1042"/>
              <a:gd name="T56" fmla="*/ 3927 w 5273"/>
              <a:gd name="T57" fmla="*/ 83 h 1042"/>
              <a:gd name="T58" fmla="*/ 4047 w 5273"/>
              <a:gd name="T59" fmla="*/ 46 h 1042"/>
              <a:gd name="T60" fmla="*/ 4185 w 5273"/>
              <a:gd name="T61" fmla="*/ 19 h 1042"/>
              <a:gd name="T62" fmla="*/ 4351 w 5273"/>
              <a:gd name="T63" fmla="*/ 19 h 1042"/>
              <a:gd name="T64" fmla="*/ 4480 w 5273"/>
              <a:gd name="T65" fmla="*/ 46 h 1042"/>
              <a:gd name="T66" fmla="*/ 4581 w 5273"/>
              <a:gd name="T67" fmla="*/ 92 h 1042"/>
              <a:gd name="T68" fmla="*/ 4683 w 5273"/>
              <a:gd name="T69" fmla="*/ 156 h 1042"/>
              <a:gd name="T70" fmla="*/ 4766 w 5273"/>
              <a:gd name="T71" fmla="*/ 220 h 1042"/>
              <a:gd name="T72" fmla="*/ 4858 w 5273"/>
              <a:gd name="T73" fmla="*/ 284 h 1042"/>
              <a:gd name="T74" fmla="*/ 4987 w 5273"/>
              <a:gd name="T75" fmla="*/ 320 h 1042"/>
              <a:gd name="T76" fmla="*/ 5153 w 5273"/>
              <a:gd name="T77" fmla="*/ 348 h 1042"/>
              <a:gd name="T78" fmla="*/ 5273 w 5273"/>
              <a:gd name="T79" fmla="*/ 713 h 1042"/>
              <a:gd name="T80" fmla="*/ 0 w 5273"/>
              <a:gd name="T81" fmla="*/ 1015 h 1042"/>
              <a:gd name="T82" fmla="*/ 442 w 5273"/>
              <a:gd name="T83" fmla="*/ 83 h 10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1042">
                <a:moveTo>
                  <a:pt x="442" y="83"/>
                </a:moveTo>
                <a:lnTo>
                  <a:pt x="452" y="73"/>
                </a:lnTo>
                <a:lnTo>
                  <a:pt x="489" y="73"/>
                </a:lnTo>
                <a:lnTo>
                  <a:pt x="507" y="64"/>
                </a:lnTo>
                <a:lnTo>
                  <a:pt x="544" y="64"/>
                </a:lnTo>
                <a:lnTo>
                  <a:pt x="590" y="64"/>
                </a:lnTo>
                <a:lnTo>
                  <a:pt x="627" y="73"/>
                </a:lnTo>
                <a:lnTo>
                  <a:pt x="673" y="73"/>
                </a:lnTo>
                <a:lnTo>
                  <a:pt x="719" y="83"/>
                </a:lnTo>
                <a:lnTo>
                  <a:pt x="765" y="83"/>
                </a:lnTo>
                <a:lnTo>
                  <a:pt x="820" y="110"/>
                </a:lnTo>
                <a:lnTo>
                  <a:pt x="866" y="119"/>
                </a:lnTo>
                <a:lnTo>
                  <a:pt x="922" y="137"/>
                </a:lnTo>
                <a:lnTo>
                  <a:pt x="977" y="156"/>
                </a:lnTo>
                <a:lnTo>
                  <a:pt x="1032" y="192"/>
                </a:lnTo>
                <a:lnTo>
                  <a:pt x="1152" y="256"/>
                </a:lnTo>
                <a:lnTo>
                  <a:pt x="1263" y="302"/>
                </a:lnTo>
                <a:lnTo>
                  <a:pt x="1364" y="329"/>
                </a:lnTo>
                <a:lnTo>
                  <a:pt x="1456" y="348"/>
                </a:lnTo>
                <a:lnTo>
                  <a:pt x="1521" y="339"/>
                </a:lnTo>
                <a:lnTo>
                  <a:pt x="1595" y="329"/>
                </a:lnTo>
                <a:lnTo>
                  <a:pt x="1650" y="302"/>
                </a:lnTo>
                <a:lnTo>
                  <a:pt x="1724" y="265"/>
                </a:lnTo>
                <a:lnTo>
                  <a:pt x="1770" y="220"/>
                </a:lnTo>
                <a:lnTo>
                  <a:pt x="1825" y="183"/>
                </a:lnTo>
                <a:lnTo>
                  <a:pt x="1899" y="137"/>
                </a:lnTo>
                <a:lnTo>
                  <a:pt x="1963" y="101"/>
                </a:lnTo>
                <a:lnTo>
                  <a:pt x="2037" y="64"/>
                </a:lnTo>
                <a:lnTo>
                  <a:pt x="2129" y="37"/>
                </a:lnTo>
                <a:lnTo>
                  <a:pt x="2222" y="9"/>
                </a:lnTo>
                <a:lnTo>
                  <a:pt x="2351" y="9"/>
                </a:lnTo>
                <a:lnTo>
                  <a:pt x="2415" y="0"/>
                </a:lnTo>
                <a:lnTo>
                  <a:pt x="2498" y="19"/>
                </a:lnTo>
                <a:lnTo>
                  <a:pt x="2563" y="28"/>
                </a:lnTo>
                <a:lnTo>
                  <a:pt x="2636" y="55"/>
                </a:lnTo>
                <a:lnTo>
                  <a:pt x="2682" y="73"/>
                </a:lnTo>
                <a:lnTo>
                  <a:pt x="2738" y="110"/>
                </a:lnTo>
                <a:lnTo>
                  <a:pt x="2793" y="128"/>
                </a:lnTo>
                <a:lnTo>
                  <a:pt x="2848" y="174"/>
                </a:lnTo>
                <a:lnTo>
                  <a:pt x="2894" y="192"/>
                </a:lnTo>
                <a:lnTo>
                  <a:pt x="2950" y="220"/>
                </a:lnTo>
                <a:lnTo>
                  <a:pt x="3005" y="247"/>
                </a:lnTo>
                <a:lnTo>
                  <a:pt x="3060" y="284"/>
                </a:lnTo>
                <a:lnTo>
                  <a:pt x="3116" y="293"/>
                </a:lnTo>
                <a:lnTo>
                  <a:pt x="3180" y="311"/>
                </a:lnTo>
                <a:lnTo>
                  <a:pt x="3245" y="329"/>
                </a:lnTo>
                <a:lnTo>
                  <a:pt x="3328" y="329"/>
                </a:lnTo>
                <a:lnTo>
                  <a:pt x="3401" y="320"/>
                </a:lnTo>
                <a:lnTo>
                  <a:pt x="3466" y="311"/>
                </a:lnTo>
                <a:lnTo>
                  <a:pt x="3530" y="293"/>
                </a:lnTo>
                <a:lnTo>
                  <a:pt x="3595" y="275"/>
                </a:lnTo>
                <a:lnTo>
                  <a:pt x="3632" y="247"/>
                </a:lnTo>
                <a:lnTo>
                  <a:pt x="3687" y="220"/>
                </a:lnTo>
                <a:lnTo>
                  <a:pt x="3733" y="192"/>
                </a:lnTo>
                <a:lnTo>
                  <a:pt x="3789" y="174"/>
                </a:lnTo>
                <a:lnTo>
                  <a:pt x="3825" y="137"/>
                </a:lnTo>
                <a:lnTo>
                  <a:pt x="3872" y="110"/>
                </a:lnTo>
                <a:lnTo>
                  <a:pt x="3927" y="83"/>
                </a:lnTo>
                <a:lnTo>
                  <a:pt x="3982" y="64"/>
                </a:lnTo>
                <a:lnTo>
                  <a:pt x="4047" y="46"/>
                </a:lnTo>
                <a:lnTo>
                  <a:pt x="4111" y="28"/>
                </a:lnTo>
                <a:lnTo>
                  <a:pt x="4185" y="19"/>
                </a:lnTo>
                <a:lnTo>
                  <a:pt x="4268" y="19"/>
                </a:lnTo>
                <a:lnTo>
                  <a:pt x="4351" y="19"/>
                </a:lnTo>
                <a:lnTo>
                  <a:pt x="4415" y="37"/>
                </a:lnTo>
                <a:lnTo>
                  <a:pt x="4480" y="46"/>
                </a:lnTo>
                <a:lnTo>
                  <a:pt x="4535" y="73"/>
                </a:lnTo>
                <a:lnTo>
                  <a:pt x="4581" y="92"/>
                </a:lnTo>
                <a:lnTo>
                  <a:pt x="4637" y="128"/>
                </a:lnTo>
                <a:lnTo>
                  <a:pt x="4683" y="156"/>
                </a:lnTo>
                <a:lnTo>
                  <a:pt x="4729" y="192"/>
                </a:lnTo>
                <a:lnTo>
                  <a:pt x="4766" y="220"/>
                </a:lnTo>
                <a:lnTo>
                  <a:pt x="4812" y="256"/>
                </a:lnTo>
                <a:lnTo>
                  <a:pt x="4858" y="284"/>
                </a:lnTo>
                <a:lnTo>
                  <a:pt x="4922" y="302"/>
                </a:lnTo>
                <a:lnTo>
                  <a:pt x="4987" y="320"/>
                </a:lnTo>
                <a:lnTo>
                  <a:pt x="5070" y="339"/>
                </a:lnTo>
                <a:lnTo>
                  <a:pt x="5153" y="348"/>
                </a:lnTo>
                <a:lnTo>
                  <a:pt x="5254" y="357"/>
                </a:lnTo>
                <a:lnTo>
                  <a:pt x="5273" y="713"/>
                </a:lnTo>
                <a:lnTo>
                  <a:pt x="3116" y="1042"/>
                </a:lnTo>
                <a:lnTo>
                  <a:pt x="0" y="1015"/>
                </a:lnTo>
                <a:lnTo>
                  <a:pt x="46" y="211"/>
                </a:lnTo>
                <a:lnTo>
                  <a:pt x="442" y="83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3" name="Freeform 74">
            <a:extLst>
              <a:ext uri="{FF2B5EF4-FFF2-40B4-BE49-F238E27FC236}">
                <a16:creationId xmlns="" xmlns:a16="http://schemas.microsoft.com/office/drawing/2014/main" id="{00000000-0008-0000-0200-000055030000}"/>
              </a:ext>
            </a:extLst>
          </xdr:cNvPr>
          <xdr:cNvSpPr>
            <a:spLocks/>
          </xdr:cNvSpPr>
        </xdr:nvSpPr>
        <xdr:spPr bwMode="auto">
          <a:xfrm>
            <a:off x="341317" y="133183"/>
            <a:ext cx="422453" cy="67335"/>
          </a:xfrm>
          <a:custGeom>
            <a:avLst/>
            <a:gdLst>
              <a:gd name="T0" fmla="*/ 461 w 5273"/>
              <a:gd name="T1" fmla="*/ 45 h 841"/>
              <a:gd name="T2" fmla="*/ 516 w 5273"/>
              <a:gd name="T3" fmla="*/ 36 h 841"/>
              <a:gd name="T4" fmla="*/ 590 w 5273"/>
              <a:gd name="T5" fmla="*/ 36 h 841"/>
              <a:gd name="T6" fmla="*/ 673 w 5273"/>
              <a:gd name="T7" fmla="*/ 45 h 841"/>
              <a:gd name="T8" fmla="*/ 765 w 5273"/>
              <a:gd name="T9" fmla="*/ 55 h 841"/>
              <a:gd name="T10" fmla="*/ 866 w 5273"/>
              <a:gd name="T11" fmla="*/ 82 h 841"/>
              <a:gd name="T12" fmla="*/ 977 w 5273"/>
              <a:gd name="T13" fmla="*/ 119 h 841"/>
              <a:gd name="T14" fmla="*/ 1161 w 5273"/>
              <a:gd name="T15" fmla="*/ 201 h 841"/>
              <a:gd name="T16" fmla="*/ 1373 w 5273"/>
              <a:gd name="T17" fmla="*/ 256 h 841"/>
              <a:gd name="T18" fmla="*/ 1521 w 5273"/>
              <a:gd name="T19" fmla="*/ 265 h 841"/>
              <a:gd name="T20" fmla="*/ 1650 w 5273"/>
              <a:gd name="T21" fmla="*/ 228 h 841"/>
              <a:gd name="T22" fmla="*/ 1779 w 5273"/>
              <a:gd name="T23" fmla="*/ 173 h 841"/>
              <a:gd name="T24" fmla="*/ 1899 w 5273"/>
              <a:gd name="T25" fmla="*/ 100 h 841"/>
              <a:gd name="T26" fmla="*/ 2046 w 5273"/>
              <a:gd name="T27" fmla="*/ 36 h 841"/>
              <a:gd name="T28" fmla="*/ 2231 w 5273"/>
              <a:gd name="T29" fmla="*/ 0 h 841"/>
              <a:gd name="T30" fmla="*/ 2424 w 5273"/>
              <a:gd name="T31" fmla="*/ 0 h 841"/>
              <a:gd name="T32" fmla="*/ 2572 w 5273"/>
              <a:gd name="T33" fmla="*/ 18 h 841"/>
              <a:gd name="T34" fmla="*/ 2692 w 5273"/>
              <a:gd name="T35" fmla="*/ 55 h 841"/>
              <a:gd name="T36" fmla="*/ 2802 w 5273"/>
              <a:gd name="T37" fmla="*/ 100 h 841"/>
              <a:gd name="T38" fmla="*/ 2904 w 5273"/>
              <a:gd name="T39" fmla="*/ 146 h 841"/>
              <a:gd name="T40" fmla="*/ 3005 w 5273"/>
              <a:gd name="T41" fmla="*/ 192 h 841"/>
              <a:gd name="T42" fmla="*/ 3125 w 5273"/>
              <a:gd name="T43" fmla="*/ 228 h 841"/>
              <a:gd name="T44" fmla="*/ 3254 w 5273"/>
              <a:gd name="T45" fmla="*/ 256 h 841"/>
              <a:gd name="T46" fmla="*/ 3411 w 5273"/>
              <a:gd name="T47" fmla="*/ 247 h 841"/>
              <a:gd name="T48" fmla="*/ 3530 w 5273"/>
              <a:gd name="T49" fmla="*/ 219 h 841"/>
              <a:gd name="T50" fmla="*/ 3641 w 5273"/>
              <a:gd name="T51" fmla="*/ 192 h 841"/>
              <a:gd name="T52" fmla="*/ 3742 w 5273"/>
              <a:gd name="T53" fmla="*/ 146 h 841"/>
              <a:gd name="T54" fmla="*/ 3835 w 5273"/>
              <a:gd name="T55" fmla="*/ 100 h 841"/>
              <a:gd name="T56" fmla="*/ 3936 w 5273"/>
              <a:gd name="T57" fmla="*/ 55 h 841"/>
              <a:gd name="T58" fmla="*/ 4047 w 5273"/>
              <a:gd name="T59" fmla="*/ 18 h 841"/>
              <a:gd name="T60" fmla="*/ 4194 w 5273"/>
              <a:gd name="T61" fmla="*/ 0 h 841"/>
              <a:gd name="T62" fmla="*/ 4351 w 5273"/>
              <a:gd name="T63" fmla="*/ 9 h 841"/>
              <a:gd name="T64" fmla="*/ 4480 w 5273"/>
              <a:gd name="T65" fmla="*/ 27 h 841"/>
              <a:gd name="T66" fmla="*/ 4581 w 5273"/>
              <a:gd name="T67" fmla="*/ 64 h 841"/>
              <a:gd name="T68" fmla="*/ 4683 w 5273"/>
              <a:gd name="T69" fmla="*/ 119 h 841"/>
              <a:gd name="T70" fmla="*/ 4766 w 5273"/>
              <a:gd name="T71" fmla="*/ 173 h 841"/>
              <a:gd name="T72" fmla="*/ 4858 w 5273"/>
              <a:gd name="T73" fmla="*/ 210 h 841"/>
              <a:gd name="T74" fmla="*/ 4987 w 5273"/>
              <a:gd name="T75" fmla="*/ 256 h 841"/>
              <a:gd name="T76" fmla="*/ 5153 w 5273"/>
              <a:gd name="T77" fmla="*/ 274 h 841"/>
              <a:gd name="T78" fmla="*/ 5273 w 5273"/>
              <a:gd name="T79" fmla="*/ 585 h 841"/>
              <a:gd name="T80" fmla="*/ 0 w 5273"/>
              <a:gd name="T81" fmla="*/ 822 h 841"/>
              <a:gd name="T82" fmla="*/ 452 w 5273"/>
              <a:gd name="T83" fmla="*/ 55 h 8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841">
                <a:moveTo>
                  <a:pt x="452" y="55"/>
                </a:moveTo>
                <a:lnTo>
                  <a:pt x="461" y="45"/>
                </a:lnTo>
                <a:lnTo>
                  <a:pt x="498" y="45"/>
                </a:lnTo>
                <a:lnTo>
                  <a:pt x="516" y="36"/>
                </a:lnTo>
                <a:lnTo>
                  <a:pt x="553" y="36"/>
                </a:lnTo>
                <a:lnTo>
                  <a:pt x="590" y="36"/>
                </a:lnTo>
                <a:lnTo>
                  <a:pt x="627" y="45"/>
                </a:lnTo>
                <a:lnTo>
                  <a:pt x="673" y="45"/>
                </a:lnTo>
                <a:lnTo>
                  <a:pt x="719" y="45"/>
                </a:lnTo>
                <a:lnTo>
                  <a:pt x="765" y="55"/>
                </a:lnTo>
                <a:lnTo>
                  <a:pt x="820" y="73"/>
                </a:lnTo>
                <a:lnTo>
                  <a:pt x="866" y="82"/>
                </a:lnTo>
                <a:lnTo>
                  <a:pt x="922" y="100"/>
                </a:lnTo>
                <a:lnTo>
                  <a:pt x="977" y="119"/>
                </a:lnTo>
                <a:lnTo>
                  <a:pt x="1042" y="146"/>
                </a:lnTo>
                <a:lnTo>
                  <a:pt x="1161" y="201"/>
                </a:lnTo>
                <a:lnTo>
                  <a:pt x="1272" y="237"/>
                </a:lnTo>
                <a:lnTo>
                  <a:pt x="1373" y="256"/>
                </a:lnTo>
                <a:lnTo>
                  <a:pt x="1456" y="274"/>
                </a:lnTo>
                <a:lnTo>
                  <a:pt x="1521" y="265"/>
                </a:lnTo>
                <a:lnTo>
                  <a:pt x="1595" y="256"/>
                </a:lnTo>
                <a:lnTo>
                  <a:pt x="1650" y="228"/>
                </a:lnTo>
                <a:lnTo>
                  <a:pt x="1724" y="210"/>
                </a:lnTo>
                <a:lnTo>
                  <a:pt x="1779" y="173"/>
                </a:lnTo>
                <a:lnTo>
                  <a:pt x="1834" y="137"/>
                </a:lnTo>
                <a:lnTo>
                  <a:pt x="1899" y="100"/>
                </a:lnTo>
                <a:lnTo>
                  <a:pt x="1973" y="73"/>
                </a:lnTo>
                <a:lnTo>
                  <a:pt x="2046" y="36"/>
                </a:lnTo>
                <a:lnTo>
                  <a:pt x="2129" y="18"/>
                </a:lnTo>
                <a:lnTo>
                  <a:pt x="2231" y="0"/>
                </a:lnTo>
                <a:lnTo>
                  <a:pt x="2351" y="0"/>
                </a:lnTo>
                <a:lnTo>
                  <a:pt x="2424" y="0"/>
                </a:lnTo>
                <a:lnTo>
                  <a:pt x="2507" y="0"/>
                </a:lnTo>
                <a:lnTo>
                  <a:pt x="2572" y="18"/>
                </a:lnTo>
                <a:lnTo>
                  <a:pt x="2636" y="36"/>
                </a:lnTo>
                <a:lnTo>
                  <a:pt x="2692" y="55"/>
                </a:lnTo>
                <a:lnTo>
                  <a:pt x="2747" y="73"/>
                </a:lnTo>
                <a:lnTo>
                  <a:pt x="2802" y="100"/>
                </a:lnTo>
                <a:lnTo>
                  <a:pt x="2858" y="128"/>
                </a:lnTo>
                <a:lnTo>
                  <a:pt x="2904" y="146"/>
                </a:lnTo>
                <a:lnTo>
                  <a:pt x="2959" y="173"/>
                </a:lnTo>
                <a:lnTo>
                  <a:pt x="3005" y="192"/>
                </a:lnTo>
                <a:lnTo>
                  <a:pt x="3070" y="210"/>
                </a:lnTo>
                <a:lnTo>
                  <a:pt x="3125" y="228"/>
                </a:lnTo>
                <a:lnTo>
                  <a:pt x="3189" y="247"/>
                </a:lnTo>
                <a:lnTo>
                  <a:pt x="3254" y="256"/>
                </a:lnTo>
                <a:lnTo>
                  <a:pt x="3337" y="256"/>
                </a:lnTo>
                <a:lnTo>
                  <a:pt x="3411" y="247"/>
                </a:lnTo>
                <a:lnTo>
                  <a:pt x="3475" y="237"/>
                </a:lnTo>
                <a:lnTo>
                  <a:pt x="3530" y="219"/>
                </a:lnTo>
                <a:lnTo>
                  <a:pt x="3595" y="210"/>
                </a:lnTo>
                <a:lnTo>
                  <a:pt x="3641" y="192"/>
                </a:lnTo>
                <a:lnTo>
                  <a:pt x="3696" y="173"/>
                </a:lnTo>
                <a:lnTo>
                  <a:pt x="3742" y="146"/>
                </a:lnTo>
                <a:lnTo>
                  <a:pt x="3789" y="128"/>
                </a:lnTo>
                <a:lnTo>
                  <a:pt x="3835" y="100"/>
                </a:lnTo>
                <a:lnTo>
                  <a:pt x="3881" y="73"/>
                </a:lnTo>
                <a:lnTo>
                  <a:pt x="3936" y="55"/>
                </a:lnTo>
                <a:lnTo>
                  <a:pt x="3991" y="36"/>
                </a:lnTo>
                <a:lnTo>
                  <a:pt x="4047" y="18"/>
                </a:lnTo>
                <a:lnTo>
                  <a:pt x="4120" y="9"/>
                </a:lnTo>
                <a:lnTo>
                  <a:pt x="4194" y="0"/>
                </a:lnTo>
                <a:lnTo>
                  <a:pt x="4277" y="9"/>
                </a:lnTo>
                <a:lnTo>
                  <a:pt x="4351" y="9"/>
                </a:lnTo>
                <a:lnTo>
                  <a:pt x="4415" y="18"/>
                </a:lnTo>
                <a:lnTo>
                  <a:pt x="4480" y="27"/>
                </a:lnTo>
                <a:lnTo>
                  <a:pt x="4535" y="45"/>
                </a:lnTo>
                <a:lnTo>
                  <a:pt x="4581" y="64"/>
                </a:lnTo>
                <a:lnTo>
                  <a:pt x="4637" y="91"/>
                </a:lnTo>
                <a:lnTo>
                  <a:pt x="4683" y="119"/>
                </a:lnTo>
                <a:lnTo>
                  <a:pt x="4729" y="146"/>
                </a:lnTo>
                <a:lnTo>
                  <a:pt x="4766" y="173"/>
                </a:lnTo>
                <a:lnTo>
                  <a:pt x="4812" y="192"/>
                </a:lnTo>
                <a:lnTo>
                  <a:pt x="4858" y="210"/>
                </a:lnTo>
                <a:lnTo>
                  <a:pt x="4922" y="237"/>
                </a:lnTo>
                <a:lnTo>
                  <a:pt x="4987" y="256"/>
                </a:lnTo>
                <a:lnTo>
                  <a:pt x="5070" y="265"/>
                </a:lnTo>
                <a:lnTo>
                  <a:pt x="5153" y="274"/>
                </a:lnTo>
                <a:lnTo>
                  <a:pt x="5254" y="274"/>
                </a:lnTo>
                <a:lnTo>
                  <a:pt x="5273" y="585"/>
                </a:lnTo>
                <a:lnTo>
                  <a:pt x="3116" y="841"/>
                </a:lnTo>
                <a:lnTo>
                  <a:pt x="0" y="822"/>
                </a:lnTo>
                <a:lnTo>
                  <a:pt x="46" y="164"/>
                </a:lnTo>
                <a:lnTo>
                  <a:pt x="452" y="55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4" name="Freeform 75">
            <a:extLst>
              <a:ext uri="{FF2B5EF4-FFF2-40B4-BE49-F238E27FC236}">
                <a16:creationId xmlns="" xmlns:a16="http://schemas.microsoft.com/office/drawing/2014/main" id="{00000000-0008-0000-0200-000056030000}"/>
              </a:ext>
            </a:extLst>
          </xdr:cNvPr>
          <xdr:cNvSpPr>
            <a:spLocks/>
          </xdr:cNvSpPr>
        </xdr:nvSpPr>
        <xdr:spPr bwMode="auto">
          <a:xfrm>
            <a:off x="212000" y="94341"/>
            <a:ext cx="176547" cy="184517"/>
          </a:xfrm>
          <a:custGeom>
            <a:avLst/>
            <a:gdLst>
              <a:gd name="T0" fmla="*/ 2203 w 2203"/>
              <a:gd name="T1" fmla="*/ 0 h 2304"/>
              <a:gd name="T2" fmla="*/ 1973 w 2203"/>
              <a:gd name="T3" fmla="*/ 0 h 2304"/>
              <a:gd name="T4" fmla="*/ 1751 w 2203"/>
              <a:gd name="T5" fmla="*/ 37 h 2304"/>
              <a:gd name="T6" fmla="*/ 1539 w 2203"/>
              <a:gd name="T7" fmla="*/ 83 h 2304"/>
              <a:gd name="T8" fmla="*/ 1336 w 2203"/>
              <a:gd name="T9" fmla="*/ 156 h 2304"/>
              <a:gd name="T10" fmla="*/ 1143 w 2203"/>
              <a:gd name="T11" fmla="*/ 220 h 2304"/>
              <a:gd name="T12" fmla="*/ 968 w 2203"/>
              <a:gd name="T13" fmla="*/ 320 h 2304"/>
              <a:gd name="T14" fmla="*/ 802 w 2203"/>
              <a:gd name="T15" fmla="*/ 430 h 2304"/>
              <a:gd name="T16" fmla="*/ 654 w 2203"/>
              <a:gd name="T17" fmla="*/ 549 h 2304"/>
              <a:gd name="T18" fmla="*/ 498 w 2203"/>
              <a:gd name="T19" fmla="*/ 677 h 2304"/>
              <a:gd name="T20" fmla="*/ 378 w 2203"/>
              <a:gd name="T21" fmla="*/ 814 h 2304"/>
              <a:gd name="T22" fmla="*/ 267 w 2203"/>
              <a:gd name="T23" fmla="*/ 960 h 2304"/>
              <a:gd name="T24" fmla="*/ 175 w 2203"/>
              <a:gd name="T25" fmla="*/ 1106 h 2304"/>
              <a:gd name="T26" fmla="*/ 101 w 2203"/>
              <a:gd name="T27" fmla="*/ 1262 h 2304"/>
              <a:gd name="T28" fmla="*/ 46 w 2203"/>
              <a:gd name="T29" fmla="*/ 1426 h 2304"/>
              <a:gd name="T30" fmla="*/ 18 w 2203"/>
              <a:gd name="T31" fmla="*/ 1582 h 2304"/>
              <a:gd name="T32" fmla="*/ 0 w 2203"/>
              <a:gd name="T33" fmla="*/ 1746 h 2304"/>
              <a:gd name="T34" fmla="*/ 18 w 2203"/>
              <a:gd name="T35" fmla="*/ 1746 h 2304"/>
              <a:gd name="T36" fmla="*/ 92 w 2203"/>
              <a:gd name="T37" fmla="*/ 1774 h 2304"/>
              <a:gd name="T38" fmla="*/ 193 w 2203"/>
              <a:gd name="T39" fmla="*/ 1801 h 2304"/>
              <a:gd name="T40" fmla="*/ 341 w 2203"/>
              <a:gd name="T41" fmla="*/ 1838 h 2304"/>
              <a:gd name="T42" fmla="*/ 498 w 2203"/>
              <a:gd name="T43" fmla="*/ 1874 h 2304"/>
              <a:gd name="T44" fmla="*/ 691 w 2203"/>
              <a:gd name="T45" fmla="*/ 1920 h 2304"/>
              <a:gd name="T46" fmla="*/ 885 w 2203"/>
              <a:gd name="T47" fmla="*/ 1975 h 2304"/>
              <a:gd name="T48" fmla="*/ 1097 w 2203"/>
              <a:gd name="T49" fmla="*/ 2030 h 2304"/>
              <a:gd name="T50" fmla="*/ 1300 w 2203"/>
              <a:gd name="T51" fmla="*/ 2075 h 2304"/>
              <a:gd name="T52" fmla="*/ 1502 w 2203"/>
              <a:gd name="T53" fmla="*/ 2130 h 2304"/>
              <a:gd name="T54" fmla="*/ 1678 w 2203"/>
              <a:gd name="T55" fmla="*/ 2176 h 2304"/>
              <a:gd name="T56" fmla="*/ 1853 w 2203"/>
              <a:gd name="T57" fmla="*/ 2212 h 2304"/>
              <a:gd name="T58" fmla="*/ 1982 w 2203"/>
              <a:gd name="T59" fmla="*/ 2249 h 2304"/>
              <a:gd name="T60" fmla="*/ 2102 w 2203"/>
              <a:gd name="T61" fmla="*/ 2276 h 2304"/>
              <a:gd name="T62" fmla="*/ 2166 w 2203"/>
              <a:gd name="T63" fmla="*/ 2295 h 2304"/>
              <a:gd name="T64" fmla="*/ 2203 w 2203"/>
              <a:gd name="T65" fmla="*/ 2304 h 2304"/>
              <a:gd name="T66" fmla="*/ 2203 w 2203"/>
              <a:gd name="T67" fmla="*/ 0 h 2304"/>
              <a:gd name="T68" fmla="*/ 2203 w 2203"/>
              <a:gd name="T69" fmla="*/ 0 h 23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203" h="2304">
                <a:moveTo>
                  <a:pt x="2203" y="0"/>
                </a:moveTo>
                <a:lnTo>
                  <a:pt x="1973" y="0"/>
                </a:lnTo>
                <a:lnTo>
                  <a:pt x="1751" y="37"/>
                </a:lnTo>
                <a:lnTo>
                  <a:pt x="1539" y="83"/>
                </a:lnTo>
                <a:lnTo>
                  <a:pt x="1336" y="156"/>
                </a:lnTo>
                <a:lnTo>
                  <a:pt x="1143" y="220"/>
                </a:lnTo>
                <a:lnTo>
                  <a:pt x="968" y="320"/>
                </a:lnTo>
                <a:lnTo>
                  <a:pt x="802" y="430"/>
                </a:lnTo>
                <a:lnTo>
                  <a:pt x="654" y="549"/>
                </a:lnTo>
                <a:lnTo>
                  <a:pt x="498" y="677"/>
                </a:lnTo>
                <a:lnTo>
                  <a:pt x="378" y="814"/>
                </a:lnTo>
                <a:lnTo>
                  <a:pt x="267" y="960"/>
                </a:lnTo>
                <a:lnTo>
                  <a:pt x="175" y="1106"/>
                </a:lnTo>
                <a:lnTo>
                  <a:pt x="101" y="1262"/>
                </a:lnTo>
                <a:lnTo>
                  <a:pt x="46" y="1426"/>
                </a:lnTo>
                <a:lnTo>
                  <a:pt x="18" y="1582"/>
                </a:lnTo>
                <a:lnTo>
                  <a:pt x="0" y="1746"/>
                </a:lnTo>
                <a:lnTo>
                  <a:pt x="18" y="1746"/>
                </a:lnTo>
                <a:lnTo>
                  <a:pt x="92" y="1774"/>
                </a:lnTo>
                <a:lnTo>
                  <a:pt x="193" y="1801"/>
                </a:lnTo>
                <a:lnTo>
                  <a:pt x="341" y="1838"/>
                </a:lnTo>
                <a:lnTo>
                  <a:pt x="498" y="1874"/>
                </a:lnTo>
                <a:lnTo>
                  <a:pt x="691" y="1920"/>
                </a:lnTo>
                <a:lnTo>
                  <a:pt x="885" y="1975"/>
                </a:lnTo>
                <a:lnTo>
                  <a:pt x="1097" y="2030"/>
                </a:lnTo>
                <a:lnTo>
                  <a:pt x="1300" y="2075"/>
                </a:lnTo>
                <a:lnTo>
                  <a:pt x="1502" y="2130"/>
                </a:lnTo>
                <a:lnTo>
                  <a:pt x="1678" y="2176"/>
                </a:lnTo>
                <a:lnTo>
                  <a:pt x="1853" y="2212"/>
                </a:lnTo>
                <a:lnTo>
                  <a:pt x="1982" y="2249"/>
                </a:lnTo>
                <a:lnTo>
                  <a:pt x="2102" y="2276"/>
                </a:lnTo>
                <a:lnTo>
                  <a:pt x="2166" y="2295"/>
                </a:lnTo>
                <a:lnTo>
                  <a:pt x="2203" y="2304"/>
                </a:lnTo>
                <a:lnTo>
                  <a:pt x="2203" y="0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5" name="Freeform 76">
            <a:extLst>
              <a:ext uri="{FF2B5EF4-FFF2-40B4-BE49-F238E27FC236}">
                <a16:creationId xmlns="" xmlns:a16="http://schemas.microsoft.com/office/drawing/2014/main" id="{00000000-0008-0000-0200-000057030000}"/>
              </a:ext>
            </a:extLst>
          </xdr:cNvPr>
          <xdr:cNvSpPr>
            <a:spLocks/>
          </xdr:cNvSpPr>
        </xdr:nvSpPr>
        <xdr:spPr bwMode="auto">
          <a:xfrm>
            <a:off x="239422" y="15126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B8B8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6" name="Freeform 77">
            <a:extLst>
              <a:ext uri="{FF2B5EF4-FFF2-40B4-BE49-F238E27FC236}">
                <a16:creationId xmlns="" xmlns:a16="http://schemas.microsoft.com/office/drawing/2014/main" id="{00000000-0008-0000-0200-000058030000}"/>
              </a:ext>
            </a:extLst>
          </xdr:cNvPr>
          <xdr:cNvSpPr>
            <a:spLocks/>
          </xdr:cNvSpPr>
        </xdr:nvSpPr>
        <xdr:spPr bwMode="auto">
          <a:xfrm>
            <a:off x="0" y="163877"/>
            <a:ext cx="762996" cy="236922"/>
          </a:xfrm>
          <a:custGeom>
            <a:avLst/>
            <a:gdLst>
              <a:gd name="T0" fmla="*/ 0 w 9522"/>
              <a:gd name="T1" fmla="*/ 2961 h 2961"/>
              <a:gd name="T2" fmla="*/ 9522 w 9522"/>
              <a:gd name="T3" fmla="*/ 2961 h 2961"/>
              <a:gd name="T4" fmla="*/ 9522 w 9522"/>
              <a:gd name="T5" fmla="*/ 0 h 2961"/>
              <a:gd name="T6" fmla="*/ 0 w 9522"/>
              <a:gd name="T7" fmla="*/ 0 h 2961"/>
              <a:gd name="T8" fmla="*/ 0 w 9522"/>
              <a:gd name="T9" fmla="*/ 2961 h 2961"/>
              <a:gd name="T10" fmla="*/ 0 w 9522"/>
              <a:gd name="T11" fmla="*/ 2961 h 29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9522" h="2961">
                <a:moveTo>
                  <a:pt x="0" y="2961"/>
                </a:moveTo>
                <a:lnTo>
                  <a:pt x="9522" y="2961"/>
                </a:lnTo>
                <a:lnTo>
                  <a:pt x="9522" y="0"/>
                </a:lnTo>
                <a:lnTo>
                  <a:pt x="0" y="0"/>
                </a:lnTo>
                <a:lnTo>
                  <a:pt x="0" y="2961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7" name="Freeform 78">
            <a:extLst>
              <a:ext uri="{FF2B5EF4-FFF2-40B4-BE49-F238E27FC236}">
                <a16:creationId xmlns="" xmlns:a16="http://schemas.microsoft.com/office/drawing/2014/main" id="{00000000-0008-0000-0200-000059030000}"/>
              </a:ext>
            </a:extLst>
          </xdr:cNvPr>
          <xdr:cNvSpPr>
            <a:spLocks/>
          </xdr:cNvSpPr>
        </xdr:nvSpPr>
        <xdr:spPr bwMode="auto">
          <a:xfrm>
            <a:off x="204683" y="140440"/>
            <a:ext cx="92319" cy="124439"/>
          </a:xfrm>
          <a:custGeom>
            <a:avLst/>
            <a:gdLst>
              <a:gd name="T0" fmla="*/ 728 w 1152"/>
              <a:gd name="T1" fmla="*/ 0 h 1554"/>
              <a:gd name="T2" fmla="*/ 709 w 1152"/>
              <a:gd name="T3" fmla="*/ 0 h 1554"/>
              <a:gd name="T4" fmla="*/ 682 w 1152"/>
              <a:gd name="T5" fmla="*/ 28 h 1554"/>
              <a:gd name="T6" fmla="*/ 645 w 1152"/>
              <a:gd name="T7" fmla="*/ 55 h 1554"/>
              <a:gd name="T8" fmla="*/ 608 w 1152"/>
              <a:gd name="T9" fmla="*/ 119 h 1554"/>
              <a:gd name="T10" fmla="*/ 544 w 1152"/>
              <a:gd name="T11" fmla="*/ 174 h 1554"/>
              <a:gd name="T12" fmla="*/ 488 w 1152"/>
              <a:gd name="T13" fmla="*/ 247 h 1554"/>
              <a:gd name="T14" fmla="*/ 415 w 1152"/>
              <a:gd name="T15" fmla="*/ 338 h 1554"/>
              <a:gd name="T16" fmla="*/ 350 w 1152"/>
              <a:gd name="T17" fmla="*/ 448 h 1554"/>
              <a:gd name="T18" fmla="*/ 285 w 1152"/>
              <a:gd name="T19" fmla="*/ 558 h 1554"/>
              <a:gd name="T20" fmla="*/ 221 w 1152"/>
              <a:gd name="T21" fmla="*/ 667 h 1554"/>
              <a:gd name="T22" fmla="*/ 156 w 1152"/>
              <a:gd name="T23" fmla="*/ 795 h 1554"/>
              <a:gd name="T24" fmla="*/ 101 w 1152"/>
              <a:gd name="T25" fmla="*/ 942 h 1554"/>
              <a:gd name="T26" fmla="*/ 46 w 1152"/>
              <a:gd name="T27" fmla="*/ 1070 h 1554"/>
              <a:gd name="T28" fmla="*/ 18 w 1152"/>
              <a:gd name="T29" fmla="*/ 1225 h 1554"/>
              <a:gd name="T30" fmla="*/ 0 w 1152"/>
              <a:gd name="T31" fmla="*/ 1380 h 1554"/>
              <a:gd name="T32" fmla="*/ 0 w 1152"/>
              <a:gd name="T33" fmla="*/ 1554 h 1554"/>
              <a:gd name="T34" fmla="*/ 18 w 1152"/>
              <a:gd name="T35" fmla="*/ 1554 h 1554"/>
              <a:gd name="T36" fmla="*/ 46 w 1152"/>
              <a:gd name="T37" fmla="*/ 1554 h 1554"/>
              <a:gd name="T38" fmla="*/ 92 w 1152"/>
              <a:gd name="T39" fmla="*/ 1554 h 1554"/>
              <a:gd name="T40" fmla="*/ 129 w 1152"/>
              <a:gd name="T41" fmla="*/ 1554 h 1554"/>
              <a:gd name="T42" fmla="*/ 184 w 1152"/>
              <a:gd name="T43" fmla="*/ 1554 h 1554"/>
              <a:gd name="T44" fmla="*/ 239 w 1152"/>
              <a:gd name="T45" fmla="*/ 1554 h 1554"/>
              <a:gd name="T46" fmla="*/ 304 w 1152"/>
              <a:gd name="T47" fmla="*/ 1554 h 1554"/>
              <a:gd name="T48" fmla="*/ 350 w 1152"/>
              <a:gd name="T49" fmla="*/ 1545 h 1554"/>
              <a:gd name="T50" fmla="*/ 415 w 1152"/>
              <a:gd name="T51" fmla="*/ 1536 h 1554"/>
              <a:gd name="T52" fmla="*/ 461 w 1152"/>
              <a:gd name="T53" fmla="*/ 1527 h 1554"/>
              <a:gd name="T54" fmla="*/ 516 w 1152"/>
              <a:gd name="T55" fmla="*/ 1527 h 1554"/>
              <a:gd name="T56" fmla="*/ 553 w 1152"/>
              <a:gd name="T57" fmla="*/ 1527 h 1554"/>
              <a:gd name="T58" fmla="*/ 580 w 1152"/>
              <a:gd name="T59" fmla="*/ 1527 h 1554"/>
              <a:gd name="T60" fmla="*/ 599 w 1152"/>
              <a:gd name="T61" fmla="*/ 1527 h 1554"/>
              <a:gd name="T62" fmla="*/ 617 w 1152"/>
              <a:gd name="T63" fmla="*/ 1527 h 1554"/>
              <a:gd name="T64" fmla="*/ 1152 w 1152"/>
              <a:gd name="T65" fmla="*/ 274 h 1554"/>
              <a:gd name="T66" fmla="*/ 728 w 1152"/>
              <a:gd name="T67" fmla="*/ 274 h 1554"/>
              <a:gd name="T68" fmla="*/ 728 w 1152"/>
              <a:gd name="T69" fmla="*/ 0 h 1554"/>
              <a:gd name="T70" fmla="*/ 728 w 1152"/>
              <a:gd name="T71" fmla="*/ 0 h 15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1152" h="1554">
                <a:moveTo>
                  <a:pt x="728" y="0"/>
                </a:moveTo>
                <a:lnTo>
                  <a:pt x="709" y="0"/>
                </a:lnTo>
                <a:lnTo>
                  <a:pt x="682" y="28"/>
                </a:lnTo>
                <a:lnTo>
                  <a:pt x="645" y="55"/>
                </a:lnTo>
                <a:lnTo>
                  <a:pt x="608" y="119"/>
                </a:lnTo>
                <a:lnTo>
                  <a:pt x="544" y="174"/>
                </a:lnTo>
                <a:lnTo>
                  <a:pt x="488" y="247"/>
                </a:lnTo>
                <a:lnTo>
                  <a:pt x="415" y="338"/>
                </a:lnTo>
                <a:lnTo>
                  <a:pt x="350" y="448"/>
                </a:lnTo>
                <a:lnTo>
                  <a:pt x="285" y="558"/>
                </a:lnTo>
                <a:lnTo>
                  <a:pt x="221" y="667"/>
                </a:lnTo>
                <a:lnTo>
                  <a:pt x="156" y="795"/>
                </a:lnTo>
                <a:lnTo>
                  <a:pt x="101" y="942"/>
                </a:lnTo>
                <a:lnTo>
                  <a:pt x="46" y="1070"/>
                </a:lnTo>
                <a:lnTo>
                  <a:pt x="18" y="1225"/>
                </a:lnTo>
                <a:lnTo>
                  <a:pt x="0" y="1380"/>
                </a:lnTo>
                <a:lnTo>
                  <a:pt x="0" y="1554"/>
                </a:lnTo>
                <a:lnTo>
                  <a:pt x="18" y="1554"/>
                </a:lnTo>
                <a:lnTo>
                  <a:pt x="46" y="1554"/>
                </a:lnTo>
                <a:lnTo>
                  <a:pt x="92" y="1554"/>
                </a:lnTo>
                <a:lnTo>
                  <a:pt x="129" y="1554"/>
                </a:lnTo>
                <a:lnTo>
                  <a:pt x="184" y="1554"/>
                </a:lnTo>
                <a:lnTo>
                  <a:pt x="239" y="1554"/>
                </a:lnTo>
                <a:lnTo>
                  <a:pt x="304" y="1554"/>
                </a:lnTo>
                <a:lnTo>
                  <a:pt x="350" y="1545"/>
                </a:lnTo>
                <a:lnTo>
                  <a:pt x="415" y="1536"/>
                </a:lnTo>
                <a:lnTo>
                  <a:pt x="461" y="1527"/>
                </a:lnTo>
                <a:lnTo>
                  <a:pt x="516" y="1527"/>
                </a:lnTo>
                <a:lnTo>
                  <a:pt x="553" y="1527"/>
                </a:lnTo>
                <a:lnTo>
                  <a:pt x="580" y="1527"/>
                </a:lnTo>
                <a:lnTo>
                  <a:pt x="599" y="1527"/>
                </a:lnTo>
                <a:lnTo>
                  <a:pt x="617" y="1527"/>
                </a:lnTo>
                <a:lnTo>
                  <a:pt x="1152" y="274"/>
                </a:lnTo>
                <a:lnTo>
                  <a:pt x="728" y="274"/>
                </a:lnTo>
                <a:lnTo>
                  <a:pt x="728" y="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8" name="Freeform 79">
            <a:extLst>
              <a:ext uri="{FF2B5EF4-FFF2-40B4-BE49-F238E27FC236}">
                <a16:creationId xmlns="" xmlns:a16="http://schemas.microsoft.com/office/drawing/2014/main" id="{00000000-0008-0000-0200-00005A030000}"/>
              </a:ext>
            </a:extLst>
          </xdr:cNvPr>
          <xdr:cNvSpPr>
            <a:spLocks/>
          </xdr:cNvSpPr>
        </xdr:nvSpPr>
        <xdr:spPr bwMode="auto">
          <a:xfrm>
            <a:off x="50383" y="252091"/>
            <a:ext cx="181722" cy="45326"/>
          </a:xfrm>
          <a:custGeom>
            <a:avLst/>
            <a:gdLst>
              <a:gd name="T0" fmla="*/ 2194 w 2268"/>
              <a:gd name="T1" fmla="*/ 64 h 567"/>
              <a:gd name="T2" fmla="*/ 2120 w 2268"/>
              <a:gd name="T3" fmla="*/ 36 h 567"/>
              <a:gd name="T4" fmla="*/ 2028 w 2268"/>
              <a:gd name="T5" fmla="*/ 9 h 567"/>
              <a:gd name="T6" fmla="*/ 1963 w 2268"/>
              <a:gd name="T7" fmla="*/ 9 h 567"/>
              <a:gd name="T8" fmla="*/ 1880 w 2268"/>
              <a:gd name="T9" fmla="*/ 0 h 567"/>
              <a:gd name="T10" fmla="*/ 1807 w 2268"/>
              <a:gd name="T11" fmla="*/ 9 h 567"/>
              <a:gd name="T12" fmla="*/ 1715 w 2268"/>
              <a:gd name="T13" fmla="*/ 36 h 567"/>
              <a:gd name="T14" fmla="*/ 1641 w 2268"/>
              <a:gd name="T15" fmla="*/ 55 h 567"/>
              <a:gd name="T16" fmla="*/ 1576 w 2268"/>
              <a:gd name="T17" fmla="*/ 100 h 567"/>
              <a:gd name="T18" fmla="*/ 1503 w 2268"/>
              <a:gd name="T19" fmla="*/ 164 h 567"/>
              <a:gd name="T20" fmla="*/ 1420 w 2268"/>
              <a:gd name="T21" fmla="*/ 210 h 567"/>
              <a:gd name="T22" fmla="*/ 1318 w 2268"/>
              <a:gd name="T23" fmla="*/ 247 h 567"/>
              <a:gd name="T24" fmla="*/ 1244 w 2268"/>
              <a:gd name="T25" fmla="*/ 256 h 567"/>
              <a:gd name="T26" fmla="*/ 1180 w 2268"/>
              <a:gd name="T27" fmla="*/ 237 h 567"/>
              <a:gd name="T28" fmla="*/ 1106 w 2268"/>
              <a:gd name="T29" fmla="*/ 210 h 567"/>
              <a:gd name="T30" fmla="*/ 1032 w 2268"/>
              <a:gd name="T31" fmla="*/ 183 h 567"/>
              <a:gd name="T32" fmla="*/ 949 w 2268"/>
              <a:gd name="T33" fmla="*/ 155 h 567"/>
              <a:gd name="T34" fmla="*/ 866 w 2268"/>
              <a:gd name="T35" fmla="*/ 128 h 567"/>
              <a:gd name="T36" fmla="*/ 784 w 2268"/>
              <a:gd name="T37" fmla="*/ 119 h 567"/>
              <a:gd name="T38" fmla="*/ 682 w 2268"/>
              <a:gd name="T39" fmla="*/ 119 h 567"/>
              <a:gd name="T40" fmla="*/ 590 w 2268"/>
              <a:gd name="T41" fmla="*/ 137 h 567"/>
              <a:gd name="T42" fmla="*/ 498 w 2268"/>
              <a:gd name="T43" fmla="*/ 164 h 567"/>
              <a:gd name="T44" fmla="*/ 415 w 2268"/>
              <a:gd name="T45" fmla="*/ 210 h 567"/>
              <a:gd name="T46" fmla="*/ 341 w 2268"/>
              <a:gd name="T47" fmla="*/ 237 h 567"/>
              <a:gd name="T48" fmla="*/ 267 w 2268"/>
              <a:gd name="T49" fmla="*/ 274 h 567"/>
              <a:gd name="T50" fmla="*/ 175 w 2268"/>
              <a:gd name="T51" fmla="*/ 329 h 567"/>
              <a:gd name="T52" fmla="*/ 92 w 2268"/>
              <a:gd name="T53" fmla="*/ 347 h 567"/>
              <a:gd name="T54" fmla="*/ 28 w 2268"/>
              <a:gd name="T55" fmla="*/ 356 h 567"/>
              <a:gd name="T56" fmla="*/ 0 w 2268"/>
              <a:gd name="T57" fmla="*/ 356 h 567"/>
              <a:gd name="T58" fmla="*/ 28 w 2268"/>
              <a:gd name="T59" fmla="*/ 365 h 567"/>
              <a:gd name="T60" fmla="*/ 101 w 2268"/>
              <a:gd name="T61" fmla="*/ 384 h 567"/>
              <a:gd name="T62" fmla="*/ 194 w 2268"/>
              <a:gd name="T63" fmla="*/ 402 h 567"/>
              <a:gd name="T64" fmla="*/ 267 w 2268"/>
              <a:gd name="T65" fmla="*/ 402 h 567"/>
              <a:gd name="T66" fmla="*/ 350 w 2268"/>
              <a:gd name="T67" fmla="*/ 402 h 567"/>
              <a:gd name="T68" fmla="*/ 433 w 2268"/>
              <a:gd name="T69" fmla="*/ 384 h 567"/>
              <a:gd name="T70" fmla="*/ 507 w 2268"/>
              <a:gd name="T71" fmla="*/ 356 h 567"/>
              <a:gd name="T72" fmla="*/ 590 w 2268"/>
              <a:gd name="T73" fmla="*/ 338 h 567"/>
              <a:gd name="T74" fmla="*/ 691 w 2268"/>
              <a:gd name="T75" fmla="*/ 329 h 567"/>
              <a:gd name="T76" fmla="*/ 820 w 2268"/>
              <a:gd name="T77" fmla="*/ 356 h 567"/>
              <a:gd name="T78" fmla="*/ 922 w 2268"/>
              <a:gd name="T79" fmla="*/ 402 h 567"/>
              <a:gd name="T80" fmla="*/ 1005 w 2268"/>
              <a:gd name="T81" fmla="*/ 439 h 567"/>
              <a:gd name="T82" fmla="*/ 1078 w 2268"/>
              <a:gd name="T83" fmla="*/ 475 h 567"/>
              <a:gd name="T84" fmla="*/ 1152 w 2268"/>
              <a:gd name="T85" fmla="*/ 512 h 567"/>
              <a:gd name="T86" fmla="*/ 1244 w 2268"/>
              <a:gd name="T87" fmla="*/ 539 h 567"/>
              <a:gd name="T88" fmla="*/ 1364 w 2268"/>
              <a:gd name="T89" fmla="*/ 557 h 567"/>
              <a:gd name="T90" fmla="*/ 1466 w 2268"/>
              <a:gd name="T91" fmla="*/ 539 h 567"/>
              <a:gd name="T92" fmla="*/ 1549 w 2268"/>
              <a:gd name="T93" fmla="*/ 512 h 567"/>
              <a:gd name="T94" fmla="*/ 1650 w 2268"/>
              <a:gd name="T95" fmla="*/ 466 h 567"/>
              <a:gd name="T96" fmla="*/ 1751 w 2268"/>
              <a:gd name="T97" fmla="*/ 429 h 567"/>
              <a:gd name="T98" fmla="*/ 1844 w 2268"/>
              <a:gd name="T99" fmla="*/ 402 h 567"/>
              <a:gd name="T100" fmla="*/ 1963 w 2268"/>
              <a:gd name="T101" fmla="*/ 420 h 567"/>
              <a:gd name="T102" fmla="*/ 2083 w 2268"/>
              <a:gd name="T103" fmla="*/ 457 h 567"/>
              <a:gd name="T104" fmla="*/ 2194 w 2268"/>
              <a:gd name="T105" fmla="*/ 512 h 567"/>
              <a:gd name="T106" fmla="*/ 2258 w 2268"/>
              <a:gd name="T107" fmla="*/ 557 h 567"/>
              <a:gd name="T108" fmla="*/ 2203 w 2268"/>
              <a:gd name="T109" fmla="*/ 73 h 5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268" h="567">
                <a:moveTo>
                  <a:pt x="2203" y="73"/>
                </a:moveTo>
                <a:lnTo>
                  <a:pt x="2194" y="64"/>
                </a:lnTo>
                <a:lnTo>
                  <a:pt x="2166" y="55"/>
                </a:lnTo>
                <a:lnTo>
                  <a:pt x="2120" y="36"/>
                </a:lnTo>
                <a:lnTo>
                  <a:pt x="2074" y="27"/>
                </a:lnTo>
                <a:lnTo>
                  <a:pt x="2028" y="9"/>
                </a:lnTo>
                <a:lnTo>
                  <a:pt x="2000" y="9"/>
                </a:lnTo>
                <a:lnTo>
                  <a:pt x="1963" y="9"/>
                </a:lnTo>
                <a:lnTo>
                  <a:pt x="1927" y="9"/>
                </a:lnTo>
                <a:lnTo>
                  <a:pt x="1880" y="0"/>
                </a:lnTo>
                <a:lnTo>
                  <a:pt x="1844" y="9"/>
                </a:lnTo>
                <a:lnTo>
                  <a:pt x="1807" y="9"/>
                </a:lnTo>
                <a:lnTo>
                  <a:pt x="1770" y="27"/>
                </a:lnTo>
                <a:lnTo>
                  <a:pt x="1715" y="36"/>
                </a:lnTo>
                <a:lnTo>
                  <a:pt x="1678" y="46"/>
                </a:lnTo>
                <a:lnTo>
                  <a:pt x="1641" y="55"/>
                </a:lnTo>
                <a:lnTo>
                  <a:pt x="1622" y="82"/>
                </a:lnTo>
                <a:lnTo>
                  <a:pt x="1576" y="100"/>
                </a:lnTo>
                <a:lnTo>
                  <a:pt x="1539" y="137"/>
                </a:lnTo>
                <a:lnTo>
                  <a:pt x="1503" y="164"/>
                </a:lnTo>
                <a:lnTo>
                  <a:pt x="1466" y="183"/>
                </a:lnTo>
                <a:lnTo>
                  <a:pt x="1420" y="210"/>
                </a:lnTo>
                <a:lnTo>
                  <a:pt x="1355" y="247"/>
                </a:lnTo>
                <a:lnTo>
                  <a:pt x="1318" y="247"/>
                </a:lnTo>
                <a:lnTo>
                  <a:pt x="1281" y="256"/>
                </a:lnTo>
                <a:lnTo>
                  <a:pt x="1244" y="256"/>
                </a:lnTo>
                <a:lnTo>
                  <a:pt x="1217" y="256"/>
                </a:lnTo>
                <a:lnTo>
                  <a:pt x="1180" y="237"/>
                </a:lnTo>
                <a:lnTo>
                  <a:pt x="1134" y="228"/>
                </a:lnTo>
                <a:lnTo>
                  <a:pt x="1106" y="210"/>
                </a:lnTo>
                <a:lnTo>
                  <a:pt x="1069" y="210"/>
                </a:lnTo>
                <a:lnTo>
                  <a:pt x="1032" y="183"/>
                </a:lnTo>
                <a:lnTo>
                  <a:pt x="986" y="174"/>
                </a:lnTo>
                <a:lnTo>
                  <a:pt x="949" y="155"/>
                </a:lnTo>
                <a:lnTo>
                  <a:pt x="913" y="146"/>
                </a:lnTo>
                <a:lnTo>
                  <a:pt x="866" y="128"/>
                </a:lnTo>
                <a:lnTo>
                  <a:pt x="830" y="119"/>
                </a:lnTo>
                <a:lnTo>
                  <a:pt x="784" y="119"/>
                </a:lnTo>
                <a:lnTo>
                  <a:pt x="737" y="119"/>
                </a:lnTo>
                <a:lnTo>
                  <a:pt x="682" y="119"/>
                </a:lnTo>
                <a:lnTo>
                  <a:pt x="636" y="128"/>
                </a:lnTo>
                <a:lnTo>
                  <a:pt x="590" y="137"/>
                </a:lnTo>
                <a:lnTo>
                  <a:pt x="544" y="155"/>
                </a:lnTo>
                <a:lnTo>
                  <a:pt x="498" y="164"/>
                </a:lnTo>
                <a:lnTo>
                  <a:pt x="461" y="183"/>
                </a:lnTo>
                <a:lnTo>
                  <a:pt x="415" y="210"/>
                </a:lnTo>
                <a:lnTo>
                  <a:pt x="378" y="228"/>
                </a:lnTo>
                <a:lnTo>
                  <a:pt x="341" y="237"/>
                </a:lnTo>
                <a:lnTo>
                  <a:pt x="304" y="256"/>
                </a:lnTo>
                <a:lnTo>
                  <a:pt x="267" y="274"/>
                </a:lnTo>
                <a:lnTo>
                  <a:pt x="240" y="292"/>
                </a:lnTo>
                <a:lnTo>
                  <a:pt x="175" y="329"/>
                </a:lnTo>
                <a:lnTo>
                  <a:pt x="138" y="347"/>
                </a:lnTo>
                <a:lnTo>
                  <a:pt x="92" y="347"/>
                </a:lnTo>
                <a:lnTo>
                  <a:pt x="46" y="356"/>
                </a:lnTo>
                <a:lnTo>
                  <a:pt x="28" y="356"/>
                </a:lnTo>
                <a:lnTo>
                  <a:pt x="9" y="356"/>
                </a:lnTo>
                <a:lnTo>
                  <a:pt x="0" y="356"/>
                </a:lnTo>
                <a:lnTo>
                  <a:pt x="9" y="365"/>
                </a:lnTo>
                <a:lnTo>
                  <a:pt x="28" y="365"/>
                </a:lnTo>
                <a:lnTo>
                  <a:pt x="55" y="375"/>
                </a:lnTo>
                <a:lnTo>
                  <a:pt x="101" y="384"/>
                </a:lnTo>
                <a:lnTo>
                  <a:pt x="166" y="402"/>
                </a:lnTo>
                <a:lnTo>
                  <a:pt x="194" y="402"/>
                </a:lnTo>
                <a:lnTo>
                  <a:pt x="230" y="402"/>
                </a:lnTo>
                <a:lnTo>
                  <a:pt x="267" y="402"/>
                </a:lnTo>
                <a:lnTo>
                  <a:pt x="313" y="402"/>
                </a:lnTo>
                <a:lnTo>
                  <a:pt x="350" y="402"/>
                </a:lnTo>
                <a:lnTo>
                  <a:pt x="387" y="402"/>
                </a:lnTo>
                <a:lnTo>
                  <a:pt x="433" y="384"/>
                </a:lnTo>
                <a:lnTo>
                  <a:pt x="479" y="384"/>
                </a:lnTo>
                <a:lnTo>
                  <a:pt x="507" y="356"/>
                </a:lnTo>
                <a:lnTo>
                  <a:pt x="544" y="347"/>
                </a:lnTo>
                <a:lnTo>
                  <a:pt x="590" y="338"/>
                </a:lnTo>
                <a:lnTo>
                  <a:pt x="627" y="338"/>
                </a:lnTo>
                <a:lnTo>
                  <a:pt x="691" y="329"/>
                </a:lnTo>
                <a:lnTo>
                  <a:pt x="765" y="338"/>
                </a:lnTo>
                <a:lnTo>
                  <a:pt x="820" y="356"/>
                </a:lnTo>
                <a:lnTo>
                  <a:pt x="894" y="384"/>
                </a:lnTo>
                <a:lnTo>
                  <a:pt x="922" y="402"/>
                </a:lnTo>
                <a:lnTo>
                  <a:pt x="959" y="420"/>
                </a:lnTo>
                <a:lnTo>
                  <a:pt x="1005" y="439"/>
                </a:lnTo>
                <a:lnTo>
                  <a:pt x="1051" y="466"/>
                </a:lnTo>
                <a:lnTo>
                  <a:pt x="1078" y="475"/>
                </a:lnTo>
                <a:lnTo>
                  <a:pt x="1115" y="493"/>
                </a:lnTo>
                <a:lnTo>
                  <a:pt x="1152" y="512"/>
                </a:lnTo>
                <a:lnTo>
                  <a:pt x="1189" y="521"/>
                </a:lnTo>
                <a:lnTo>
                  <a:pt x="1244" y="539"/>
                </a:lnTo>
                <a:lnTo>
                  <a:pt x="1309" y="557"/>
                </a:lnTo>
                <a:lnTo>
                  <a:pt x="1364" y="557"/>
                </a:lnTo>
                <a:lnTo>
                  <a:pt x="1420" y="557"/>
                </a:lnTo>
                <a:lnTo>
                  <a:pt x="1466" y="539"/>
                </a:lnTo>
                <a:lnTo>
                  <a:pt x="1512" y="539"/>
                </a:lnTo>
                <a:lnTo>
                  <a:pt x="1549" y="512"/>
                </a:lnTo>
                <a:lnTo>
                  <a:pt x="1604" y="484"/>
                </a:lnTo>
                <a:lnTo>
                  <a:pt x="1650" y="466"/>
                </a:lnTo>
                <a:lnTo>
                  <a:pt x="1705" y="448"/>
                </a:lnTo>
                <a:lnTo>
                  <a:pt x="1751" y="429"/>
                </a:lnTo>
                <a:lnTo>
                  <a:pt x="1797" y="420"/>
                </a:lnTo>
                <a:lnTo>
                  <a:pt x="1844" y="402"/>
                </a:lnTo>
                <a:lnTo>
                  <a:pt x="1899" y="411"/>
                </a:lnTo>
                <a:lnTo>
                  <a:pt x="1963" y="420"/>
                </a:lnTo>
                <a:lnTo>
                  <a:pt x="2028" y="439"/>
                </a:lnTo>
                <a:lnTo>
                  <a:pt x="2083" y="457"/>
                </a:lnTo>
                <a:lnTo>
                  <a:pt x="2148" y="484"/>
                </a:lnTo>
                <a:lnTo>
                  <a:pt x="2194" y="512"/>
                </a:lnTo>
                <a:lnTo>
                  <a:pt x="2231" y="539"/>
                </a:lnTo>
                <a:lnTo>
                  <a:pt x="2258" y="557"/>
                </a:lnTo>
                <a:lnTo>
                  <a:pt x="2268" y="567"/>
                </a:lnTo>
                <a:lnTo>
                  <a:pt x="2203" y="73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9" name="Freeform 80">
            <a:extLst>
              <a:ext uri="{FF2B5EF4-FFF2-40B4-BE49-F238E27FC236}">
                <a16:creationId xmlns="" xmlns:a16="http://schemas.microsoft.com/office/drawing/2014/main" id="{00000000-0008-0000-0200-00005B030000}"/>
              </a:ext>
            </a:extLst>
          </xdr:cNvPr>
          <xdr:cNvSpPr>
            <a:spLocks/>
          </xdr:cNvSpPr>
        </xdr:nvSpPr>
        <xdr:spPr bwMode="auto">
          <a:xfrm>
            <a:off x="396161" y="267675"/>
            <a:ext cx="172740" cy="170539"/>
          </a:xfrm>
          <a:custGeom>
            <a:avLst/>
            <a:gdLst>
              <a:gd name="T0" fmla="*/ 857 w 2157"/>
              <a:gd name="T1" fmla="*/ 2130 h 2130"/>
              <a:gd name="T2" fmla="*/ 1032 w 2157"/>
              <a:gd name="T3" fmla="*/ 2038 h 2130"/>
              <a:gd name="T4" fmla="*/ 1189 w 2157"/>
              <a:gd name="T5" fmla="*/ 1947 h 2130"/>
              <a:gd name="T6" fmla="*/ 1336 w 2157"/>
              <a:gd name="T7" fmla="*/ 1837 h 2130"/>
              <a:gd name="T8" fmla="*/ 1475 w 2157"/>
              <a:gd name="T9" fmla="*/ 1718 h 2130"/>
              <a:gd name="T10" fmla="*/ 1585 w 2157"/>
              <a:gd name="T11" fmla="*/ 1590 h 2130"/>
              <a:gd name="T12" fmla="*/ 1696 w 2157"/>
              <a:gd name="T13" fmla="*/ 1453 h 2130"/>
              <a:gd name="T14" fmla="*/ 1788 w 2157"/>
              <a:gd name="T15" fmla="*/ 1316 h 2130"/>
              <a:gd name="T16" fmla="*/ 1871 w 2157"/>
              <a:gd name="T17" fmla="*/ 1170 h 2130"/>
              <a:gd name="T18" fmla="*/ 1935 w 2157"/>
              <a:gd name="T19" fmla="*/ 1014 h 2130"/>
              <a:gd name="T20" fmla="*/ 1991 w 2157"/>
              <a:gd name="T21" fmla="*/ 868 h 2130"/>
              <a:gd name="T22" fmla="*/ 2037 w 2157"/>
              <a:gd name="T23" fmla="*/ 713 h 2130"/>
              <a:gd name="T24" fmla="*/ 2083 w 2157"/>
              <a:gd name="T25" fmla="*/ 566 h 2130"/>
              <a:gd name="T26" fmla="*/ 2111 w 2157"/>
              <a:gd name="T27" fmla="*/ 420 h 2130"/>
              <a:gd name="T28" fmla="*/ 2138 w 2157"/>
              <a:gd name="T29" fmla="*/ 274 h 2130"/>
              <a:gd name="T30" fmla="*/ 2147 w 2157"/>
              <a:gd name="T31" fmla="*/ 137 h 2130"/>
              <a:gd name="T32" fmla="*/ 2157 w 2157"/>
              <a:gd name="T33" fmla="*/ 9 h 2130"/>
              <a:gd name="T34" fmla="*/ 2129 w 2157"/>
              <a:gd name="T35" fmla="*/ 0 h 2130"/>
              <a:gd name="T36" fmla="*/ 2064 w 2157"/>
              <a:gd name="T37" fmla="*/ 0 h 2130"/>
              <a:gd name="T38" fmla="*/ 1954 w 2157"/>
              <a:gd name="T39" fmla="*/ 0 h 2130"/>
              <a:gd name="T40" fmla="*/ 1816 w 2157"/>
              <a:gd name="T41" fmla="*/ 0 h 2130"/>
              <a:gd name="T42" fmla="*/ 1650 w 2157"/>
              <a:gd name="T43" fmla="*/ 0 h 2130"/>
              <a:gd name="T44" fmla="*/ 1465 w 2157"/>
              <a:gd name="T45" fmla="*/ 0 h 2130"/>
              <a:gd name="T46" fmla="*/ 1272 w 2157"/>
              <a:gd name="T47" fmla="*/ 0 h 2130"/>
              <a:gd name="T48" fmla="*/ 1078 w 2157"/>
              <a:gd name="T49" fmla="*/ 9 h 2130"/>
              <a:gd name="T50" fmla="*/ 866 w 2157"/>
              <a:gd name="T51" fmla="*/ 9 h 2130"/>
              <a:gd name="T52" fmla="*/ 673 w 2157"/>
              <a:gd name="T53" fmla="*/ 9 h 2130"/>
              <a:gd name="T54" fmla="*/ 497 w 2157"/>
              <a:gd name="T55" fmla="*/ 9 h 2130"/>
              <a:gd name="T56" fmla="*/ 332 w 2157"/>
              <a:gd name="T57" fmla="*/ 18 h 2130"/>
              <a:gd name="T58" fmla="*/ 184 w 2157"/>
              <a:gd name="T59" fmla="*/ 18 h 2130"/>
              <a:gd name="T60" fmla="*/ 83 w 2157"/>
              <a:gd name="T61" fmla="*/ 18 h 2130"/>
              <a:gd name="T62" fmla="*/ 18 w 2157"/>
              <a:gd name="T63" fmla="*/ 18 h 2130"/>
              <a:gd name="T64" fmla="*/ 0 w 2157"/>
              <a:gd name="T65" fmla="*/ 18 h 2130"/>
              <a:gd name="T66" fmla="*/ 857 w 2157"/>
              <a:gd name="T67" fmla="*/ 2130 h 2130"/>
              <a:gd name="T68" fmla="*/ 857 w 2157"/>
              <a:gd name="T69" fmla="*/ 2130 h 21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157" h="2130">
                <a:moveTo>
                  <a:pt x="857" y="2130"/>
                </a:moveTo>
                <a:lnTo>
                  <a:pt x="1032" y="2038"/>
                </a:lnTo>
                <a:lnTo>
                  <a:pt x="1189" y="1947"/>
                </a:lnTo>
                <a:lnTo>
                  <a:pt x="1336" y="1837"/>
                </a:lnTo>
                <a:lnTo>
                  <a:pt x="1475" y="1718"/>
                </a:lnTo>
                <a:lnTo>
                  <a:pt x="1585" y="1590"/>
                </a:lnTo>
                <a:lnTo>
                  <a:pt x="1696" y="1453"/>
                </a:lnTo>
                <a:lnTo>
                  <a:pt x="1788" y="1316"/>
                </a:lnTo>
                <a:lnTo>
                  <a:pt x="1871" y="1170"/>
                </a:lnTo>
                <a:lnTo>
                  <a:pt x="1935" y="1014"/>
                </a:lnTo>
                <a:lnTo>
                  <a:pt x="1991" y="868"/>
                </a:lnTo>
                <a:lnTo>
                  <a:pt x="2037" y="713"/>
                </a:lnTo>
                <a:lnTo>
                  <a:pt x="2083" y="566"/>
                </a:lnTo>
                <a:lnTo>
                  <a:pt x="2111" y="420"/>
                </a:lnTo>
                <a:lnTo>
                  <a:pt x="2138" y="274"/>
                </a:lnTo>
                <a:lnTo>
                  <a:pt x="2147" y="137"/>
                </a:lnTo>
                <a:lnTo>
                  <a:pt x="2157" y="9"/>
                </a:lnTo>
                <a:lnTo>
                  <a:pt x="2129" y="0"/>
                </a:lnTo>
                <a:lnTo>
                  <a:pt x="2064" y="0"/>
                </a:lnTo>
                <a:lnTo>
                  <a:pt x="1954" y="0"/>
                </a:lnTo>
                <a:lnTo>
                  <a:pt x="1816" y="0"/>
                </a:lnTo>
                <a:lnTo>
                  <a:pt x="1650" y="0"/>
                </a:lnTo>
                <a:lnTo>
                  <a:pt x="1465" y="0"/>
                </a:lnTo>
                <a:lnTo>
                  <a:pt x="1272" y="0"/>
                </a:lnTo>
                <a:lnTo>
                  <a:pt x="1078" y="9"/>
                </a:lnTo>
                <a:lnTo>
                  <a:pt x="866" y="9"/>
                </a:lnTo>
                <a:lnTo>
                  <a:pt x="673" y="9"/>
                </a:lnTo>
                <a:lnTo>
                  <a:pt x="497" y="9"/>
                </a:lnTo>
                <a:lnTo>
                  <a:pt x="332" y="18"/>
                </a:lnTo>
                <a:lnTo>
                  <a:pt x="184" y="18"/>
                </a:lnTo>
                <a:lnTo>
                  <a:pt x="83" y="18"/>
                </a:lnTo>
                <a:lnTo>
                  <a:pt x="18" y="18"/>
                </a:lnTo>
                <a:lnTo>
                  <a:pt x="0" y="18"/>
                </a:lnTo>
                <a:lnTo>
                  <a:pt x="857" y="213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0" name="Freeform 81">
            <a:extLst>
              <a:ext uri="{FF2B5EF4-FFF2-40B4-BE49-F238E27FC236}">
                <a16:creationId xmlns="" xmlns:a16="http://schemas.microsoft.com/office/drawing/2014/main" id="{00000000-0008-0000-0200-00005C030000}"/>
              </a:ext>
            </a:extLst>
          </xdr:cNvPr>
          <xdr:cNvSpPr>
            <a:spLocks/>
          </xdr:cNvSpPr>
        </xdr:nvSpPr>
        <xdr:spPr bwMode="auto">
          <a:xfrm>
            <a:off x="235555" y="128484"/>
            <a:ext cx="307233" cy="305090"/>
          </a:xfrm>
          <a:custGeom>
            <a:avLst/>
            <a:gdLst>
              <a:gd name="T0" fmla="*/ 2101 w 3834"/>
              <a:gd name="T1" fmla="*/ 3793 h 3812"/>
              <a:gd name="T2" fmla="*/ 2470 w 3834"/>
              <a:gd name="T3" fmla="*/ 3711 h 3812"/>
              <a:gd name="T4" fmla="*/ 2820 w 3834"/>
              <a:gd name="T5" fmla="*/ 3574 h 3812"/>
              <a:gd name="T6" fmla="*/ 3125 w 3834"/>
              <a:gd name="T7" fmla="*/ 3364 h 3812"/>
              <a:gd name="T8" fmla="*/ 3383 w 3834"/>
              <a:gd name="T9" fmla="*/ 3108 h 3812"/>
              <a:gd name="T10" fmla="*/ 3595 w 3834"/>
              <a:gd name="T11" fmla="*/ 2806 h 3812"/>
              <a:gd name="T12" fmla="*/ 3733 w 3834"/>
              <a:gd name="T13" fmla="*/ 2459 h 3812"/>
              <a:gd name="T14" fmla="*/ 3825 w 3834"/>
              <a:gd name="T15" fmla="*/ 2093 h 3812"/>
              <a:gd name="T16" fmla="*/ 3825 w 3834"/>
              <a:gd name="T17" fmla="*/ 1709 h 3812"/>
              <a:gd name="T18" fmla="*/ 3733 w 3834"/>
              <a:gd name="T19" fmla="*/ 1335 h 3812"/>
              <a:gd name="T20" fmla="*/ 3595 w 3834"/>
              <a:gd name="T21" fmla="*/ 987 h 3812"/>
              <a:gd name="T22" fmla="*/ 3383 w 3834"/>
              <a:gd name="T23" fmla="*/ 686 h 3812"/>
              <a:gd name="T24" fmla="*/ 3125 w 3834"/>
              <a:gd name="T25" fmla="*/ 430 h 3812"/>
              <a:gd name="T26" fmla="*/ 2820 w 3834"/>
              <a:gd name="T27" fmla="*/ 229 h 3812"/>
              <a:gd name="T28" fmla="*/ 2470 w 3834"/>
              <a:gd name="T29" fmla="*/ 82 h 3812"/>
              <a:gd name="T30" fmla="*/ 2101 w 3834"/>
              <a:gd name="T31" fmla="*/ 9 h 3812"/>
              <a:gd name="T32" fmla="*/ 1714 w 3834"/>
              <a:gd name="T33" fmla="*/ 9 h 3812"/>
              <a:gd name="T34" fmla="*/ 1336 w 3834"/>
              <a:gd name="T35" fmla="*/ 82 h 3812"/>
              <a:gd name="T36" fmla="*/ 995 w 3834"/>
              <a:gd name="T37" fmla="*/ 229 h 3812"/>
              <a:gd name="T38" fmla="*/ 691 w 3834"/>
              <a:gd name="T39" fmla="*/ 430 h 3812"/>
              <a:gd name="T40" fmla="*/ 424 w 3834"/>
              <a:gd name="T41" fmla="*/ 686 h 3812"/>
              <a:gd name="T42" fmla="*/ 230 w 3834"/>
              <a:gd name="T43" fmla="*/ 987 h 3812"/>
              <a:gd name="T44" fmla="*/ 74 w 3834"/>
              <a:gd name="T45" fmla="*/ 1335 h 3812"/>
              <a:gd name="T46" fmla="*/ 9 w 3834"/>
              <a:gd name="T47" fmla="*/ 1709 h 3812"/>
              <a:gd name="T48" fmla="*/ 9 w 3834"/>
              <a:gd name="T49" fmla="*/ 2093 h 3812"/>
              <a:gd name="T50" fmla="*/ 74 w 3834"/>
              <a:gd name="T51" fmla="*/ 2459 h 3812"/>
              <a:gd name="T52" fmla="*/ 230 w 3834"/>
              <a:gd name="T53" fmla="*/ 2806 h 3812"/>
              <a:gd name="T54" fmla="*/ 424 w 3834"/>
              <a:gd name="T55" fmla="*/ 3108 h 3812"/>
              <a:gd name="T56" fmla="*/ 691 w 3834"/>
              <a:gd name="T57" fmla="*/ 3364 h 3812"/>
              <a:gd name="T58" fmla="*/ 995 w 3834"/>
              <a:gd name="T59" fmla="*/ 3574 h 3812"/>
              <a:gd name="T60" fmla="*/ 1336 w 3834"/>
              <a:gd name="T61" fmla="*/ 3711 h 3812"/>
              <a:gd name="T62" fmla="*/ 1714 w 3834"/>
              <a:gd name="T63" fmla="*/ 3793 h 3812"/>
              <a:gd name="T64" fmla="*/ 1917 w 3834"/>
              <a:gd name="T65" fmla="*/ 3812 h 38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834" h="3812">
                <a:moveTo>
                  <a:pt x="1917" y="3812"/>
                </a:moveTo>
                <a:lnTo>
                  <a:pt x="2101" y="3793"/>
                </a:lnTo>
                <a:lnTo>
                  <a:pt x="2295" y="3766"/>
                </a:lnTo>
                <a:lnTo>
                  <a:pt x="2470" y="3711"/>
                </a:lnTo>
                <a:lnTo>
                  <a:pt x="2655" y="3656"/>
                </a:lnTo>
                <a:lnTo>
                  <a:pt x="2820" y="3574"/>
                </a:lnTo>
                <a:lnTo>
                  <a:pt x="2977" y="3474"/>
                </a:lnTo>
                <a:lnTo>
                  <a:pt x="3125" y="3364"/>
                </a:lnTo>
                <a:lnTo>
                  <a:pt x="3272" y="3245"/>
                </a:lnTo>
                <a:lnTo>
                  <a:pt x="3383" y="3108"/>
                </a:lnTo>
                <a:lnTo>
                  <a:pt x="3493" y="2962"/>
                </a:lnTo>
                <a:lnTo>
                  <a:pt x="3595" y="2806"/>
                </a:lnTo>
                <a:lnTo>
                  <a:pt x="3678" y="2642"/>
                </a:lnTo>
                <a:lnTo>
                  <a:pt x="3733" y="2459"/>
                </a:lnTo>
                <a:lnTo>
                  <a:pt x="3788" y="2276"/>
                </a:lnTo>
                <a:lnTo>
                  <a:pt x="3825" y="2093"/>
                </a:lnTo>
                <a:lnTo>
                  <a:pt x="3834" y="1901"/>
                </a:lnTo>
                <a:lnTo>
                  <a:pt x="3825" y="1709"/>
                </a:lnTo>
                <a:lnTo>
                  <a:pt x="3788" y="1517"/>
                </a:lnTo>
                <a:lnTo>
                  <a:pt x="3733" y="1335"/>
                </a:lnTo>
                <a:lnTo>
                  <a:pt x="3678" y="1161"/>
                </a:lnTo>
                <a:lnTo>
                  <a:pt x="3595" y="987"/>
                </a:lnTo>
                <a:lnTo>
                  <a:pt x="3493" y="841"/>
                </a:lnTo>
                <a:lnTo>
                  <a:pt x="3383" y="686"/>
                </a:lnTo>
                <a:lnTo>
                  <a:pt x="3272" y="558"/>
                </a:lnTo>
                <a:lnTo>
                  <a:pt x="3125" y="430"/>
                </a:lnTo>
                <a:lnTo>
                  <a:pt x="2977" y="320"/>
                </a:lnTo>
                <a:lnTo>
                  <a:pt x="2820" y="229"/>
                </a:lnTo>
                <a:lnTo>
                  <a:pt x="2655" y="146"/>
                </a:lnTo>
                <a:lnTo>
                  <a:pt x="2470" y="82"/>
                </a:lnTo>
                <a:lnTo>
                  <a:pt x="2295" y="37"/>
                </a:lnTo>
                <a:lnTo>
                  <a:pt x="2101" y="9"/>
                </a:lnTo>
                <a:lnTo>
                  <a:pt x="1917" y="0"/>
                </a:lnTo>
                <a:lnTo>
                  <a:pt x="1714" y="9"/>
                </a:lnTo>
                <a:lnTo>
                  <a:pt x="1530" y="37"/>
                </a:lnTo>
                <a:lnTo>
                  <a:pt x="1336" y="82"/>
                </a:lnTo>
                <a:lnTo>
                  <a:pt x="1161" y="146"/>
                </a:lnTo>
                <a:lnTo>
                  <a:pt x="995" y="229"/>
                </a:lnTo>
                <a:lnTo>
                  <a:pt x="839" y="320"/>
                </a:lnTo>
                <a:lnTo>
                  <a:pt x="691" y="430"/>
                </a:lnTo>
                <a:lnTo>
                  <a:pt x="553" y="558"/>
                </a:lnTo>
                <a:lnTo>
                  <a:pt x="424" y="686"/>
                </a:lnTo>
                <a:lnTo>
                  <a:pt x="322" y="841"/>
                </a:lnTo>
                <a:lnTo>
                  <a:pt x="230" y="987"/>
                </a:lnTo>
                <a:lnTo>
                  <a:pt x="147" y="1161"/>
                </a:lnTo>
                <a:lnTo>
                  <a:pt x="74" y="1335"/>
                </a:lnTo>
                <a:lnTo>
                  <a:pt x="37" y="1517"/>
                </a:lnTo>
                <a:lnTo>
                  <a:pt x="9" y="1709"/>
                </a:lnTo>
                <a:lnTo>
                  <a:pt x="0" y="1901"/>
                </a:lnTo>
                <a:lnTo>
                  <a:pt x="9" y="2093"/>
                </a:lnTo>
                <a:lnTo>
                  <a:pt x="37" y="2276"/>
                </a:lnTo>
                <a:lnTo>
                  <a:pt x="74" y="2459"/>
                </a:lnTo>
                <a:lnTo>
                  <a:pt x="147" y="2642"/>
                </a:lnTo>
                <a:lnTo>
                  <a:pt x="230" y="2806"/>
                </a:lnTo>
                <a:lnTo>
                  <a:pt x="322" y="2962"/>
                </a:lnTo>
                <a:lnTo>
                  <a:pt x="424" y="3108"/>
                </a:lnTo>
                <a:lnTo>
                  <a:pt x="553" y="3245"/>
                </a:lnTo>
                <a:lnTo>
                  <a:pt x="691" y="3364"/>
                </a:lnTo>
                <a:lnTo>
                  <a:pt x="839" y="3474"/>
                </a:lnTo>
                <a:lnTo>
                  <a:pt x="995" y="3574"/>
                </a:lnTo>
                <a:lnTo>
                  <a:pt x="1161" y="3656"/>
                </a:lnTo>
                <a:lnTo>
                  <a:pt x="1336" y="3711"/>
                </a:lnTo>
                <a:lnTo>
                  <a:pt x="1530" y="3766"/>
                </a:lnTo>
                <a:lnTo>
                  <a:pt x="1714" y="3793"/>
                </a:lnTo>
                <a:lnTo>
                  <a:pt x="1917" y="3812"/>
                </a:lnTo>
                <a:close/>
              </a:path>
            </a:pathLst>
          </a:custGeom>
          <a:solidFill>
            <a:srgbClr val="E6FF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1" name="Freeform 82">
            <a:extLst>
              <a:ext uri="{FF2B5EF4-FFF2-40B4-BE49-F238E27FC236}">
                <a16:creationId xmlns="" xmlns:a16="http://schemas.microsoft.com/office/drawing/2014/main" id="{00000000-0008-0000-0200-00005D030000}"/>
              </a:ext>
            </a:extLst>
          </xdr:cNvPr>
          <xdr:cNvSpPr>
            <a:spLocks/>
          </xdr:cNvSpPr>
        </xdr:nvSpPr>
        <xdr:spPr bwMode="auto">
          <a:xfrm>
            <a:off x="234722" y="128068"/>
            <a:ext cx="258575" cy="256790"/>
          </a:xfrm>
          <a:custGeom>
            <a:avLst/>
            <a:gdLst>
              <a:gd name="T0" fmla="*/ 1779 w 3227"/>
              <a:gd name="T1" fmla="*/ 3190 h 3208"/>
              <a:gd name="T2" fmla="*/ 2083 w 3227"/>
              <a:gd name="T3" fmla="*/ 3126 h 3208"/>
              <a:gd name="T4" fmla="*/ 2369 w 3227"/>
              <a:gd name="T5" fmla="*/ 2998 h 3208"/>
              <a:gd name="T6" fmla="*/ 2627 w 3227"/>
              <a:gd name="T7" fmla="*/ 2825 h 3208"/>
              <a:gd name="T8" fmla="*/ 2849 w 3227"/>
              <a:gd name="T9" fmla="*/ 2605 h 3208"/>
              <a:gd name="T10" fmla="*/ 3024 w 3227"/>
              <a:gd name="T11" fmla="*/ 2349 h 3208"/>
              <a:gd name="T12" fmla="*/ 3153 w 3227"/>
              <a:gd name="T13" fmla="*/ 2066 h 3208"/>
              <a:gd name="T14" fmla="*/ 3217 w 3227"/>
              <a:gd name="T15" fmla="*/ 1755 h 3208"/>
              <a:gd name="T16" fmla="*/ 3217 w 3227"/>
              <a:gd name="T17" fmla="*/ 1426 h 3208"/>
              <a:gd name="T18" fmla="*/ 3153 w 3227"/>
              <a:gd name="T19" fmla="*/ 1124 h 3208"/>
              <a:gd name="T20" fmla="*/ 3024 w 3227"/>
              <a:gd name="T21" fmla="*/ 832 h 3208"/>
              <a:gd name="T22" fmla="*/ 2849 w 3227"/>
              <a:gd name="T23" fmla="*/ 585 h 3208"/>
              <a:gd name="T24" fmla="*/ 2627 w 3227"/>
              <a:gd name="T25" fmla="*/ 366 h 3208"/>
              <a:gd name="T26" fmla="*/ 2369 w 3227"/>
              <a:gd name="T27" fmla="*/ 192 h 3208"/>
              <a:gd name="T28" fmla="*/ 2083 w 3227"/>
              <a:gd name="T29" fmla="*/ 64 h 3208"/>
              <a:gd name="T30" fmla="*/ 1779 w 3227"/>
              <a:gd name="T31" fmla="*/ 9 h 3208"/>
              <a:gd name="T32" fmla="*/ 1438 w 3227"/>
              <a:gd name="T33" fmla="*/ 9 h 3208"/>
              <a:gd name="T34" fmla="*/ 1125 w 3227"/>
              <a:gd name="T35" fmla="*/ 64 h 3208"/>
              <a:gd name="T36" fmla="*/ 839 w 3227"/>
              <a:gd name="T37" fmla="*/ 192 h 3208"/>
              <a:gd name="T38" fmla="*/ 581 w 3227"/>
              <a:gd name="T39" fmla="*/ 366 h 3208"/>
              <a:gd name="T40" fmla="*/ 369 w 3227"/>
              <a:gd name="T41" fmla="*/ 585 h 3208"/>
              <a:gd name="T42" fmla="*/ 194 w 3227"/>
              <a:gd name="T43" fmla="*/ 832 h 3208"/>
              <a:gd name="T44" fmla="*/ 65 w 3227"/>
              <a:gd name="T45" fmla="*/ 1124 h 3208"/>
              <a:gd name="T46" fmla="*/ 9 w 3227"/>
              <a:gd name="T47" fmla="*/ 1426 h 3208"/>
              <a:gd name="T48" fmla="*/ 9 w 3227"/>
              <a:gd name="T49" fmla="*/ 1755 h 3208"/>
              <a:gd name="T50" fmla="*/ 65 w 3227"/>
              <a:gd name="T51" fmla="*/ 2066 h 3208"/>
              <a:gd name="T52" fmla="*/ 194 w 3227"/>
              <a:gd name="T53" fmla="*/ 2349 h 3208"/>
              <a:gd name="T54" fmla="*/ 369 w 3227"/>
              <a:gd name="T55" fmla="*/ 2605 h 3208"/>
              <a:gd name="T56" fmla="*/ 581 w 3227"/>
              <a:gd name="T57" fmla="*/ 2825 h 3208"/>
              <a:gd name="T58" fmla="*/ 839 w 3227"/>
              <a:gd name="T59" fmla="*/ 2998 h 3208"/>
              <a:gd name="T60" fmla="*/ 1125 w 3227"/>
              <a:gd name="T61" fmla="*/ 3126 h 3208"/>
              <a:gd name="T62" fmla="*/ 1438 w 3227"/>
              <a:gd name="T63" fmla="*/ 3190 h 3208"/>
              <a:gd name="T64" fmla="*/ 1613 w 3227"/>
              <a:gd name="T65" fmla="*/ 3208 h 3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227" h="3208">
                <a:moveTo>
                  <a:pt x="1613" y="3208"/>
                </a:moveTo>
                <a:lnTo>
                  <a:pt x="1779" y="3190"/>
                </a:lnTo>
                <a:lnTo>
                  <a:pt x="1936" y="3163"/>
                </a:lnTo>
                <a:lnTo>
                  <a:pt x="2083" y="3126"/>
                </a:lnTo>
                <a:lnTo>
                  <a:pt x="2240" y="3080"/>
                </a:lnTo>
                <a:lnTo>
                  <a:pt x="2369" y="2998"/>
                </a:lnTo>
                <a:lnTo>
                  <a:pt x="2508" y="2925"/>
                </a:lnTo>
                <a:lnTo>
                  <a:pt x="2627" y="2825"/>
                </a:lnTo>
                <a:lnTo>
                  <a:pt x="2756" y="2733"/>
                </a:lnTo>
                <a:lnTo>
                  <a:pt x="2849" y="2605"/>
                </a:lnTo>
                <a:lnTo>
                  <a:pt x="2941" y="2486"/>
                </a:lnTo>
                <a:lnTo>
                  <a:pt x="3024" y="2349"/>
                </a:lnTo>
                <a:lnTo>
                  <a:pt x="3097" y="2221"/>
                </a:lnTo>
                <a:lnTo>
                  <a:pt x="3153" y="2066"/>
                </a:lnTo>
                <a:lnTo>
                  <a:pt x="3190" y="1920"/>
                </a:lnTo>
                <a:lnTo>
                  <a:pt x="3217" y="1755"/>
                </a:lnTo>
                <a:lnTo>
                  <a:pt x="3227" y="1600"/>
                </a:lnTo>
                <a:lnTo>
                  <a:pt x="3217" y="1426"/>
                </a:lnTo>
                <a:lnTo>
                  <a:pt x="3190" y="1280"/>
                </a:lnTo>
                <a:lnTo>
                  <a:pt x="3153" y="1124"/>
                </a:lnTo>
                <a:lnTo>
                  <a:pt x="3097" y="978"/>
                </a:lnTo>
                <a:lnTo>
                  <a:pt x="3024" y="832"/>
                </a:lnTo>
                <a:lnTo>
                  <a:pt x="2941" y="704"/>
                </a:lnTo>
                <a:lnTo>
                  <a:pt x="2849" y="585"/>
                </a:lnTo>
                <a:lnTo>
                  <a:pt x="2756" y="475"/>
                </a:lnTo>
                <a:lnTo>
                  <a:pt x="2627" y="366"/>
                </a:lnTo>
                <a:lnTo>
                  <a:pt x="2508" y="274"/>
                </a:lnTo>
                <a:lnTo>
                  <a:pt x="2369" y="192"/>
                </a:lnTo>
                <a:lnTo>
                  <a:pt x="2240" y="128"/>
                </a:lnTo>
                <a:lnTo>
                  <a:pt x="2083" y="64"/>
                </a:lnTo>
                <a:lnTo>
                  <a:pt x="1936" y="37"/>
                </a:lnTo>
                <a:lnTo>
                  <a:pt x="1779" y="9"/>
                </a:lnTo>
                <a:lnTo>
                  <a:pt x="1613" y="0"/>
                </a:lnTo>
                <a:lnTo>
                  <a:pt x="1438" y="9"/>
                </a:lnTo>
                <a:lnTo>
                  <a:pt x="1282" y="37"/>
                </a:lnTo>
                <a:lnTo>
                  <a:pt x="1125" y="64"/>
                </a:lnTo>
                <a:lnTo>
                  <a:pt x="987" y="128"/>
                </a:lnTo>
                <a:lnTo>
                  <a:pt x="839" y="192"/>
                </a:lnTo>
                <a:lnTo>
                  <a:pt x="710" y="274"/>
                </a:lnTo>
                <a:lnTo>
                  <a:pt x="581" y="366"/>
                </a:lnTo>
                <a:lnTo>
                  <a:pt x="470" y="475"/>
                </a:lnTo>
                <a:lnTo>
                  <a:pt x="369" y="585"/>
                </a:lnTo>
                <a:lnTo>
                  <a:pt x="277" y="704"/>
                </a:lnTo>
                <a:lnTo>
                  <a:pt x="194" y="832"/>
                </a:lnTo>
                <a:lnTo>
                  <a:pt x="129" y="978"/>
                </a:lnTo>
                <a:lnTo>
                  <a:pt x="65" y="1124"/>
                </a:lnTo>
                <a:lnTo>
                  <a:pt x="37" y="1280"/>
                </a:lnTo>
                <a:lnTo>
                  <a:pt x="9" y="1426"/>
                </a:lnTo>
                <a:lnTo>
                  <a:pt x="0" y="1600"/>
                </a:lnTo>
                <a:lnTo>
                  <a:pt x="9" y="1755"/>
                </a:lnTo>
                <a:lnTo>
                  <a:pt x="37" y="1920"/>
                </a:lnTo>
                <a:lnTo>
                  <a:pt x="65" y="2066"/>
                </a:lnTo>
                <a:lnTo>
                  <a:pt x="129" y="2221"/>
                </a:lnTo>
                <a:lnTo>
                  <a:pt x="194" y="2349"/>
                </a:lnTo>
                <a:lnTo>
                  <a:pt x="277" y="2486"/>
                </a:lnTo>
                <a:lnTo>
                  <a:pt x="369" y="2605"/>
                </a:lnTo>
                <a:lnTo>
                  <a:pt x="470" y="2733"/>
                </a:lnTo>
                <a:lnTo>
                  <a:pt x="581" y="2825"/>
                </a:lnTo>
                <a:lnTo>
                  <a:pt x="710" y="2925"/>
                </a:lnTo>
                <a:lnTo>
                  <a:pt x="839" y="2998"/>
                </a:lnTo>
                <a:lnTo>
                  <a:pt x="987" y="3080"/>
                </a:lnTo>
                <a:lnTo>
                  <a:pt x="1125" y="3126"/>
                </a:lnTo>
                <a:lnTo>
                  <a:pt x="1282" y="3163"/>
                </a:lnTo>
                <a:lnTo>
                  <a:pt x="1438" y="3190"/>
                </a:lnTo>
                <a:lnTo>
                  <a:pt x="1613" y="3208"/>
                </a:lnTo>
                <a:close/>
              </a:path>
            </a:pathLst>
          </a:custGeom>
          <a:solidFill>
            <a:srgbClr val="EDFF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2" name="Freeform 83">
            <a:extLst>
              <a:ext uri="{FF2B5EF4-FFF2-40B4-BE49-F238E27FC236}">
                <a16:creationId xmlns="" xmlns:a16="http://schemas.microsoft.com/office/drawing/2014/main" id="{00000000-0008-0000-0200-00005E030000}"/>
              </a:ext>
            </a:extLst>
          </xdr:cNvPr>
          <xdr:cNvSpPr>
            <a:spLocks/>
          </xdr:cNvSpPr>
        </xdr:nvSpPr>
        <xdr:spPr bwMode="auto">
          <a:xfrm>
            <a:off x="256315" y="144901"/>
            <a:ext cx="209799" cy="208489"/>
          </a:xfrm>
          <a:custGeom>
            <a:avLst/>
            <a:gdLst>
              <a:gd name="T0" fmla="*/ 1438 w 2618"/>
              <a:gd name="T1" fmla="*/ 2587 h 2605"/>
              <a:gd name="T2" fmla="*/ 1687 w 2618"/>
              <a:gd name="T3" fmla="*/ 2532 h 2605"/>
              <a:gd name="T4" fmla="*/ 1926 w 2618"/>
              <a:gd name="T5" fmla="*/ 2431 h 2605"/>
              <a:gd name="T6" fmla="*/ 2129 w 2618"/>
              <a:gd name="T7" fmla="*/ 2294 h 2605"/>
              <a:gd name="T8" fmla="*/ 2304 w 2618"/>
              <a:gd name="T9" fmla="*/ 2121 h 2605"/>
              <a:gd name="T10" fmla="*/ 2452 w 2618"/>
              <a:gd name="T11" fmla="*/ 1910 h 2605"/>
              <a:gd name="T12" fmla="*/ 2544 w 2618"/>
              <a:gd name="T13" fmla="*/ 1682 h 2605"/>
              <a:gd name="T14" fmla="*/ 2609 w 2618"/>
              <a:gd name="T15" fmla="*/ 1435 h 2605"/>
              <a:gd name="T16" fmla="*/ 2609 w 2618"/>
              <a:gd name="T17" fmla="*/ 1170 h 2605"/>
              <a:gd name="T18" fmla="*/ 2544 w 2618"/>
              <a:gd name="T19" fmla="*/ 914 h 2605"/>
              <a:gd name="T20" fmla="*/ 2452 w 2618"/>
              <a:gd name="T21" fmla="*/ 676 h 2605"/>
              <a:gd name="T22" fmla="*/ 2304 w 2618"/>
              <a:gd name="T23" fmla="*/ 466 h 2605"/>
              <a:gd name="T24" fmla="*/ 2129 w 2618"/>
              <a:gd name="T25" fmla="*/ 292 h 2605"/>
              <a:gd name="T26" fmla="*/ 1926 w 2618"/>
              <a:gd name="T27" fmla="*/ 155 h 2605"/>
              <a:gd name="T28" fmla="*/ 1687 w 2618"/>
              <a:gd name="T29" fmla="*/ 55 h 2605"/>
              <a:gd name="T30" fmla="*/ 1438 w 2618"/>
              <a:gd name="T31" fmla="*/ 0 h 2605"/>
              <a:gd name="T32" fmla="*/ 1171 w 2618"/>
              <a:gd name="T33" fmla="*/ 0 h 2605"/>
              <a:gd name="T34" fmla="*/ 913 w 2618"/>
              <a:gd name="T35" fmla="*/ 55 h 2605"/>
              <a:gd name="T36" fmla="*/ 673 w 2618"/>
              <a:gd name="T37" fmla="*/ 155 h 2605"/>
              <a:gd name="T38" fmla="*/ 470 w 2618"/>
              <a:gd name="T39" fmla="*/ 292 h 2605"/>
              <a:gd name="T40" fmla="*/ 295 w 2618"/>
              <a:gd name="T41" fmla="*/ 466 h 2605"/>
              <a:gd name="T42" fmla="*/ 147 w 2618"/>
              <a:gd name="T43" fmla="*/ 676 h 2605"/>
              <a:gd name="T44" fmla="*/ 55 w 2618"/>
              <a:gd name="T45" fmla="*/ 914 h 2605"/>
              <a:gd name="T46" fmla="*/ 0 w 2618"/>
              <a:gd name="T47" fmla="*/ 1170 h 2605"/>
              <a:gd name="T48" fmla="*/ 0 w 2618"/>
              <a:gd name="T49" fmla="*/ 1435 h 2605"/>
              <a:gd name="T50" fmla="*/ 55 w 2618"/>
              <a:gd name="T51" fmla="*/ 1682 h 2605"/>
              <a:gd name="T52" fmla="*/ 147 w 2618"/>
              <a:gd name="T53" fmla="*/ 1910 h 2605"/>
              <a:gd name="T54" fmla="*/ 295 w 2618"/>
              <a:gd name="T55" fmla="*/ 2121 h 2605"/>
              <a:gd name="T56" fmla="*/ 470 w 2618"/>
              <a:gd name="T57" fmla="*/ 2294 h 2605"/>
              <a:gd name="T58" fmla="*/ 673 w 2618"/>
              <a:gd name="T59" fmla="*/ 2431 h 2605"/>
              <a:gd name="T60" fmla="*/ 913 w 2618"/>
              <a:gd name="T61" fmla="*/ 2532 h 2605"/>
              <a:gd name="T62" fmla="*/ 1171 w 2618"/>
              <a:gd name="T63" fmla="*/ 2587 h 2605"/>
              <a:gd name="T64" fmla="*/ 1309 w 2618"/>
              <a:gd name="T65" fmla="*/ 2605 h 26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618" h="2605">
                <a:moveTo>
                  <a:pt x="1309" y="2605"/>
                </a:moveTo>
                <a:lnTo>
                  <a:pt x="1438" y="2587"/>
                </a:lnTo>
                <a:lnTo>
                  <a:pt x="1567" y="2569"/>
                </a:lnTo>
                <a:lnTo>
                  <a:pt x="1687" y="2532"/>
                </a:lnTo>
                <a:lnTo>
                  <a:pt x="1816" y="2495"/>
                </a:lnTo>
                <a:lnTo>
                  <a:pt x="1926" y="2431"/>
                </a:lnTo>
                <a:lnTo>
                  <a:pt x="2037" y="2367"/>
                </a:lnTo>
                <a:lnTo>
                  <a:pt x="2129" y="2294"/>
                </a:lnTo>
                <a:lnTo>
                  <a:pt x="2231" y="2212"/>
                </a:lnTo>
                <a:lnTo>
                  <a:pt x="2304" y="2121"/>
                </a:lnTo>
                <a:lnTo>
                  <a:pt x="2387" y="2020"/>
                </a:lnTo>
                <a:lnTo>
                  <a:pt x="2452" y="1910"/>
                </a:lnTo>
                <a:lnTo>
                  <a:pt x="2507" y="1801"/>
                </a:lnTo>
                <a:lnTo>
                  <a:pt x="2544" y="1682"/>
                </a:lnTo>
                <a:lnTo>
                  <a:pt x="2581" y="1563"/>
                </a:lnTo>
                <a:lnTo>
                  <a:pt x="2609" y="1435"/>
                </a:lnTo>
                <a:lnTo>
                  <a:pt x="2618" y="1298"/>
                </a:lnTo>
                <a:lnTo>
                  <a:pt x="2609" y="1170"/>
                </a:lnTo>
                <a:lnTo>
                  <a:pt x="2581" y="1042"/>
                </a:lnTo>
                <a:lnTo>
                  <a:pt x="2544" y="914"/>
                </a:lnTo>
                <a:lnTo>
                  <a:pt x="2507" y="795"/>
                </a:lnTo>
                <a:lnTo>
                  <a:pt x="2452" y="676"/>
                </a:lnTo>
                <a:lnTo>
                  <a:pt x="2387" y="567"/>
                </a:lnTo>
                <a:lnTo>
                  <a:pt x="2304" y="466"/>
                </a:lnTo>
                <a:lnTo>
                  <a:pt x="2231" y="384"/>
                </a:lnTo>
                <a:lnTo>
                  <a:pt x="2129" y="292"/>
                </a:lnTo>
                <a:lnTo>
                  <a:pt x="2037" y="219"/>
                </a:lnTo>
                <a:lnTo>
                  <a:pt x="1926" y="155"/>
                </a:lnTo>
                <a:lnTo>
                  <a:pt x="1816" y="101"/>
                </a:lnTo>
                <a:lnTo>
                  <a:pt x="1687" y="55"/>
                </a:lnTo>
                <a:lnTo>
                  <a:pt x="1567" y="27"/>
                </a:lnTo>
                <a:lnTo>
                  <a:pt x="1438" y="0"/>
                </a:lnTo>
                <a:lnTo>
                  <a:pt x="1309" y="0"/>
                </a:lnTo>
                <a:lnTo>
                  <a:pt x="1171" y="0"/>
                </a:lnTo>
                <a:lnTo>
                  <a:pt x="1042" y="27"/>
                </a:lnTo>
                <a:lnTo>
                  <a:pt x="913" y="55"/>
                </a:lnTo>
                <a:lnTo>
                  <a:pt x="802" y="101"/>
                </a:lnTo>
                <a:lnTo>
                  <a:pt x="673" y="155"/>
                </a:lnTo>
                <a:lnTo>
                  <a:pt x="571" y="219"/>
                </a:lnTo>
                <a:lnTo>
                  <a:pt x="470" y="292"/>
                </a:lnTo>
                <a:lnTo>
                  <a:pt x="387" y="384"/>
                </a:lnTo>
                <a:lnTo>
                  <a:pt x="295" y="466"/>
                </a:lnTo>
                <a:lnTo>
                  <a:pt x="212" y="567"/>
                </a:lnTo>
                <a:lnTo>
                  <a:pt x="147" y="676"/>
                </a:lnTo>
                <a:lnTo>
                  <a:pt x="101" y="795"/>
                </a:lnTo>
                <a:lnTo>
                  <a:pt x="55" y="914"/>
                </a:lnTo>
                <a:lnTo>
                  <a:pt x="18" y="1042"/>
                </a:lnTo>
                <a:lnTo>
                  <a:pt x="0" y="1170"/>
                </a:lnTo>
                <a:lnTo>
                  <a:pt x="0" y="1298"/>
                </a:lnTo>
                <a:lnTo>
                  <a:pt x="0" y="1435"/>
                </a:lnTo>
                <a:lnTo>
                  <a:pt x="18" y="1563"/>
                </a:lnTo>
                <a:lnTo>
                  <a:pt x="55" y="1682"/>
                </a:lnTo>
                <a:lnTo>
                  <a:pt x="101" y="1801"/>
                </a:lnTo>
                <a:lnTo>
                  <a:pt x="147" y="1910"/>
                </a:lnTo>
                <a:lnTo>
                  <a:pt x="212" y="2020"/>
                </a:lnTo>
                <a:lnTo>
                  <a:pt x="295" y="2121"/>
                </a:lnTo>
                <a:lnTo>
                  <a:pt x="387" y="2212"/>
                </a:lnTo>
                <a:lnTo>
                  <a:pt x="470" y="2294"/>
                </a:lnTo>
                <a:lnTo>
                  <a:pt x="571" y="2367"/>
                </a:lnTo>
                <a:lnTo>
                  <a:pt x="673" y="2431"/>
                </a:lnTo>
                <a:lnTo>
                  <a:pt x="802" y="2495"/>
                </a:lnTo>
                <a:lnTo>
                  <a:pt x="913" y="2532"/>
                </a:lnTo>
                <a:lnTo>
                  <a:pt x="1042" y="2569"/>
                </a:lnTo>
                <a:lnTo>
                  <a:pt x="1171" y="2587"/>
                </a:lnTo>
                <a:lnTo>
                  <a:pt x="1309" y="2605"/>
                </a:lnTo>
                <a:close/>
              </a:path>
            </a:pathLst>
          </a:custGeom>
          <a:solidFill>
            <a:srgbClr val="F0FCD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3" name="Freeform 84">
            <a:extLst>
              <a:ext uri="{FF2B5EF4-FFF2-40B4-BE49-F238E27FC236}">
                <a16:creationId xmlns="" xmlns:a16="http://schemas.microsoft.com/office/drawing/2014/main" id="{00000000-0008-0000-0200-00005F030000}"/>
              </a:ext>
            </a:extLst>
          </xdr:cNvPr>
          <xdr:cNvSpPr>
            <a:spLocks/>
          </xdr:cNvSpPr>
        </xdr:nvSpPr>
        <xdr:spPr bwMode="auto">
          <a:xfrm>
            <a:off x="268093" y="155073"/>
            <a:ext cx="161082" cy="159534"/>
          </a:xfrm>
          <a:custGeom>
            <a:avLst/>
            <a:gdLst>
              <a:gd name="T0" fmla="*/ 1107 w 2010"/>
              <a:gd name="T1" fmla="*/ 1974 h 1993"/>
              <a:gd name="T2" fmla="*/ 1291 w 2010"/>
              <a:gd name="T3" fmla="*/ 1938 h 1993"/>
              <a:gd name="T4" fmla="*/ 1475 w 2010"/>
              <a:gd name="T5" fmla="*/ 1865 h 1993"/>
              <a:gd name="T6" fmla="*/ 1632 w 2010"/>
              <a:gd name="T7" fmla="*/ 1755 h 1993"/>
              <a:gd name="T8" fmla="*/ 1770 w 2010"/>
              <a:gd name="T9" fmla="*/ 1618 h 1993"/>
              <a:gd name="T10" fmla="*/ 1881 w 2010"/>
              <a:gd name="T11" fmla="*/ 1462 h 1993"/>
              <a:gd name="T12" fmla="*/ 1955 w 2010"/>
              <a:gd name="T13" fmla="*/ 1280 h 1993"/>
              <a:gd name="T14" fmla="*/ 2001 w 2010"/>
              <a:gd name="T15" fmla="*/ 1097 h 1993"/>
              <a:gd name="T16" fmla="*/ 2001 w 2010"/>
              <a:gd name="T17" fmla="*/ 887 h 1993"/>
              <a:gd name="T18" fmla="*/ 1955 w 2010"/>
              <a:gd name="T19" fmla="*/ 695 h 1993"/>
              <a:gd name="T20" fmla="*/ 1881 w 2010"/>
              <a:gd name="T21" fmla="*/ 512 h 1993"/>
              <a:gd name="T22" fmla="*/ 1770 w 2010"/>
              <a:gd name="T23" fmla="*/ 356 h 1993"/>
              <a:gd name="T24" fmla="*/ 1632 w 2010"/>
              <a:gd name="T25" fmla="*/ 219 h 1993"/>
              <a:gd name="T26" fmla="*/ 1475 w 2010"/>
              <a:gd name="T27" fmla="*/ 110 h 1993"/>
              <a:gd name="T28" fmla="*/ 1291 w 2010"/>
              <a:gd name="T29" fmla="*/ 46 h 1993"/>
              <a:gd name="T30" fmla="*/ 1107 w 2010"/>
              <a:gd name="T31" fmla="*/ 0 h 1993"/>
              <a:gd name="T32" fmla="*/ 895 w 2010"/>
              <a:gd name="T33" fmla="*/ 0 h 1993"/>
              <a:gd name="T34" fmla="*/ 701 w 2010"/>
              <a:gd name="T35" fmla="*/ 46 h 1993"/>
              <a:gd name="T36" fmla="*/ 517 w 2010"/>
              <a:gd name="T37" fmla="*/ 110 h 1993"/>
              <a:gd name="T38" fmla="*/ 360 w 2010"/>
              <a:gd name="T39" fmla="*/ 219 h 1993"/>
              <a:gd name="T40" fmla="*/ 222 w 2010"/>
              <a:gd name="T41" fmla="*/ 356 h 1993"/>
              <a:gd name="T42" fmla="*/ 111 w 2010"/>
              <a:gd name="T43" fmla="*/ 512 h 1993"/>
              <a:gd name="T44" fmla="*/ 47 w 2010"/>
              <a:gd name="T45" fmla="*/ 695 h 1993"/>
              <a:gd name="T46" fmla="*/ 0 w 2010"/>
              <a:gd name="T47" fmla="*/ 887 h 1993"/>
              <a:gd name="T48" fmla="*/ 0 w 2010"/>
              <a:gd name="T49" fmla="*/ 1097 h 1993"/>
              <a:gd name="T50" fmla="*/ 47 w 2010"/>
              <a:gd name="T51" fmla="*/ 1280 h 1993"/>
              <a:gd name="T52" fmla="*/ 111 w 2010"/>
              <a:gd name="T53" fmla="*/ 1462 h 1993"/>
              <a:gd name="T54" fmla="*/ 222 w 2010"/>
              <a:gd name="T55" fmla="*/ 1618 h 1993"/>
              <a:gd name="T56" fmla="*/ 360 w 2010"/>
              <a:gd name="T57" fmla="*/ 1755 h 1993"/>
              <a:gd name="T58" fmla="*/ 517 w 2010"/>
              <a:gd name="T59" fmla="*/ 1865 h 1993"/>
              <a:gd name="T60" fmla="*/ 701 w 2010"/>
              <a:gd name="T61" fmla="*/ 1938 h 1993"/>
              <a:gd name="T62" fmla="*/ 895 w 2010"/>
              <a:gd name="T63" fmla="*/ 1974 h 1993"/>
              <a:gd name="T64" fmla="*/ 1005 w 2010"/>
              <a:gd name="T65" fmla="*/ 1993 h 19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0" h="1993">
                <a:moveTo>
                  <a:pt x="1005" y="1993"/>
                </a:moveTo>
                <a:lnTo>
                  <a:pt x="1107" y="1974"/>
                </a:lnTo>
                <a:lnTo>
                  <a:pt x="1199" y="1965"/>
                </a:lnTo>
                <a:lnTo>
                  <a:pt x="1291" y="1938"/>
                </a:lnTo>
                <a:lnTo>
                  <a:pt x="1392" y="1910"/>
                </a:lnTo>
                <a:lnTo>
                  <a:pt x="1475" y="1865"/>
                </a:lnTo>
                <a:lnTo>
                  <a:pt x="1558" y="1810"/>
                </a:lnTo>
                <a:lnTo>
                  <a:pt x="1632" y="1755"/>
                </a:lnTo>
                <a:lnTo>
                  <a:pt x="1715" y="1700"/>
                </a:lnTo>
                <a:lnTo>
                  <a:pt x="1770" y="1618"/>
                </a:lnTo>
                <a:lnTo>
                  <a:pt x="1826" y="1545"/>
                </a:lnTo>
                <a:lnTo>
                  <a:pt x="1881" y="1462"/>
                </a:lnTo>
                <a:lnTo>
                  <a:pt x="1927" y="1380"/>
                </a:lnTo>
                <a:lnTo>
                  <a:pt x="1955" y="1280"/>
                </a:lnTo>
                <a:lnTo>
                  <a:pt x="1982" y="1197"/>
                </a:lnTo>
                <a:lnTo>
                  <a:pt x="2001" y="1097"/>
                </a:lnTo>
                <a:lnTo>
                  <a:pt x="2010" y="996"/>
                </a:lnTo>
                <a:lnTo>
                  <a:pt x="2001" y="887"/>
                </a:lnTo>
                <a:lnTo>
                  <a:pt x="1982" y="795"/>
                </a:lnTo>
                <a:lnTo>
                  <a:pt x="1955" y="695"/>
                </a:lnTo>
                <a:lnTo>
                  <a:pt x="1927" y="612"/>
                </a:lnTo>
                <a:lnTo>
                  <a:pt x="1881" y="512"/>
                </a:lnTo>
                <a:lnTo>
                  <a:pt x="1826" y="439"/>
                </a:lnTo>
                <a:lnTo>
                  <a:pt x="1770" y="356"/>
                </a:lnTo>
                <a:lnTo>
                  <a:pt x="1715" y="292"/>
                </a:lnTo>
                <a:lnTo>
                  <a:pt x="1632" y="219"/>
                </a:lnTo>
                <a:lnTo>
                  <a:pt x="1558" y="164"/>
                </a:lnTo>
                <a:lnTo>
                  <a:pt x="1475" y="110"/>
                </a:lnTo>
                <a:lnTo>
                  <a:pt x="1392" y="82"/>
                </a:lnTo>
                <a:lnTo>
                  <a:pt x="1291" y="46"/>
                </a:lnTo>
                <a:lnTo>
                  <a:pt x="1199" y="27"/>
                </a:lnTo>
                <a:lnTo>
                  <a:pt x="1107" y="0"/>
                </a:lnTo>
                <a:lnTo>
                  <a:pt x="1005" y="0"/>
                </a:lnTo>
                <a:lnTo>
                  <a:pt x="895" y="0"/>
                </a:lnTo>
                <a:lnTo>
                  <a:pt x="802" y="27"/>
                </a:lnTo>
                <a:lnTo>
                  <a:pt x="701" y="46"/>
                </a:lnTo>
                <a:lnTo>
                  <a:pt x="609" y="82"/>
                </a:lnTo>
                <a:lnTo>
                  <a:pt x="517" y="110"/>
                </a:lnTo>
                <a:lnTo>
                  <a:pt x="434" y="164"/>
                </a:lnTo>
                <a:lnTo>
                  <a:pt x="360" y="219"/>
                </a:lnTo>
                <a:lnTo>
                  <a:pt x="295" y="292"/>
                </a:lnTo>
                <a:lnTo>
                  <a:pt x="222" y="356"/>
                </a:lnTo>
                <a:lnTo>
                  <a:pt x="166" y="439"/>
                </a:lnTo>
                <a:lnTo>
                  <a:pt x="111" y="512"/>
                </a:lnTo>
                <a:lnTo>
                  <a:pt x="83" y="612"/>
                </a:lnTo>
                <a:lnTo>
                  <a:pt x="47" y="695"/>
                </a:lnTo>
                <a:lnTo>
                  <a:pt x="19" y="795"/>
                </a:lnTo>
                <a:lnTo>
                  <a:pt x="0" y="887"/>
                </a:lnTo>
                <a:lnTo>
                  <a:pt x="0" y="996"/>
                </a:lnTo>
                <a:lnTo>
                  <a:pt x="0" y="1097"/>
                </a:lnTo>
                <a:lnTo>
                  <a:pt x="19" y="1197"/>
                </a:lnTo>
                <a:lnTo>
                  <a:pt x="47" y="1280"/>
                </a:lnTo>
                <a:lnTo>
                  <a:pt x="83" y="1380"/>
                </a:lnTo>
                <a:lnTo>
                  <a:pt x="111" y="1462"/>
                </a:lnTo>
                <a:lnTo>
                  <a:pt x="166" y="1545"/>
                </a:lnTo>
                <a:lnTo>
                  <a:pt x="222" y="1618"/>
                </a:lnTo>
                <a:lnTo>
                  <a:pt x="295" y="1700"/>
                </a:lnTo>
                <a:lnTo>
                  <a:pt x="360" y="1755"/>
                </a:lnTo>
                <a:lnTo>
                  <a:pt x="434" y="1810"/>
                </a:lnTo>
                <a:lnTo>
                  <a:pt x="517" y="1865"/>
                </a:lnTo>
                <a:lnTo>
                  <a:pt x="609" y="1910"/>
                </a:lnTo>
                <a:lnTo>
                  <a:pt x="701" y="1938"/>
                </a:lnTo>
                <a:lnTo>
                  <a:pt x="802" y="1965"/>
                </a:lnTo>
                <a:lnTo>
                  <a:pt x="895" y="1974"/>
                </a:lnTo>
                <a:lnTo>
                  <a:pt x="1005" y="1993"/>
                </a:lnTo>
                <a:close/>
              </a:path>
            </a:pathLst>
          </a:custGeom>
          <a:solidFill>
            <a:srgbClr val="F5FA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4" name="Freeform 85">
            <a:extLst>
              <a:ext uri="{FF2B5EF4-FFF2-40B4-BE49-F238E27FC236}">
                <a16:creationId xmlns="" xmlns:a16="http://schemas.microsoft.com/office/drawing/2014/main" id="{00000000-0008-0000-0200-000060030000}"/>
              </a:ext>
            </a:extLst>
          </xdr:cNvPr>
          <xdr:cNvSpPr>
            <a:spLocks/>
          </xdr:cNvSpPr>
        </xdr:nvSpPr>
        <xdr:spPr bwMode="auto">
          <a:xfrm>
            <a:off x="524467" y="232758"/>
            <a:ext cx="239303" cy="8744"/>
          </a:xfrm>
          <a:custGeom>
            <a:avLst/>
            <a:gdLst>
              <a:gd name="T0" fmla="*/ 0 w 2987"/>
              <a:gd name="T1" fmla="*/ 110 h 110"/>
              <a:gd name="T2" fmla="*/ 2987 w 2987"/>
              <a:gd name="T3" fmla="*/ 110 h 110"/>
              <a:gd name="T4" fmla="*/ 2987 w 2987"/>
              <a:gd name="T5" fmla="*/ 0 h 110"/>
              <a:gd name="T6" fmla="*/ 0 w 2987"/>
              <a:gd name="T7" fmla="*/ 0 h 110"/>
              <a:gd name="T8" fmla="*/ 0 w 2987"/>
              <a:gd name="T9" fmla="*/ 110 h 110"/>
              <a:gd name="T10" fmla="*/ 0 w 2987"/>
              <a:gd name="T11" fmla="*/ 110 h 1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987" h="110">
                <a:moveTo>
                  <a:pt x="0" y="110"/>
                </a:moveTo>
                <a:lnTo>
                  <a:pt x="2987" y="110"/>
                </a:lnTo>
                <a:lnTo>
                  <a:pt x="2987" y="0"/>
                </a:lnTo>
                <a:lnTo>
                  <a:pt x="0" y="0"/>
                </a:lnTo>
                <a:lnTo>
                  <a:pt x="0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5" name="Freeform 86">
            <a:extLst>
              <a:ext uri="{FF2B5EF4-FFF2-40B4-BE49-F238E27FC236}">
                <a16:creationId xmlns="" xmlns:a16="http://schemas.microsoft.com/office/drawing/2014/main" id="{00000000-0008-0000-0200-000061030000}"/>
              </a:ext>
            </a:extLst>
          </xdr:cNvPr>
          <xdr:cNvSpPr>
            <a:spLocks/>
          </xdr:cNvSpPr>
        </xdr:nvSpPr>
        <xdr:spPr bwMode="auto">
          <a:xfrm>
            <a:off x="288139" y="167029"/>
            <a:ext cx="111532" cy="111234"/>
          </a:xfrm>
          <a:custGeom>
            <a:avLst/>
            <a:gdLst>
              <a:gd name="T0" fmla="*/ 756 w 1392"/>
              <a:gd name="T1" fmla="*/ 1380 h 1389"/>
              <a:gd name="T2" fmla="*/ 894 w 1392"/>
              <a:gd name="T3" fmla="*/ 1353 h 1389"/>
              <a:gd name="T4" fmla="*/ 1023 w 1392"/>
              <a:gd name="T5" fmla="*/ 1298 h 1389"/>
              <a:gd name="T6" fmla="*/ 1134 w 1392"/>
              <a:gd name="T7" fmla="*/ 1216 h 1389"/>
              <a:gd name="T8" fmla="*/ 1226 w 1392"/>
              <a:gd name="T9" fmla="*/ 1133 h 1389"/>
              <a:gd name="T10" fmla="*/ 1300 w 1392"/>
              <a:gd name="T11" fmla="*/ 1024 h 1389"/>
              <a:gd name="T12" fmla="*/ 1355 w 1392"/>
              <a:gd name="T13" fmla="*/ 896 h 1389"/>
              <a:gd name="T14" fmla="*/ 1383 w 1392"/>
              <a:gd name="T15" fmla="*/ 759 h 1389"/>
              <a:gd name="T16" fmla="*/ 1383 w 1392"/>
              <a:gd name="T17" fmla="*/ 612 h 1389"/>
              <a:gd name="T18" fmla="*/ 1355 w 1392"/>
              <a:gd name="T19" fmla="*/ 475 h 1389"/>
              <a:gd name="T20" fmla="*/ 1300 w 1392"/>
              <a:gd name="T21" fmla="*/ 356 h 1389"/>
              <a:gd name="T22" fmla="*/ 1226 w 1392"/>
              <a:gd name="T23" fmla="*/ 247 h 1389"/>
              <a:gd name="T24" fmla="*/ 1134 w 1392"/>
              <a:gd name="T25" fmla="*/ 155 h 1389"/>
              <a:gd name="T26" fmla="*/ 1023 w 1392"/>
              <a:gd name="T27" fmla="*/ 73 h 1389"/>
              <a:gd name="T28" fmla="*/ 894 w 1392"/>
              <a:gd name="T29" fmla="*/ 27 h 1389"/>
              <a:gd name="T30" fmla="*/ 756 w 1392"/>
              <a:gd name="T31" fmla="*/ 0 h 1389"/>
              <a:gd name="T32" fmla="*/ 618 w 1392"/>
              <a:gd name="T33" fmla="*/ 0 h 1389"/>
              <a:gd name="T34" fmla="*/ 470 w 1392"/>
              <a:gd name="T35" fmla="*/ 27 h 1389"/>
              <a:gd name="T36" fmla="*/ 360 w 1392"/>
              <a:gd name="T37" fmla="*/ 73 h 1389"/>
              <a:gd name="T38" fmla="*/ 240 w 1392"/>
              <a:gd name="T39" fmla="*/ 155 h 1389"/>
              <a:gd name="T40" fmla="*/ 148 w 1392"/>
              <a:gd name="T41" fmla="*/ 247 h 1389"/>
              <a:gd name="T42" fmla="*/ 74 w 1392"/>
              <a:gd name="T43" fmla="*/ 356 h 1389"/>
              <a:gd name="T44" fmla="*/ 28 w 1392"/>
              <a:gd name="T45" fmla="*/ 475 h 1389"/>
              <a:gd name="T46" fmla="*/ 0 w 1392"/>
              <a:gd name="T47" fmla="*/ 612 h 1389"/>
              <a:gd name="T48" fmla="*/ 0 w 1392"/>
              <a:gd name="T49" fmla="*/ 759 h 1389"/>
              <a:gd name="T50" fmla="*/ 28 w 1392"/>
              <a:gd name="T51" fmla="*/ 896 h 1389"/>
              <a:gd name="T52" fmla="*/ 74 w 1392"/>
              <a:gd name="T53" fmla="*/ 1024 h 1389"/>
              <a:gd name="T54" fmla="*/ 148 w 1392"/>
              <a:gd name="T55" fmla="*/ 1133 h 1389"/>
              <a:gd name="T56" fmla="*/ 240 w 1392"/>
              <a:gd name="T57" fmla="*/ 1216 h 1389"/>
              <a:gd name="T58" fmla="*/ 360 w 1392"/>
              <a:gd name="T59" fmla="*/ 1298 h 1389"/>
              <a:gd name="T60" fmla="*/ 470 w 1392"/>
              <a:gd name="T61" fmla="*/ 1353 h 1389"/>
              <a:gd name="T62" fmla="*/ 618 w 1392"/>
              <a:gd name="T63" fmla="*/ 1380 h 1389"/>
              <a:gd name="T64" fmla="*/ 691 w 1392"/>
              <a:gd name="T65" fmla="*/ 1389 h 13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392" h="1389">
                <a:moveTo>
                  <a:pt x="691" y="1389"/>
                </a:moveTo>
                <a:lnTo>
                  <a:pt x="756" y="1380"/>
                </a:lnTo>
                <a:lnTo>
                  <a:pt x="830" y="1371"/>
                </a:lnTo>
                <a:lnTo>
                  <a:pt x="894" y="1353"/>
                </a:lnTo>
                <a:lnTo>
                  <a:pt x="968" y="1325"/>
                </a:lnTo>
                <a:lnTo>
                  <a:pt x="1023" y="1298"/>
                </a:lnTo>
                <a:lnTo>
                  <a:pt x="1079" y="1261"/>
                </a:lnTo>
                <a:lnTo>
                  <a:pt x="1134" y="1216"/>
                </a:lnTo>
                <a:lnTo>
                  <a:pt x="1189" y="1179"/>
                </a:lnTo>
                <a:lnTo>
                  <a:pt x="1226" y="1133"/>
                </a:lnTo>
                <a:lnTo>
                  <a:pt x="1272" y="1079"/>
                </a:lnTo>
                <a:lnTo>
                  <a:pt x="1300" y="1024"/>
                </a:lnTo>
                <a:lnTo>
                  <a:pt x="1337" y="960"/>
                </a:lnTo>
                <a:lnTo>
                  <a:pt x="1355" y="896"/>
                </a:lnTo>
                <a:lnTo>
                  <a:pt x="1374" y="832"/>
                </a:lnTo>
                <a:lnTo>
                  <a:pt x="1383" y="759"/>
                </a:lnTo>
                <a:lnTo>
                  <a:pt x="1392" y="695"/>
                </a:lnTo>
                <a:lnTo>
                  <a:pt x="1383" y="612"/>
                </a:lnTo>
                <a:lnTo>
                  <a:pt x="1374" y="548"/>
                </a:lnTo>
                <a:lnTo>
                  <a:pt x="1355" y="475"/>
                </a:lnTo>
                <a:lnTo>
                  <a:pt x="1337" y="420"/>
                </a:lnTo>
                <a:lnTo>
                  <a:pt x="1300" y="356"/>
                </a:lnTo>
                <a:lnTo>
                  <a:pt x="1272" y="302"/>
                </a:lnTo>
                <a:lnTo>
                  <a:pt x="1226" y="247"/>
                </a:lnTo>
                <a:lnTo>
                  <a:pt x="1189" y="201"/>
                </a:lnTo>
                <a:lnTo>
                  <a:pt x="1134" y="155"/>
                </a:lnTo>
                <a:lnTo>
                  <a:pt x="1079" y="110"/>
                </a:lnTo>
                <a:lnTo>
                  <a:pt x="1023" y="73"/>
                </a:lnTo>
                <a:lnTo>
                  <a:pt x="968" y="55"/>
                </a:lnTo>
                <a:lnTo>
                  <a:pt x="894" y="27"/>
                </a:lnTo>
                <a:lnTo>
                  <a:pt x="830" y="18"/>
                </a:lnTo>
                <a:lnTo>
                  <a:pt x="756" y="0"/>
                </a:lnTo>
                <a:lnTo>
                  <a:pt x="691" y="0"/>
                </a:lnTo>
                <a:lnTo>
                  <a:pt x="618" y="0"/>
                </a:lnTo>
                <a:lnTo>
                  <a:pt x="544" y="18"/>
                </a:lnTo>
                <a:lnTo>
                  <a:pt x="470" y="27"/>
                </a:lnTo>
                <a:lnTo>
                  <a:pt x="415" y="55"/>
                </a:lnTo>
                <a:lnTo>
                  <a:pt x="360" y="73"/>
                </a:lnTo>
                <a:lnTo>
                  <a:pt x="295" y="110"/>
                </a:lnTo>
                <a:lnTo>
                  <a:pt x="240" y="155"/>
                </a:lnTo>
                <a:lnTo>
                  <a:pt x="203" y="201"/>
                </a:lnTo>
                <a:lnTo>
                  <a:pt x="148" y="247"/>
                </a:lnTo>
                <a:lnTo>
                  <a:pt x="111" y="302"/>
                </a:lnTo>
                <a:lnTo>
                  <a:pt x="74" y="356"/>
                </a:lnTo>
                <a:lnTo>
                  <a:pt x="55" y="420"/>
                </a:lnTo>
                <a:lnTo>
                  <a:pt x="28" y="475"/>
                </a:lnTo>
                <a:lnTo>
                  <a:pt x="9" y="548"/>
                </a:lnTo>
                <a:lnTo>
                  <a:pt x="0" y="612"/>
                </a:lnTo>
                <a:lnTo>
                  <a:pt x="0" y="695"/>
                </a:lnTo>
                <a:lnTo>
                  <a:pt x="0" y="759"/>
                </a:lnTo>
                <a:lnTo>
                  <a:pt x="9" y="832"/>
                </a:lnTo>
                <a:lnTo>
                  <a:pt x="28" y="896"/>
                </a:lnTo>
                <a:lnTo>
                  <a:pt x="55" y="960"/>
                </a:lnTo>
                <a:lnTo>
                  <a:pt x="74" y="1024"/>
                </a:lnTo>
                <a:lnTo>
                  <a:pt x="111" y="1079"/>
                </a:lnTo>
                <a:lnTo>
                  <a:pt x="148" y="1133"/>
                </a:lnTo>
                <a:lnTo>
                  <a:pt x="203" y="1179"/>
                </a:lnTo>
                <a:lnTo>
                  <a:pt x="240" y="1216"/>
                </a:lnTo>
                <a:lnTo>
                  <a:pt x="295" y="1261"/>
                </a:lnTo>
                <a:lnTo>
                  <a:pt x="360" y="1298"/>
                </a:lnTo>
                <a:lnTo>
                  <a:pt x="415" y="1325"/>
                </a:lnTo>
                <a:lnTo>
                  <a:pt x="470" y="1353"/>
                </a:lnTo>
                <a:lnTo>
                  <a:pt x="544" y="1371"/>
                </a:lnTo>
                <a:lnTo>
                  <a:pt x="618" y="1380"/>
                </a:lnTo>
                <a:lnTo>
                  <a:pt x="691" y="1389"/>
                </a:lnTo>
                <a:close/>
              </a:path>
            </a:pathLst>
          </a:custGeom>
          <a:solidFill>
            <a:srgbClr val="FAFA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6" name="Freeform 87">
            <a:extLst>
              <a:ext uri="{FF2B5EF4-FFF2-40B4-BE49-F238E27FC236}">
                <a16:creationId xmlns="" xmlns:a16="http://schemas.microsoft.com/office/drawing/2014/main" id="{00000000-0008-0000-0200-000062030000}"/>
              </a:ext>
            </a:extLst>
          </xdr:cNvPr>
          <xdr:cNvSpPr>
            <a:spLocks/>
          </xdr:cNvSpPr>
        </xdr:nvSpPr>
        <xdr:spPr bwMode="auto">
          <a:xfrm>
            <a:off x="535472" y="252507"/>
            <a:ext cx="228298" cy="7911"/>
          </a:xfrm>
          <a:custGeom>
            <a:avLst/>
            <a:gdLst>
              <a:gd name="T0" fmla="*/ 0 w 2849"/>
              <a:gd name="T1" fmla="*/ 100 h 100"/>
              <a:gd name="T2" fmla="*/ 2849 w 2849"/>
              <a:gd name="T3" fmla="*/ 100 h 100"/>
              <a:gd name="T4" fmla="*/ 2849 w 2849"/>
              <a:gd name="T5" fmla="*/ 0 h 100"/>
              <a:gd name="T6" fmla="*/ 0 w 2849"/>
              <a:gd name="T7" fmla="*/ 0 h 100"/>
              <a:gd name="T8" fmla="*/ 0 w 2849"/>
              <a:gd name="T9" fmla="*/ 100 h 100"/>
              <a:gd name="T10" fmla="*/ 0 w 2849"/>
              <a:gd name="T11" fmla="*/ 100 h 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49" h="100">
                <a:moveTo>
                  <a:pt x="0" y="100"/>
                </a:moveTo>
                <a:lnTo>
                  <a:pt x="2849" y="100"/>
                </a:lnTo>
                <a:lnTo>
                  <a:pt x="2849" y="0"/>
                </a:lnTo>
                <a:lnTo>
                  <a:pt x="0" y="0"/>
                </a:lnTo>
                <a:lnTo>
                  <a:pt x="0" y="10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7" name="Freeform 88">
            <a:extLst>
              <a:ext uri="{FF2B5EF4-FFF2-40B4-BE49-F238E27FC236}">
                <a16:creationId xmlns="" xmlns:a16="http://schemas.microsoft.com/office/drawing/2014/main" id="{00000000-0008-0000-0200-000063030000}"/>
              </a:ext>
            </a:extLst>
          </xdr:cNvPr>
          <xdr:cNvSpPr>
            <a:spLocks/>
          </xdr:cNvSpPr>
        </xdr:nvSpPr>
        <xdr:spPr bwMode="auto">
          <a:xfrm>
            <a:off x="244894" y="167029"/>
            <a:ext cx="199389" cy="265653"/>
          </a:xfrm>
          <a:custGeom>
            <a:avLst/>
            <a:gdLst>
              <a:gd name="T0" fmla="*/ 2046 w 2488"/>
              <a:gd name="T1" fmla="*/ 2842 h 3318"/>
              <a:gd name="T2" fmla="*/ 2138 w 2488"/>
              <a:gd name="T3" fmla="*/ 2733 h 3318"/>
              <a:gd name="T4" fmla="*/ 2193 w 2488"/>
              <a:gd name="T5" fmla="*/ 2678 h 3318"/>
              <a:gd name="T6" fmla="*/ 2488 w 2488"/>
              <a:gd name="T7" fmla="*/ 2312 h 3318"/>
              <a:gd name="T8" fmla="*/ 1576 w 2488"/>
              <a:gd name="T9" fmla="*/ 1873 h 3318"/>
              <a:gd name="T10" fmla="*/ 1152 w 2488"/>
              <a:gd name="T11" fmla="*/ 2047 h 3318"/>
              <a:gd name="T12" fmla="*/ 940 w 2488"/>
              <a:gd name="T13" fmla="*/ 1718 h 3318"/>
              <a:gd name="T14" fmla="*/ 617 w 2488"/>
              <a:gd name="T15" fmla="*/ 1718 h 3318"/>
              <a:gd name="T16" fmla="*/ 1336 w 2488"/>
              <a:gd name="T17" fmla="*/ 1764 h 3318"/>
              <a:gd name="T18" fmla="*/ 1419 w 2488"/>
              <a:gd name="T19" fmla="*/ 1425 h 3318"/>
              <a:gd name="T20" fmla="*/ 1447 w 2488"/>
              <a:gd name="T21" fmla="*/ 968 h 3318"/>
              <a:gd name="T22" fmla="*/ 1742 w 2488"/>
              <a:gd name="T23" fmla="*/ 685 h 3318"/>
              <a:gd name="T24" fmla="*/ 1779 w 2488"/>
              <a:gd name="T25" fmla="*/ 292 h 3318"/>
              <a:gd name="T26" fmla="*/ 1309 w 2488"/>
              <a:gd name="T27" fmla="*/ 466 h 3318"/>
              <a:gd name="T28" fmla="*/ 1170 w 2488"/>
              <a:gd name="T29" fmla="*/ 685 h 3318"/>
              <a:gd name="T30" fmla="*/ 1133 w 2488"/>
              <a:gd name="T31" fmla="*/ 338 h 3318"/>
              <a:gd name="T32" fmla="*/ 931 w 2488"/>
              <a:gd name="T33" fmla="*/ 173 h 3318"/>
              <a:gd name="T34" fmla="*/ 1336 w 2488"/>
              <a:gd name="T35" fmla="*/ 173 h 3318"/>
              <a:gd name="T36" fmla="*/ 1115 w 2488"/>
              <a:gd name="T37" fmla="*/ 63 h 3318"/>
              <a:gd name="T38" fmla="*/ 700 w 2488"/>
              <a:gd name="T39" fmla="*/ 109 h 3318"/>
              <a:gd name="T40" fmla="*/ 350 w 2488"/>
              <a:gd name="T41" fmla="*/ 210 h 3318"/>
              <a:gd name="T42" fmla="*/ 230 w 2488"/>
              <a:gd name="T43" fmla="*/ 338 h 3318"/>
              <a:gd name="T44" fmla="*/ 110 w 2488"/>
              <a:gd name="T45" fmla="*/ 511 h 3318"/>
              <a:gd name="T46" fmla="*/ 64 w 2488"/>
              <a:gd name="T47" fmla="*/ 612 h 3318"/>
              <a:gd name="T48" fmla="*/ 46 w 2488"/>
              <a:gd name="T49" fmla="*/ 722 h 3318"/>
              <a:gd name="T50" fmla="*/ 92 w 2488"/>
              <a:gd name="T51" fmla="*/ 886 h 3318"/>
              <a:gd name="T52" fmla="*/ 119 w 2488"/>
              <a:gd name="T53" fmla="*/ 987 h 3318"/>
              <a:gd name="T54" fmla="*/ 18 w 2488"/>
              <a:gd name="T55" fmla="*/ 1206 h 3318"/>
              <a:gd name="T56" fmla="*/ 27 w 2488"/>
              <a:gd name="T57" fmla="*/ 1307 h 3318"/>
              <a:gd name="T58" fmla="*/ 110 w 2488"/>
              <a:gd name="T59" fmla="*/ 1416 h 3318"/>
              <a:gd name="T60" fmla="*/ 175 w 2488"/>
              <a:gd name="T61" fmla="*/ 1526 h 3318"/>
              <a:gd name="T62" fmla="*/ 239 w 2488"/>
              <a:gd name="T63" fmla="*/ 1636 h 3318"/>
              <a:gd name="T64" fmla="*/ 322 w 2488"/>
              <a:gd name="T65" fmla="*/ 1672 h 3318"/>
              <a:gd name="T66" fmla="*/ 442 w 2488"/>
              <a:gd name="T67" fmla="*/ 1709 h 3318"/>
              <a:gd name="T68" fmla="*/ 1087 w 2488"/>
              <a:gd name="T69" fmla="*/ 2047 h 3318"/>
              <a:gd name="T70" fmla="*/ 1179 w 2488"/>
              <a:gd name="T71" fmla="*/ 2221 h 3318"/>
              <a:gd name="T72" fmla="*/ 1281 w 2488"/>
              <a:gd name="T73" fmla="*/ 2449 h 3318"/>
              <a:gd name="T74" fmla="*/ 1364 w 2488"/>
              <a:gd name="T75" fmla="*/ 2513 h 3318"/>
              <a:gd name="T76" fmla="*/ 1465 w 2488"/>
              <a:gd name="T77" fmla="*/ 2531 h 3318"/>
              <a:gd name="T78" fmla="*/ 1567 w 2488"/>
              <a:gd name="T79" fmla="*/ 2605 h 3318"/>
              <a:gd name="T80" fmla="*/ 1484 w 2488"/>
              <a:gd name="T81" fmla="*/ 2769 h 3318"/>
              <a:gd name="T82" fmla="*/ 1484 w 2488"/>
              <a:gd name="T83" fmla="*/ 2861 h 3318"/>
              <a:gd name="T84" fmla="*/ 1493 w 2488"/>
              <a:gd name="T85" fmla="*/ 2961 h 3318"/>
              <a:gd name="T86" fmla="*/ 1521 w 2488"/>
              <a:gd name="T87" fmla="*/ 3043 h 3318"/>
              <a:gd name="T88" fmla="*/ 1521 w 2488"/>
              <a:gd name="T89" fmla="*/ 3180 h 3318"/>
              <a:gd name="T90" fmla="*/ 1521 w 2488"/>
              <a:gd name="T91" fmla="*/ 3281 h 3318"/>
              <a:gd name="T92" fmla="*/ 1557 w 2488"/>
              <a:gd name="T93" fmla="*/ 3308 h 3318"/>
              <a:gd name="T94" fmla="*/ 1668 w 2488"/>
              <a:gd name="T95" fmla="*/ 3263 h 3318"/>
              <a:gd name="T96" fmla="*/ 1760 w 2488"/>
              <a:gd name="T97" fmla="*/ 3180 h 3318"/>
              <a:gd name="T98" fmla="*/ 1871 w 2488"/>
              <a:gd name="T99" fmla="*/ 3089 h 3318"/>
              <a:gd name="T100" fmla="*/ 1981 w 2488"/>
              <a:gd name="T101" fmla="*/ 2952 h 33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2488" h="3318">
                <a:moveTo>
                  <a:pt x="2009" y="2897"/>
                </a:moveTo>
                <a:lnTo>
                  <a:pt x="2018" y="2870"/>
                </a:lnTo>
                <a:lnTo>
                  <a:pt x="2046" y="2842"/>
                </a:lnTo>
                <a:lnTo>
                  <a:pt x="2074" y="2806"/>
                </a:lnTo>
                <a:lnTo>
                  <a:pt x="2110" y="2769"/>
                </a:lnTo>
                <a:lnTo>
                  <a:pt x="2138" y="2733"/>
                </a:lnTo>
                <a:lnTo>
                  <a:pt x="2157" y="2705"/>
                </a:lnTo>
                <a:lnTo>
                  <a:pt x="2175" y="2678"/>
                </a:lnTo>
                <a:lnTo>
                  <a:pt x="2193" y="2678"/>
                </a:lnTo>
                <a:lnTo>
                  <a:pt x="2258" y="2504"/>
                </a:lnTo>
                <a:lnTo>
                  <a:pt x="2424" y="2404"/>
                </a:lnTo>
                <a:lnTo>
                  <a:pt x="2488" y="2312"/>
                </a:lnTo>
                <a:lnTo>
                  <a:pt x="2313" y="2230"/>
                </a:lnTo>
                <a:lnTo>
                  <a:pt x="2000" y="1956"/>
                </a:lnTo>
                <a:lnTo>
                  <a:pt x="1576" y="1873"/>
                </a:lnTo>
                <a:lnTo>
                  <a:pt x="1336" y="1992"/>
                </a:lnTo>
                <a:lnTo>
                  <a:pt x="1281" y="2111"/>
                </a:lnTo>
                <a:lnTo>
                  <a:pt x="1152" y="2047"/>
                </a:lnTo>
                <a:lnTo>
                  <a:pt x="1032" y="1974"/>
                </a:lnTo>
                <a:lnTo>
                  <a:pt x="1004" y="1764"/>
                </a:lnTo>
                <a:lnTo>
                  <a:pt x="940" y="1718"/>
                </a:lnTo>
                <a:lnTo>
                  <a:pt x="875" y="1773"/>
                </a:lnTo>
                <a:lnTo>
                  <a:pt x="746" y="1819"/>
                </a:lnTo>
                <a:lnTo>
                  <a:pt x="617" y="1718"/>
                </a:lnTo>
                <a:lnTo>
                  <a:pt x="765" y="1489"/>
                </a:lnTo>
                <a:lnTo>
                  <a:pt x="1179" y="1599"/>
                </a:lnTo>
                <a:lnTo>
                  <a:pt x="1336" y="1764"/>
                </a:lnTo>
                <a:lnTo>
                  <a:pt x="1392" y="1745"/>
                </a:lnTo>
                <a:lnTo>
                  <a:pt x="1272" y="1553"/>
                </a:lnTo>
                <a:lnTo>
                  <a:pt x="1419" y="1425"/>
                </a:lnTo>
                <a:lnTo>
                  <a:pt x="1392" y="1224"/>
                </a:lnTo>
                <a:lnTo>
                  <a:pt x="1309" y="1060"/>
                </a:lnTo>
                <a:lnTo>
                  <a:pt x="1447" y="968"/>
                </a:lnTo>
                <a:lnTo>
                  <a:pt x="1631" y="895"/>
                </a:lnTo>
                <a:lnTo>
                  <a:pt x="1585" y="776"/>
                </a:lnTo>
                <a:lnTo>
                  <a:pt x="1742" y="685"/>
                </a:lnTo>
                <a:lnTo>
                  <a:pt x="1945" y="630"/>
                </a:lnTo>
                <a:lnTo>
                  <a:pt x="1917" y="521"/>
                </a:lnTo>
                <a:lnTo>
                  <a:pt x="1779" y="292"/>
                </a:lnTo>
                <a:lnTo>
                  <a:pt x="1576" y="356"/>
                </a:lnTo>
                <a:lnTo>
                  <a:pt x="1373" y="402"/>
                </a:lnTo>
                <a:lnTo>
                  <a:pt x="1309" y="466"/>
                </a:lnTo>
                <a:lnTo>
                  <a:pt x="1392" y="722"/>
                </a:lnTo>
                <a:lnTo>
                  <a:pt x="1299" y="722"/>
                </a:lnTo>
                <a:lnTo>
                  <a:pt x="1170" y="685"/>
                </a:lnTo>
                <a:lnTo>
                  <a:pt x="1004" y="621"/>
                </a:lnTo>
                <a:lnTo>
                  <a:pt x="977" y="420"/>
                </a:lnTo>
                <a:lnTo>
                  <a:pt x="1133" y="338"/>
                </a:lnTo>
                <a:lnTo>
                  <a:pt x="1060" y="292"/>
                </a:lnTo>
                <a:lnTo>
                  <a:pt x="1041" y="210"/>
                </a:lnTo>
                <a:lnTo>
                  <a:pt x="931" y="173"/>
                </a:lnTo>
                <a:lnTo>
                  <a:pt x="958" y="100"/>
                </a:lnTo>
                <a:lnTo>
                  <a:pt x="1133" y="137"/>
                </a:lnTo>
                <a:lnTo>
                  <a:pt x="1336" y="173"/>
                </a:lnTo>
                <a:lnTo>
                  <a:pt x="1419" y="109"/>
                </a:lnTo>
                <a:lnTo>
                  <a:pt x="1244" y="36"/>
                </a:lnTo>
                <a:lnTo>
                  <a:pt x="1115" y="63"/>
                </a:lnTo>
                <a:lnTo>
                  <a:pt x="1041" y="0"/>
                </a:lnTo>
                <a:lnTo>
                  <a:pt x="811" y="27"/>
                </a:lnTo>
                <a:lnTo>
                  <a:pt x="700" y="109"/>
                </a:lnTo>
                <a:lnTo>
                  <a:pt x="516" y="118"/>
                </a:lnTo>
                <a:lnTo>
                  <a:pt x="405" y="201"/>
                </a:lnTo>
                <a:lnTo>
                  <a:pt x="350" y="210"/>
                </a:lnTo>
                <a:lnTo>
                  <a:pt x="304" y="246"/>
                </a:lnTo>
                <a:lnTo>
                  <a:pt x="267" y="292"/>
                </a:lnTo>
                <a:lnTo>
                  <a:pt x="230" y="338"/>
                </a:lnTo>
                <a:lnTo>
                  <a:pt x="193" y="393"/>
                </a:lnTo>
                <a:lnTo>
                  <a:pt x="156" y="447"/>
                </a:lnTo>
                <a:lnTo>
                  <a:pt x="110" y="511"/>
                </a:lnTo>
                <a:lnTo>
                  <a:pt x="92" y="539"/>
                </a:lnTo>
                <a:lnTo>
                  <a:pt x="73" y="575"/>
                </a:lnTo>
                <a:lnTo>
                  <a:pt x="64" y="612"/>
                </a:lnTo>
                <a:lnTo>
                  <a:pt x="46" y="658"/>
                </a:lnTo>
                <a:lnTo>
                  <a:pt x="46" y="676"/>
                </a:lnTo>
                <a:lnTo>
                  <a:pt x="46" y="722"/>
                </a:lnTo>
                <a:lnTo>
                  <a:pt x="55" y="767"/>
                </a:lnTo>
                <a:lnTo>
                  <a:pt x="73" y="831"/>
                </a:lnTo>
                <a:lnTo>
                  <a:pt x="92" y="886"/>
                </a:lnTo>
                <a:lnTo>
                  <a:pt x="101" y="941"/>
                </a:lnTo>
                <a:lnTo>
                  <a:pt x="110" y="968"/>
                </a:lnTo>
                <a:lnTo>
                  <a:pt x="119" y="987"/>
                </a:lnTo>
                <a:lnTo>
                  <a:pt x="46" y="1142"/>
                </a:lnTo>
                <a:lnTo>
                  <a:pt x="27" y="1151"/>
                </a:lnTo>
                <a:lnTo>
                  <a:pt x="18" y="1206"/>
                </a:lnTo>
                <a:lnTo>
                  <a:pt x="0" y="1243"/>
                </a:lnTo>
                <a:lnTo>
                  <a:pt x="18" y="1288"/>
                </a:lnTo>
                <a:lnTo>
                  <a:pt x="27" y="1307"/>
                </a:lnTo>
                <a:lnTo>
                  <a:pt x="64" y="1352"/>
                </a:lnTo>
                <a:lnTo>
                  <a:pt x="92" y="1380"/>
                </a:lnTo>
                <a:lnTo>
                  <a:pt x="110" y="1416"/>
                </a:lnTo>
                <a:lnTo>
                  <a:pt x="129" y="1462"/>
                </a:lnTo>
                <a:lnTo>
                  <a:pt x="156" y="1499"/>
                </a:lnTo>
                <a:lnTo>
                  <a:pt x="175" y="1526"/>
                </a:lnTo>
                <a:lnTo>
                  <a:pt x="202" y="1572"/>
                </a:lnTo>
                <a:lnTo>
                  <a:pt x="221" y="1599"/>
                </a:lnTo>
                <a:lnTo>
                  <a:pt x="239" y="1636"/>
                </a:lnTo>
                <a:lnTo>
                  <a:pt x="267" y="1681"/>
                </a:lnTo>
                <a:lnTo>
                  <a:pt x="285" y="1700"/>
                </a:lnTo>
                <a:lnTo>
                  <a:pt x="322" y="1672"/>
                </a:lnTo>
                <a:lnTo>
                  <a:pt x="175" y="1471"/>
                </a:lnTo>
                <a:lnTo>
                  <a:pt x="285" y="1517"/>
                </a:lnTo>
                <a:lnTo>
                  <a:pt x="442" y="1709"/>
                </a:lnTo>
                <a:lnTo>
                  <a:pt x="525" y="1855"/>
                </a:lnTo>
                <a:lnTo>
                  <a:pt x="811" y="1937"/>
                </a:lnTo>
                <a:lnTo>
                  <a:pt x="1087" y="2047"/>
                </a:lnTo>
                <a:lnTo>
                  <a:pt x="1143" y="2102"/>
                </a:lnTo>
                <a:lnTo>
                  <a:pt x="1244" y="2184"/>
                </a:lnTo>
                <a:lnTo>
                  <a:pt x="1179" y="2221"/>
                </a:lnTo>
                <a:lnTo>
                  <a:pt x="1143" y="2321"/>
                </a:lnTo>
                <a:lnTo>
                  <a:pt x="1290" y="2440"/>
                </a:lnTo>
                <a:lnTo>
                  <a:pt x="1281" y="2449"/>
                </a:lnTo>
                <a:lnTo>
                  <a:pt x="1299" y="2486"/>
                </a:lnTo>
                <a:lnTo>
                  <a:pt x="1318" y="2495"/>
                </a:lnTo>
                <a:lnTo>
                  <a:pt x="1364" y="2513"/>
                </a:lnTo>
                <a:lnTo>
                  <a:pt x="1392" y="2522"/>
                </a:lnTo>
                <a:lnTo>
                  <a:pt x="1428" y="2531"/>
                </a:lnTo>
                <a:lnTo>
                  <a:pt x="1465" y="2531"/>
                </a:lnTo>
                <a:lnTo>
                  <a:pt x="1521" y="2550"/>
                </a:lnTo>
                <a:lnTo>
                  <a:pt x="1548" y="2559"/>
                </a:lnTo>
                <a:lnTo>
                  <a:pt x="1567" y="2605"/>
                </a:lnTo>
                <a:lnTo>
                  <a:pt x="1548" y="2659"/>
                </a:lnTo>
                <a:lnTo>
                  <a:pt x="1521" y="2723"/>
                </a:lnTo>
                <a:lnTo>
                  <a:pt x="1484" y="2769"/>
                </a:lnTo>
                <a:lnTo>
                  <a:pt x="1465" y="2833"/>
                </a:lnTo>
                <a:lnTo>
                  <a:pt x="1456" y="2851"/>
                </a:lnTo>
                <a:lnTo>
                  <a:pt x="1484" y="2861"/>
                </a:lnTo>
                <a:lnTo>
                  <a:pt x="1484" y="2897"/>
                </a:lnTo>
                <a:lnTo>
                  <a:pt x="1493" y="2934"/>
                </a:lnTo>
                <a:lnTo>
                  <a:pt x="1493" y="2961"/>
                </a:lnTo>
                <a:lnTo>
                  <a:pt x="1502" y="2989"/>
                </a:lnTo>
                <a:lnTo>
                  <a:pt x="1511" y="3007"/>
                </a:lnTo>
                <a:lnTo>
                  <a:pt x="1521" y="3043"/>
                </a:lnTo>
                <a:lnTo>
                  <a:pt x="1530" y="3080"/>
                </a:lnTo>
                <a:lnTo>
                  <a:pt x="1530" y="3126"/>
                </a:lnTo>
                <a:lnTo>
                  <a:pt x="1521" y="3180"/>
                </a:lnTo>
                <a:lnTo>
                  <a:pt x="1521" y="3217"/>
                </a:lnTo>
                <a:lnTo>
                  <a:pt x="1511" y="3254"/>
                </a:lnTo>
                <a:lnTo>
                  <a:pt x="1521" y="3281"/>
                </a:lnTo>
                <a:lnTo>
                  <a:pt x="1521" y="3290"/>
                </a:lnTo>
                <a:lnTo>
                  <a:pt x="1539" y="3308"/>
                </a:lnTo>
                <a:lnTo>
                  <a:pt x="1557" y="3308"/>
                </a:lnTo>
                <a:lnTo>
                  <a:pt x="1594" y="3318"/>
                </a:lnTo>
                <a:lnTo>
                  <a:pt x="1613" y="3299"/>
                </a:lnTo>
                <a:lnTo>
                  <a:pt x="1668" y="3263"/>
                </a:lnTo>
                <a:lnTo>
                  <a:pt x="1696" y="3244"/>
                </a:lnTo>
                <a:lnTo>
                  <a:pt x="1723" y="3217"/>
                </a:lnTo>
                <a:lnTo>
                  <a:pt x="1760" y="3180"/>
                </a:lnTo>
                <a:lnTo>
                  <a:pt x="1806" y="3153"/>
                </a:lnTo>
                <a:lnTo>
                  <a:pt x="1834" y="3116"/>
                </a:lnTo>
                <a:lnTo>
                  <a:pt x="1871" y="3089"/>
                </a:lnTo>
                <a:lnTo>
                  <a:pt x="1898" y="3043"/>
                </a:lnTo>
                <a:lnTo>
                  <a:pt x="1926" y="3016"/>
                </a:lnTo>
                <a:lnTo>
                  <a:pt x="1981" y="2952"/>
                </a:lnTo>
                <a:lnTo>
                  <a:pt x="2009" y="2897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8" name="Freeform 89">
            <a:extLst>
              <a:ext uri="{FF2B5EF4-FFF2-40B4-BE49-F238E27FC236}">
                <a16:creationId xmlns="" xmlns:a16="http://schemas.microsoft.com/office/drawing/2014/main" id="{00000000-0008-0000-0200-000064030000}"/>
              </a:ext>
            </a:extLst>
          </xdr:cNvPr>
          <xdr:cNvSpPr>
            <a:spLocks/>
          </xdr:cNvSpPr>
        </xdr:nvSpPr>
        <xdr:spPr bwMode="auto">
          <a:xfrm>
            <a:off x="472716" y="191001"/>
            <a:ext cx="65729" cy="133064"/>
          </a:xfrm>
          <a:custGeom>
            <a:avLst/>
            <a:gdLst>
              <a:gd name="T0" fmla="*/ 239 w 820"/>
              <a:gd name="T1" fmla="*/ 210 h 1663"/>
              <a:gd name="T2" fmla="*/ 166 w 820"/>
              <a:gd name="T3" fmla="*/ 375 h 1663"/>
              <a:gd name="T4" fmla="*/ 64 w 820"/>
              <a:gd name="T5" fmla="*/ 439 h 1663"/>
              <a:gd name="T6" fmla="*/ 0 w 820"/>
              <a:gd name="T7" fmla="*/ 713 h 1663"/>
              <a:gd name="T8" fmla="*/ 83 w 820"/>
              <a:gd name="T9" fmla="*/ 813 h 1663"/>
              <a:gd name="T10" fmla="*/ 184 w 820"/>
              <a:gd name="T11" fmla="*/ 859 h 1663"/>
              <a:gd name="T12" fmla="*/ 378 w 820"/>
              <a:gd name="T13" fmla="*/ 969 h 1663"/>
              <a:gd name="T14" fmla="*/ 534 w 820"/>
              <a:gd name="T15" fmla="*/ 923 h 1663"/>
              <a:gd name="T16" fmla="*/ 608 w 820"/>
              <a:gd name="T17" fmla="*/ 950 h 1663"/>
              <a:gd name="T18" fmla="*/ 645 w 820"/>
              <a:gd name="T19" fmla="*/ 1042 h 1663"/>
              <a:gd name="T20" fmla="*/ 691 w 820"/>
              <a:gd name="T21" fmla="*/ 1142 h 1663"/>
              <a:gd name="T22" fmla="*/ 710 w 820"/>
              <a:gd name="T23" fmla="*/ 1261 h 1663"/>
              <a:gd name="T24" fmla="*/ 728 w 820"/>
              <a:gd name="T25" fmla="*/ 1663 h 1663"/>
              <a:gd name="T26" fmla="*/ 756 w 820"/>
              <a:gd name="T27" fmla="*/ 1572 h 1663"/>
              <a:gd name="T28" fmla="*/ 774 w 820"/>
              <a:gd name="T29" fmla="*/ 1481 h 1663"/>
              <a:gd name="T30" fmla="*/ 793 w 820"/>
              <a:gd name="T31" fmla="*/ 1389 h 1663"/>
              <a:gd name="T32" fmla="*/ 811 w 820"/>
              <a:gd name="T33" fmla="*/ 1289 h 1663"/>
              <a:gd name="T34" fmla="*/ 820 w 820"/>
              <a:gd name="T35" fmla="*/ 1179 h 1663"/>
              <a:gd name="T36" fmla="*/ 820 w 820"/>
              <a:gd name="T37" fmla="*/ 1078 h 1663"/>
              <a:gd name="T38" fmla="*/ 820 w 820"/>
              <a:gd name="T39" fmla="*/ 969 h 1663"/>
              <a:gd name="T40" fmla="*/ 820 w 820"/>
              <a:gd name="T41" fmla="*/ 859 h 1663"/>
              <a:gd name="T42" fmla="*/ 802 w 820"/>
              <a:gd name="T43" fmla="*/ 749 h 1663"/>
              <a:gd name="T44" fmla="*/ 774 w 820"/>
              <a:gd name="T45" fmla="*/ 640 h 1663"/>
              <a:gd name="T46" fmla="*/ 756 w 820"/>
              <a:gd name="T47" fmla="*/ 521 h 1663"/>
              <a:gd name="T48" fmla="*/ 719 w 820"/>
              <a:gd name="T49" fmla="*/ 420 h 1663"/>
              <a:gd name="T50" fmla="*/ 673 w 820"/>
              <a:gd name="T51" fmla="*/ 311 h 1663"/>
              <a:gd name="T52" fmla="*/ 627 w 820"/>
              <a:gd name="T53" fmla="*/ 219 h 1663"/>
              <a:gd name="T54" fmla="*/ 562 w 820"/>
              <a:gd name="T55" fmla="*/ 119 h 1663"/>
              <a:gd name="T56" fmla="*/ 507 w 820"/>
              <a:gd name="T57" fmla="*/ 36 h 1663"/>
              <a:gd name="T58" fmla="*/ 286 w 820"/>
              <a:gd name="T59" fmla="*/ 0 h 1663"/>
              <a:gd name="T60" fmla="*/ 212 w 820"/>
              <a:gd name="T61" fmla="*/ 128 h 1663"/>
              <a:gd name="T62" fmla="*/ 239 w 820"/>
              <a:gd name="T63" fmla="*/ 210 h 1663"/>
              <a:gd name="T64" fmla="*/ 239 w 820"/>
              <a:gd name="T65" fmla="*/ 210 h 16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820" h="1663">
                <a:moveTo>
                  <a:pt x="239" y="210"/>
                </a:moveTo>
                <a:lnTo>
                  <a:pt x="166" y="375"/>
                </a:lnTo>
                <a:lnTo>
                  <a:pt x="64" y="439"/>
                </a:lnTo>
                <a:lnTo>
                  <a:pt x="0" y="713"/>
                </a:lnTo>
                <a:lnTo>
                  <a:pt x="83" y="813"/>
                </a:lnTo>
                <a:lnTo>
                  <a:pt x="184" y="859"/>
                </a:lnTo>
                <a:lnTo>
                  <a:pt x="378" y="969"/>
                </a:lnTo>
                <a:lnTo>
                  <a:pt x="534" y="923"/>
                </a:lnTo>
                <a:lnTo>
                  <a:pt x="608" y="950"/>
                </a:lnTo>
                <a:lnTo>
                  <a:pt x="645" y="1042"/>
                </a:lnTo>
                <a:lnTo>
                  <a:pt x="691" y="1142"/>
                </a:lnTo>
                <a:lnTo>
                  <a:pt x="710" y="1261"/>
                </a:lnTo>
                <a:lnTo>
                  <a:pt x="728" y="1663"/>
                </a:lnTo>
                <a:lnTo>
                  <a:pt x="756" y="1572"/>
                </a:lnTo>
                <a:lnTo>
                  <a:pt x="774" y="1481"/>
                </a:lnTo>
                <a:lnTo>
                  <a:pt x="793" y="1389"/>
                </a:lnTo>
                <a:lnTo>
                  <a:pt x="811" y="1289"/>
                </a:lnTo>
                <a:lnTo>
                  <a:pt x="820" y="1179"/>
                </a:lnTo>
                <a:lnTo>
                  <a:pt x="820" y="1078"/>
                </a:lnTo>
                <a:lnTo>
                  <a:pt x="820" y="969"/>
                </a:lnTo>
                <a:lnTo>
                  <a:pt x="820" y="859"/>
                </a:lnTo>
                <a:lnTo>
                  <a:pt x="802" y="749"/>
                </a:lnTo>
                <a:lnTo>
                  <a:pt x="774" y="640"/>
                </a:lnTo>
                <a:lnTo>
                  <a:pt x="756" y="521"/>
                </a:lnTo>
                <a:lnTo>
                  <a:pt x="719" y="420"/>
                </a:lnTo>
                <a:lnTo>
                  <a:pt x="673" y="311"/>
                </a:lnTo>
                <a:lnTo>
                  <a:pt x="627" y="219"/>
                </a:lnTo>
                <a:lnTo>
                  <a:pt x="562" y="119"/>
                </a:lnTo>
                <a:lnTo>
                  <a:pt x="507" y="36"/>
                </a:lnTo>
                <a:lnTo>
                  <a:pt x="286" y="0"/>
                </a:lnTo>
                <a:lnTo>
                  <a:pt x="212" y="128"/>
                </a:lnTo>
                <a:lnTo>
                  <a:pt x="239" y="21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9" name="Freeform 90">
            <a:extLst>
              <a:ext uri="{FF2B5EF4-FFF2-40B4-BE49-F238E27FC236}">
                <a16:creationId xmlns="" xmlns:a16="http://schemas.microsoft.com/office/drawing/2014/main" id="{00000000-0008-0000-0200-000065030000}"/>
              </a:ext>
            </a:extLst>
          </xdr:cNvPr>
          <xdr:cNvSpPr>
            <a:spLocks/>
          </xdr:cNvSpPr>
        </xdr:nvSpPr>
        <xdr:spPr bwMode="auto">
          <a:xfrm>
            <a:off x="224848" y="267675"/>
            <a:ext cx="532497" cy="9577"/>
          </a:xfrm>
          <a:custGeom>
            <a:avLst/>
            <a:gdLst>
              <a:gd name="T0" fmla="*/ 0 w 6646"/>
              <a:gd name="T1" fmla="*/ 119 h 119"/>
              <a:gd name="T2" fmla="*/ 6646 w 6646"/>
              <a:gd name="T3" fmla="*/ 119 h 119"/>
              <a:gd name="T4" fmla="*/ 6646 w 6646"/>
              <a:gd name="T5" fmla="*/ 0 h 119"/>
              <a:gd name="T6" fmla="*/ 0 w 6646"/>
              <a:gd name="T7" fmla="*/ 0 h 119"/>
              <a:gd name="T8" fmla="*/ 0 w 6646"/>
              <a:gd name="T9" fmla="*/ 119 h 119"/>
              <a:gd name="T10" fmla="*/ 0 w 6646"/>
              <a:gd name="T11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6646" h="119">
                <a:moveTo>
                  <a:pt x="0" y="119"/>
                </a:moveTo>
                <a:lnTo>
                  <a:pt x="6646" y="119"/>
                </a:lnTo>
                <a:lnTo>
                  <a:pt x="6646" y="0"/>
                </a:lnTo>
                <a:lnTo>
                  <a:pt x="0" y="0"/>
                </a:lnTo>
                <a:lnTo>
                  <a:pt x="0" y="119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0" name="Freeform 91">
            <a:extLst>
              <a:ext uri="{FF2B5EF4-FFF2-40B4-BE49-F238E27FC236}">
                <a16:creationId xmlns="" xmlns:a16="http://schemas.microsoft.com/office/drawing/2014/main" id="{00000000-0008-0000-0200-000066030000}"/>
              </a:ext>
            </a:extLst>
          </xdr:cNvPr>
          <xdr:cNvSpPr>
            <a:spLocks/>
          </xdr:cNvSpPr>
        </xdr:nvSpPr>
        <xdr:spPr bwMode="auto">
          <a:xfrm>
            <a:off x="0" y="276538"/>
            <a:ext cx="292540" cy="123666"/>
          </a:xfrm>
          <a:custGeom>
            <a:avLst/>
            <a:gdLst>
              <a:gd name="T0" fmla="*/ 0 w 3651"/>
              <a:gd name="T1" fmla="*/ 1545 h 1545"/>
              <a:gd name="T2" fmla="*/ 673 w 3651"/>
              <a:gd name="T3" fmla="*/ 530 h 1545"/>
              <a:gd name="T4" fmla="*/ 2959 w 3651"/>
              <a:gd name="T5" fmla="*/ 530 h 1545"/>
              <a:gd name="T6" fmla="*/ 3485 w 3651"/>
              <a:gd name="T7" fmla="*/ 0 h 1545"/>
              <a:gd name="T8" fmla="*/ 3651 w 3651"/>
              <a:gd name="T9" fmla="*/ 0 h 1545"/>
              <a:gd name="T10" fmla="*/ 3005 w 3651"/>
              <a:gd name="T11" fmla="*/ 640 h 1545"/>
              <a:gd name="T12" fmla="*/ 775 w 3651"/>
              <a:gd name="T13" fmla="*/ 640 h 1545"/>
              <a:gd name="T14" fmla="*/ 166 w 3651"/>
              <a:gd name="T15" fmla="*/ 1545 h 1545"/>
              <a:gd name="T16" fmla="*/ 0 w 3651"/>
              <a:gd name="T17" fmla="*/ 1545 h 1545"/>
              <a:gd name="T18" fmla="*/ 0 w 3651"/>
              <a:gd name="T19" fmla="*/ 1545 h 15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651" h="1545">
                <a:moveTo>
                  <a:pt x="0" y="1545"/>
                </a:moveTo>
                <a:lnTo>
                  <a:pt x="673" y="530"/>
                </a:lnTo>
                <a:lnTo>
                  <a:pt x="2959" y="530"/>
                </a:lnTo>
                <a:lnTo>
                  <a:pt x="3485" y="0"/>
                </a:lnTo>
                <a:lnTo>
                  <a:pt x="3651" y="0"/>
                </a:lnTo>
                <a:lnTo>
                  <a:pt x="3005" y="640"/>
                </a:lnTo>
                <a:lnTo>
                  <a:pt x="775" y="640"/>
                </a:lnTo>
                <a:lnTo>
                  <a:pt x="166" y="1545"/>
                </a:lnTo>
                <a:lnTo>
                  <a:pt x="0" y="1545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1" name="Freeform 92">
            <a:extLst>
              <a:ext uri="{FF2B5EF4-FFF2-40B4-BE49-F238E27FC236}">
                <a16:creationId xmlns="" xmlns:a16="http://schemas.microsoft.com/office/drawing/2014/main" id="{00000000-0008-0000-0200-000067030000}"/>
              </a:ext>
            </a:extLst>
          </xdr:cNvPr>
          <xdr:cNvSpPr>
            <a:spLocks/>
          </xdr:cNvSpPr>
        </xdr:nvSpPr>
        <xdr:spPr bwMode="auto">
          <a:xfrm>
            <a:off x="773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2" name="Freeform 93">
            <a:extLst>
              <a:ext uri="{FF2B5EF4-FFF2-40B4-BE49-F238E27FC236}">
                <a16:creationId xmlns="" xmlns:a16="http://schemas.microsoft.com/office/drawing/2014/main" id="{00000000-0008-0000-0200-000068030000}"/>
              </a:ext>
            </a:extLst>
          </xdr:cNvPr>
          <xdr:cNvSpPr>
            <a:spLocks/>
          </xdr:cNvSpPr>
        </xdr:nvSpPr>
        <xdr:spPr bwMode="auto">
          <a:xfrm>
            <a:off x="59127" y="13978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3" name="Freeform 94">
            <a:extLst>
              <a:ext uri="{FF2B5EF4-FFF2-40B4-BE49-F238E27FC236}">
                <a16:creationId xmlns="" xmlns:a16="http://schemas.microsoft.com/office/drawing/2014/main" id="{00000000-0008-0000-0200-000069030000}"/>
              </a:ext>
            </a:extLst>
          </xdr:cNvPr>
          <xdr:cNvSpPr>
            <a:spLocks/>
          </xdr:cNvSpPr>
        </xdr:nvSpPr>
        <xdr:spPr bwMode="auto">
          <a:xfrm>
            <a:off x="117480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4" name="Freeform 95">
            <a:extLst>
              <a:ext uri="{FF2B5EF4-FFF2-40B4-BE49-F238E27FC236}">
                <a16:creationId xmlns="" xmlns:a16="http://schemas.microsoft.com/office/drawing/2014/main" id="{00000000-0008-0000-0200-00006A030000}"/>
              </a:ext>
            </a:extLst>
          </xdr:cNvPr>
          <xdr:cNvSpPr>
            <a:spLocks/>
          </xdr:cNvSpPr>
        </xdr:nvSpPr>
        <xdr:spPr bwMode="auto">
          <a:xfrm>
            <a:off x="175774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5" name="Freeform 96">
            <a:extLst>
              <a:ext uri="{FF2B5EF4-FFF2-40B4-BE49-F238E27FC236}">
                <a16:creationId xmlns="" xmlns:a16="http://schemas.microsoft.com/office/drawing/2014/main" id="{00000000-0008-0000-0200-00006B030000}"/>
              </a:ext>
            </a:extLst>
          </xdr:cNvPr>
          <xdr:cNvSpPr>
            <a:spLocks/>
          </xdr:cNvSpPr>
        </xdr:nvSpPr>
        <xdr:spPr bwMode="auto">
          <a:xfrm>
            <a:off x="501566" y="372485"/>
            <a:ext cx="28790" cy="27719"/>
          </a:xfrm>
          <a:custGeom>
            <a:avLst/>
            <a:gdLst>
              <a:gd name="T0" fmla="*/ 0 w 360"/>
              <a:gd name="T1" fmla="*/ 347 h 347"/>
              <a:gd name="T2" fmla="*/ 360 w 360"/>
              <a:gd name="T3" fmla="*/ 347 h 347"/>
              <a:gd name="T4" fmla="*/ 360 w 360"/>
              <a:gd name="T5" fmla="*/ 0 h 347"/>
              <a:gd name="T6" fmla="*/ 0 w 360"/>
              <a:gd name="T7" fmla="*/ 0 h 347"/>
              <a:gd name="T8" fmla="*/ 0 w 360"/>
              <a:gd name="T9" fmla="*/ 347 h 347"/>
              <a:gd name="T10" fmla="*/ 0 w 36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60" h="347">
                <a:moveTo>
                  <a:pt x="0" y="347"/>
                </a:moveTo>
                <a:lnTo>
                  <a:pt x="360" y="347"/>
                </a:lnTo>
                <a:lnTo>
                  <a:pt x="36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6" name="Freeform 97">
            <a:extLst>
              <a:ext uri="{FF2B5EF4-FFF2-40B4-BE49-F238E27FC236}">
                <a16:creationId xmlns="" xmlns:a16="http://schemas.microsoft.com/office/drawing/2014/main" id="{00000000-0008-0000-0200-00006C030000}"/>
              </a:ext>
            </a:extLst>
          </xdr:cNvPr>
          <xdr:cNvSpPr>
            <a:spLocks/>
          </xdr:cNvSpPr>
        </xdr:nvSpPr>
        <xdr:spPr bwMode="auto">
          <a:xfrm>
            <a:off x="560633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7" name="Freeform 98">
            <a:extLst>
              <a:ext uri="{FF2B5EF4-FFF2-40B4-BE49-F238E27FC236}">
                <a16:creationId xmlns="" xmlns:a16="http://schemas.microsoft.com/office/drawing/2014/main" id="{00000000-0008-0000-0200-00006D030000}"/>
              </a:ext>
            </a:extLst>
          </xdr:cNvPr>
          <xdr:cNvSpPr>
            <a:spLocks/>
          </xdr:cNvSpPr>
        </xdr:nvSpPr>
        <xdr:spPr bwMode="auto">
          <a:xfrm>
            <a:off x="618987" y="372485"/>
            <a:ext cx="28076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8" name="Freeform 99">
            <a:extLst>
              <a:ext uri="{FF2B5EF4-FFF2-40B4-BE49-F238E27FC236}">
                <a16:creationId xmlns="" xmlns:a16="http://schemas.microsoft.com/office/drawing/2014/main" id="{00000000-0008-0000-0200-00006E030000}"/>
              </a:ext>
            </a:extLst>
          </xdr:cNvPr>
          <xdr:cNvSpPr>
            <a:spLocks/>
          </xdr:cNvSpPr>
        </xdr:nvSpPr>
        <xdr:spPr bwMode="auto">
          <a:xfrm>
            <a:off x="677340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9" name="Freeform 100">
            <a:extLst>
              <a:ext uri="{FF2B5EF4-FFF2-40B4-BE49-F238E27FC236}">
                <a16:creationId xmlns="" xmlns:a16="http://schemas.microsoft.com/office/drawing/2014/main" id="{00000000-0008-0000-0200-00006F030000}"/>
              </a:ext>
            </a:extLst>
          </xdr:cNvPr>
          <xdr:cNvSpPr>
            <a:spLocks/>
          </xdr:cNvSpPr>
        </xdr:nvSpPr>
        <xdr:spPr bwMode="auto">
          <a:xfrm>
            <a:off x="735634" y="372485"/>
            <a:ext cx="28136" cy="27719"/>
          </a:xfrm>
          <a:custGeom>
            <a:avLst/>
            <a:gdLst>
              <a:gd name="T0" fmla="*/ 0 w 351"/>
              <a:gd name="T1" fmla="*/ 347 h 347"/>
              <a:gd name="T2" fmla="*/ 351 w 351"/>
              <a:gd name="T3" fmla="*/ 347 h 347"/>
              <a:gd name="T4" fmla="*/ 351 w 351"/>
              <a:gd name="T5" fmla="*/ 0 h 347"/>
              <a:gd name="T6" fmla="*/ 0 w 351"/>
              <a:gd name="T7" fmla="*/ 0 h 347"/>
              <a:gd name="T8" fmla="*/ 0 w 351"/>
              <a:gd name="T9" fmla="*/ 347 h 347"/>
              <a:gd name="T10" fmla="*/ 0 w 351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47">
                <a:moveTo>
                  <a:pt x="0" y="347"/>
                </a:moveTo>
                <a:lnTo>
                  <a:pt x="351" y="347"/>
                </a:lnTo>
                <a:lnTo>
                  <a:pt x="351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0" name="Freeform 102">
            <a:extLst>
              <a:ext uri="{FF2B5EF4-FFF2-40B4-BE49-F238E27FC236}">
                <a16:creationId xmlns="" xmlns:a16="http://schemas.microsoft.com/office/drawing/2014/main" id="{00000000-0008-0000-0200-000070030000}"/>
              </a:ext>
            </a:extLst>
          </xdr:cNvPr>
          <xdr:cNvSpPr>
            <a:spLocks/>
          </xdr:cNvSpPr>
        </xdr:nvSpPr>
        <xdr:spPr bwMode="auto">
          <a:xfrm>
            <a:off x="735634" y="316095"/>
            <a:ext cx="28136" cy="28552"/>
          </a:xfrm>
          <a:custGeom>
            <a:avLst/>
            <a:gdLst>
              <a:gd name="T0" fmla="*/ 0 w 351"/>
              <a:gd name="T1" fmla="*/ 356 h 356"/>
              <a:gd name="T2" fmla="*/ 351 w 351"/>
              <a:gd name="T3" fmla="*/ 356 h 356"/>
              <a:gd name="T4" fmla="*/ 351 w 351"/>
              <a:gd name="T5" fmla="*/ 0 h 356"/>
              <a:gd name="T6" fmla="*/ 0 w 351"/>
              <a:gd name="T7" fmla="*/ 0 h 356"/>
              <a:gd name="T8" fmla="*/ 0 w 351"/>
              <a:gd name="T9" fmla="*/ 356 h 356"/>
              <a:gd name="T10" fmla="*/ 0 w 351"/>
              <a:gd name="T11" fmla="*/ 356 h 3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56">
                <a:moveTo>
                  <a:pt x="0" y="356"/>
                </a:moveTo>
                <a:lnTo>
                  <a:pt x="351" y="356"/>
                </a:lnTo>
                <a:lnTo>
                  <a:pt x="351" y="0"/>
                </a:lnTo>
                <a:lnTo>
                  <a:pt x="0" y="0"/>
                </a:lnTo>
                <a:lnTo>
                  <a:pt x="0" y="35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1" name="Freeform 103">
            <a:extLst>
              <a:ext uri="{FF2B5EF4-FFF2-40B4-BE49-F238E27FC236}">
                <a16:creationId xmlns="" xmlns:a16="http://schemas.microsoft.com/office/drawing/2014/main" id="{00000000-0008-0000-0200-000071030000}"/>
              </a:ext>
            </a:extLst>
          </xdr:cNvPr>
          <xdr:cNvSpPr>
            <a:spLocks/>
          </xdr:cNvSpPr>
        </xdr:nvSpPr>
        <xdr:spPr bwMode="auto">
          <a:xfrm>
            <a:off x="274755" y="262738"/>
            <a:ext cx="20760" cy="21236"/>
          </a:xfrm>
          <a:custGeom>
            <a:avLst/>
            <a:gdLst>
              <a:gd name="T0" fmla="*/ 129 w 259"/>
              <a:gd name="T1" fmla="*/ 265 h 265"/>
              <a:gd name="T2" fmla="*/ 176 w 259"/>
              <a:gd name="T3" fmla="*/ 246 h 265"/>
              <a:gd name="T4" fmla="*/ 222 w 259"/>
              <a:gd name="T5" fmla="*/ 219 h 265"/>
              <a:gd name="T6" fmla="*/ 249 w 259"/>
              <a:gd name="T7" fmla="*/ 173 h 265"/>
              <a:gd name="T8" fmla="*/ 259 w 259"/>
              <a:gd name="T9" fmla="*/ 128 h 265"/>
              <a:gd name="T10" fmla="*/ 249 w 259"/>
              <a:gd name="T11" fmla="*/ 73 h 265"/>
              <a:gd name="T12" fmla="*/ 222 w 259"/>
              <a:gd name="T13" fmla="*/ 27 h 265"/>
              <a:gd name="T14" fmla="*/ 176 w 259"/>
              <a:gd name="T15" fmla="*/ 0 h 265"/>
              <a:gd name="T16" fmla="*/ 129 w 259"/>
              <a:gd name="T17" fmla="*/ 0 h 265"/>
              <a:gd name="T18" fmla="*/ 65 w 259"/>
              <a:gd name="T19" fmla="*/ 0 h 265"/>
              <a:gd name="T20" fmla="*/ 28 w 259"/>
              <a:gd name="T21" fmla="*/ 27 h 265"/>
              <a:gd name="T22" fmla="*/ 0 w 259"/>
              <a:gd name="T23" fmla="*/ 73 h 265"/>
              <a:gd name="T24" fmla="*/ 0 w 259"/>
              <a:gd name="T25" fmla="*/ 128 h 265"/>
              <a:gd name="T26" fmla="*/ 0 w 259"/>
              <a:gd name="T27" fmla="*/ 173 h 265"/>
              <a:gd name="T28" fmla="*/ 28 w 259"/>
              <a:gd name="T29" fmla="*/ 219 h 265"/>
              <a:gd name="T30" fmla="*/ 65 w 259"/>
              <a:gd name="T31" fmla="*/ 246 h 265"/>
              <a:gd name="T32" fmla="*/ 129 w 259"/>
              <a:gd name="T33" fmla="*/ 265 h 265"/>
              <a:gd name="T34" fmla="*/ 129 w 259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59" h="265">
                <a:moveTo>
                  <a:pt x="129" y="265"/>
                </a:moveTo>
                <a:lnTo>
                  <a:pt x="176" y="246"/>
                </a:lnTo>
                <a:lnTo>
                  <a:pt x="222" y="219"/>
                </a:lnTo>
                <a:lnTo>
                  <a:pt x="249" y="173"/>
                </a:lnTo>
                <a:lnTo>
                  <a:pt x="259" y="128"/>
                </a:lnTo>
                <a:lnTo>
                  <a:pt x="249" y="73"/>
                </a:lnTo>
                <a:lnTo>
                  <a:pt x="222" y="27"/>
                </a:lnTo>
                <a:lnTo>
                  <a:pt x="176" y="0"/>
                </a:lnTo>
                <a:lnTo>
                  <a:pt x="129" y="0"/>
                </a:lnTo>
                <a:lnTo>
                  <a:pt x="65" y="0"/>
                </a:lnTo>
                <a:lnTo>
                  <a:pt x="28" y="27"/>
                </a:lnTo>
                <a:lnTo>
                  <a:pt x="0" y="73"/>
                </a:lnTo>
                <a:lnTo>
                  <a:pt x="0" y="128"/>
                </a:lnTo>
                <a:lnTo>
                  <a:pt x="0" y="173"/>
                </a:lnTo>
                <a:lnTo>
                  <a:pt x="28" y="219"/>
                </a:lnTo>
                <a:lnTo>
                  <a:pt x="65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2" name="Freeform 104">
            <a:extLst>
              <a:ext uri="{FF2B5EF4-FFF2-40B4-BE49-F238E27FC236}">
                <a16:creationId xmlns="" xmlns:a16="http://schemas.microsoft.com/office/drawing/2014/main" id="{00000000-0008-0000-0200-000072030000}"/>
              </a:ext>
            </a:extLst>
          </xdr:cNvPr>
          <xdr:cNvSpPr>
            <a:spLocks/>
          </xdr:cNvSpPr>
        </xdr:nvSpPr>
        <xdr:spPr bwMode="auto">
          <a:xfrm>
            <a:off x="313955" y="262738"/>
            <a:ext cx="21355" cy="21236"/>
          </a:xfrm>
          <a:custGeom>
            <a:avLst/>
            <a:gdLst>
              <a:gd name="T0" fmla="*/ 129 w 267"/>
              <a:gd name="T1" fmla="*/ 265 h 265"/>
              <a:gd name="T2" fmla="*/ 184 w 267"/>
              <a:gd name="T3" fmla="*/ 246 h 265"/>
              <a:gd name="T4" fmla="*/ 230 w 267"/>
              <a:gd name="T5" fmla="*/ 219 h 265"/>
              <a:gd name="T6" fmla="*/ 249 w 267"/>
              <a:gd name="T7" fmla="*/ 173 h 265"/>
              <a:gd name="T8" fmla="*/ 267 w 267"/>
              <a:gd name="T9" fmla="*/ 137 h 265"/>
              <a:gd name="T10" fmla="*/ 249 w 267"/>
              <a:gd name="T11" fmla="*/ 73 h 265"/>
              <a:gd name="T12" fmla="*/ 230 w 267"/>
              <a:gd name="T13" fmla="*/ 36 h 265"/>
              <a:gd name="T14" fmla="*/ 184 w 267"/>
              <a:gd name="T15" fmla="*/ 0 h 265"/>
              <a:gd name="T16" fmla="*/ 129 w 267"/>
              <a:gd name="T17" fmla="*/ 0 h 265"/>
              <a:gd name="T18" fmla="*/ 74 w 267"/>
              <a:gd name="T19" fmla="*/ 0 h 265"/>
              <a:gd name="T20" fmla="*/ 37 w 267"/>
              <a:gd name="T21" fmla="*/ 36 h 265"/>
              <a:gd name="T22" fmla="*/ 9 w 267"/>
              <a:gd name="T23" fmla="*/ 73 h 265"/>
              <a:gd name="T24" fmla="*/ 0 w 267"/>
              <a:gd name="T25" fmla="*/ 137 h 265"/>
              <a:gd name="T26" fmla="*/ 9 w 267"/>
              <a:gd name="T27" fmla="*/ 173 h 265"/>
              <a:gd name="T28" fmla="*/ 37 w 267"/>
              <a:gd name="T29" fmla="*/ 219 h 265"/>
              <a:gd name="T30" fmla="*/ 74 w 267"/>
              <a:gd name="T31" fmla="*/ 246 h 265"/>
              <a:gd name="T32" fmla="*/ 129 w 267"/>
              <a:gd name="T33" fmla="*/ 265 h 265"/>
              <a:gd name="T34" fmla="*/ 129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29" y="265"/>
                </a:moveTo>
                <a:lnTo>
                  <a:pt x="184" y="246"/>
                </a:lnTo>
                <a:lnTo>
                  <a:pt x="230" y="219"/>
                </a:lnTo>
                <a:lnTo>
                  <a:pt x="249" y="173"/>
                </a:lnTo>
                <a:lnTo>
                  <a:pt x="267" y="137"/>
                </a:lnTo>
                <a:lnTo>
                  <a:pt x="249" y="73"/>
                </a:lnTo>
                <a:lnTo>
                  <a:pt x="230" y="36"/>
                </a:lnTo>
                <a:lnTo>
                  <a:pt x="184" y="0"/>
                </a:lnTo>
                <a:lnTo>
                  <a:pt x="129" y="0"/>
                </a:lnTo>
                <a:lnTo>
                  <a:pt x="74" y="0"/>
                </a:lnTo>
                <a:lnTo>
                  <a:pt x="37" y="36"/>
                </a:lnTo>
                <a:lnTo>
                  <a:pt x="9" y="73"/>
                </a:lnTo>
                <a:lnTo>
                  <a:pt x="0" y="137"/>
                </a:lnTo>
                <a:lnTo>
                  <a:pt x="9" y="173"/>
                </a:lnTo>
                <a:lnTo>
                  <a:pt x="37" y="219"/>
                </a:lnTo>
                <a:lnTo>
                  <a:pt x="74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3" name="Freeform 105">
            <a:extLst>
              <a:ext uri="{FF2B5EF4-FFF2-40B4-BE49-F238E27FC236}">
                <a16:creationId xmlns="" xmlns:a16="http://schemas.microsoft.com/office/drawing/2014/main" id="{00000000-0008-0000-0200-000073030000}"/>
              </a:ext>
            </a:extLst>
          </xdr:cNvPr>
          <xdr:cNvSpPr>
            <a:spLocks/>
          </xdr:cNvSpPr>
        </xdr:nvSpPr>
        <xdr:spPr bwMode="auto">
          <a:xfrm>
            <a:off x="345838" y="267913"/>
            <a:ext cx="21355" cy="21236"/>
          </a:xfrm>
          <a:custGeom>
            <a:avLst/>
            <a:gdLst>
              <a:gd name="T0" fmla="*/ 138 w 267"/>
              <a:gd name="T1" fmla="*/ 265 h 265"/>
              <a:gd name="T2" fmla="*/ 184 w 267"/>
              <a:gd name="T3" fmla="*/ 256 h 265"/>
              <a:gd name="T4" fmla="*/ 230 w 267"/>
              <a:gd name="T5" fmla="*/ 228 h 265"/>
              <a:gd name="T6" fmla="*/ 258 w 267"/>
              <a:gd name="T7" fmla="*/ 182 h 265"/>
              <a:gd name="T8" fmla="*/ 267 w 267"/>
              <a:gd name="T9" fmla="*/ 137 h 265"/>
              <a:gd name="T10" fmla="*/ 258 w 267"/>
              <a:gd name="T11" fmla="*/ 82 h 265"/>
              <a:gd name="T12" fmla="*/ 230 w 267"/>
              <a:gd name="T13" fmla="*/ 45 h 265"/>
              <a:gd name="T14" fmla="*/ 184 w 267"/>
              <a:gd name="T15" fmla="*/ 9 h 265"/>
              <a:gd name="T16" fmla="*/ 138 w 267"/>
              <a:gd name="T17" fmla="*/ 0 h 265"/>
              <a:gd name="T18" fmla="*/ 74 w 267"/>
              <a:gd name="T19" fmla="*/ 9 h 265"/>
              <a:gd name="T20" fmla="*/ 37 w 267"/>
              <a:gd name="T21" fmla="*/ 45 h 265"/>
              <a:gd name="T22" fmla="*/ 9 w 267"/>
              <a:gd name="T23" fmla="*/ 82 h 265"/>
              <a:gd name="T24" fmla="*/ 0 w 267"/>
              <a:gd name="T25" fmla="*/ 137 h 265"/>
              <a:gd name="T26" fmla="*/ 9 w 267"/>
              <a:gd name="T27" fmla="*/ 182 h 265"/>
              <a:gd name="T28" fmla="*/ 37 w 267"/>
              <a:gd name="T29" fmla="*/ 228 h 265"/>
              <a:gd name="T30" fmla="*/ 74 w 267"/>
              <a:gd name="T31" fmla="*/ 256 h 265"/>
              <a:gd name="T32" fmla="*/ 138 w 267"/>
              <a:gd name="T33" fmla="*/ 265 h 265"/>
              <a:gd name="T34" fmla="*/ 138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38" y="265"/>
                </a:moveTo>
                <a:lnTo>
                  <a:pt x="184" y="256"/>
                </a:lnTo>
                <a:lnTo>
                  <a:pt x="230" y="228"/>
                </a:lnTo>
                <a:lnTo>
                  <a:pt x="258" y="182"/>
                </a:lnTo>
                <a:lnTo>
                  <a:pt x="267" y="137"/>
                </a:lnTo>
                <a:lnTo>
                  <a:pt x="258" y="82"/>
                </a:lnTo>
                <a:lnTo>
                  <a:pt x="230" y="45"/>
                </a:lnTo>
                <a:lnTo>
                  <a:pt x="184" y="9"/>
                </a:lnTo>
                <a:lnTo>
                  <a:pt x="138" y="0"/>
                </a:lnTo>
                <a:lnTo>
                  <a:pt x="74" y="9"/>
                </a:lnTo>
                <a:lnTo>
                  <a:pt x="37" y="45"/>
                </a:lnTo>
                <a:lnTo>
                  <a:pt x="9" y="82"/>
                </a:lnTo>
                <a:lnTo>
                  <a:pt x="0" y="137"/>
                </a:lnTo>
                <a:lnTo>
                  <a:pt x="9" y="182"/>
                </a:lnTo>
                <a:lnTo>
                  <a:pt x="37" y="228"/>
                </a:lnTo>
                <a:lnTo>
                  <a:pt x="74" y="256"/>
                </a:lnTo>
                <a:lnTo>
                  <a:pt x="138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4" name="Freeform 106">
            <a:extLst>
              <a:ext uri="{FF2B5EF4-FFF2-40B4-BE49-F238E27FC236}">
                <a16:creationId xmlns="" xmlns:a16="http://schemas.microsoft.com/office/drawing/2014/main" id="{00000000-0008-0000-0200-000074030000}"/>
              </a:ext>
            </a:extLst>
          </xdr:cNvPr>
          <xdr:cNvSpPr>
            <a:spLocks/>
          </xdr:cNvSpPr>
        </xdr:nvSpPr>
        <xdr:spPr bwMode="auto">
          <a:xfrm>
            <a:off x="278502" y="266307"/>
            <a:ext cx="14038" cy="13919"/>
          </a:xfrm>
          <a:custGeom>
            <a:avLst/>
            <a:gdLst>
              <a:gd name="T0" fmla="*/ 83 w 176"/>
              <a:gd name="T1" fmla="*/ 174 h 174"/>
              <a:gd name="T2" fmla="*/ 148 w 176"/>
              <a:gd name="T3" fmla="*/ 147 h 174"/>
              <a:gd name="T4" fmla="*/ 176 w 176"/>
              <a:gd name="T5" fmla="*/ 92 h 174"/>
              <a:gd name="T6" fmla="*/ 148 w 176"/>
              <a:gd name="T7" fmla="*/ 28 h 174"/>
              <a:gd name="T8" fmla="*/ 83 w 176"/>
              <a:gd name="T9" fmla="*/ 0 h 174"/>
              <a:gd name="T10" fmla="*/ 19 w 176"/>
              <a:gd name="T11" fmla="*/ 28 h 174"/>
              <a:gd name="T12" fmla="*/ 0 w 176"/>
              <a:gd name="T13" fmla="*/ 92 h 174"/>
              <a:gd name="T14" fmla="*/ 19 w 176"/>
              <a:gd name="T15" fmla="*/ 147 h 174"/>
              <a:gd name="T16" fmla="*/ 83 w 176"/>
              <a:gd name="T17" fmla="*/ 174 h 174"/>
              <a:gd name="T18" fmla="*/ 83 w 17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76" h="174">
                <a:moveTo>
                  <a:pt x="83" y="174"/>
                </a:moveTo>
                <a:lnTo>
                  <a:pt x="148" y="147"/>
                </a:lnTo>
                <a:lnTo>
                  <a:pt x="176" y="92"/>
                </a:lnTo>
                <a:lnTo>
                  <a:pt x="148" y="28"/>
                </a:lnTo>
                <a:lnTo>
                  <a:pt x="83" y="0"/>
                </a:lnTo>
                <a:lnTo>
                  <a:pt x="19" y="28"/>
                </a:lnTo>
                <a:lnTo>
                  <a:pt x="0" y="92"/>
                </a:lnTo>
                <a:lnTo>
                  <a:pt x="19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5" name="Freeform 107">
            <a:extLst>
              <a:ext uri="{FF2B5EF4-FFF2-40B4-BE49-F238E27FC236}">
                <a16:creationId xmlns="" xmlns:a16="http://schemas.microsoft.com/office/drawing/2014/main" id="{00000000-0008-0000-0200-000075030000}"/>
              </a:ext>
            </a:extLst>
          </xdr:cNvPr>
          <xdr:cNvSpPr>
            <a:spLocks/>
          </xdr:cNvSpPr>
        </xdr:nvSpPr>
        <xdr:spPr bwMode="auto">
          <a:xfrm>
            <a:off x="101955" y="15347"/>
            <a:ext cx="629991" cy="494604"/>
          </a:xfrm>
          <a:custGeom>
            <a:avLst/>
            <a:gdLst>
              <a:gd name="T0" fmla="*/ 5393 w 7863"/>
              <a:gd name="T1" fmla="*/ 73 h 6179"/>
              <a:gd name="T2" fmla="*/ 5863 w 7863"/>
              <a:gd name="T3" fmla="*/ 9 h 6179"/>
              <a:gd name="T4" fmla="*/ 6352 w 7863"/>
              <a:gd name="T5" fmla="*/ 9 h 6179"/>
              <a:gd name="T6" fmla="*/ 6794 w 7863"/>
              <a:gd name="T7" fmla="*/ 64 h 6179"/>
              <a:gd name="T8" fmla="*/ 7190 w 7863"/>
              <a:gd name="T9" fmla="*/ 229 h 6179"/>
              <a:gd name="T10" fmla="*/ 7587 w 7863"/>
              <a:gd name="T11" fmla="*/ 567 h 6179"/>
              <a:gd name="T12" fmla="*/ 7854 w 7863"/>
              <a:gd name="T13" fmla="*/ 1243 h 6179"/>
              <a:gd name="T14" fmla="*/ 7799 w 7863"/>
              <a:gd name="T15" fmla="*/ 2020 h 6179"/>
              <a:gd name="T16" fmla="*/ 7522 w 7863"/>
              <a:gd name="T17" fmla="*/ 2834 h 6179"/>
              <a:gd name="T18" fmla="*/ 7080 w 7863"/>
              <a:gd name="T19" fmla="*/ 3574 h 6179"/>
              <a:gd name="T20" fmla="*/ 6573 w 7863"/>
              <a:gd name="T21" fmla="*/ 4196 h 6179"/>
              <a:gd name="T22" fmla="*/ 5752 w 7863"/>
              <a:gd name="T23" fmla="*/ 4872 h 6179"/>
              <a:gd name="T24" fmla="*/ 4914 w 7863"/>
              <a:gd name="T25" fmla="*/ 5393 h 6179"/>
              <a:gd name="T26" fmla="*/ 4029 w 7863"/>
              <a:gd name="T27" fmla="*/ 5759 h 6179"/>
              <a:gd name="T28" fmla="*/ 3098 w 7863"/>
              <a:gd name="T29" fmla="*/ 6015 h 6179"/>
              <a:gd name="T30" fmla="*/ 2047 w 7863"/>
              <a:gd name="T31" fmla="*/ 6152 h 6179"/>
              <a:gd name="T32" fmla="*/ 1438 w 7863"/>
              <a:gd name="T33" fmla="*/ 6179 h 6179"/>
              <a:gd name="T34" fmla="*/ 1079 w 7863"/>
              <a:gd name="T35" fmla="*/ 6170 h 6179"/>
              <a:gd name="T36" fmla="*/ 747 w 7863"/>
              <a:gd name="T37" fmla="*/ 6134 h 6179"/>
              <a:gd name="T38" fmla="*/ 443 w 7863"/>
              <a:gd name="T39" fmla="*/ 6042 h 6179"/>
              <a:gd name="T40" fmla="*/ 203 w 7863"/>
              <a:gd name="T41" fmla="*/ 5923 h 6179"/>
              <a:gd name="T42" fmla="*/ 28 w 7863"/>
              <a:gd name="T43" fmla="*/ 5740 h 6179"/>
              <a:gd name="T44" fmla="*/ 10 w 7863"/>
              <a:gd name="T45" fmla="*/ 5503 h 6179"/>
              <a:gd name="T46" fmla="*/ 102 w 7863"/>
              <a:gd name="T47" fmla="*/ 5229 h 6179"/>
              <a:gd name="T48" fmla="*/ 259 w 7863"/>
              <a:gd name="T49" fmla="*/ 4991 h 6179"/>
              <a:gd name="T50" fmla="*/ 397 w 7863"/>
              <a:gd name="T51" fmla="*/ 4808 h 6179"/>
              <a:gd name="T52" fmla="*/ 471 w 7863"/>
              <a:gd name="T53" fmla="*/ 4753 h 6179"/>
              <a:gd name="T54" fmla="*/ 544 w 7863"/>
              <a:gd name="T55" fmla="*/ 5000 h 6179"/>
              <a:gd name="T56" fmla="*/ 480 w 7863"/>
              <a:gd name="T57" fmla="*/ 5110 h 6179"/>
              <a:gd name="T58" fmla="*/ 415 w 7863"/>
              <a:gd name="T59" fmla="*/ 5265 h 6179"/>
              <a:gd name="T60" fmla="*/ 378 w 7863"/>
              <a:gd name="T61" fmla="*/ 5457 h 6179"/>
              <a:gd name="T62" fmla="*/ 415 w 7863"/>
              <a:gd name="T63" fmla="*/ 5658 h 6179"/>
              <a:gd name="T64" fmla="*/ 821 w 7863"/>
              <a:gd name="T65" fmla="*/ 5914 h 6179"/>
              <a:gd name="T66" fmla="*/ 1448 w 7863"/>
              <a:gd name="T67" fmla="*/ 6024 h 6179"/>
              <a:gd name="T68" fmla="*/ 2213 w 7863"/>
              <a:gd name="T69" fmla="*/ 5978 h 6179"/>
              <a:gd name="T70" fmla="*/ 3033 w 7863"/>
              <a:gd name="T71" fmla="*/ 5823 h 6179"/>
              <a:gd name="T72" fmla="*/ 3807 w 7863"/>
              <a:gd name="T73" fmla="*/ 5567 h 6179"/>
              <a:gd name="T74" fmla="*/ 4683 w 7863"/>
              <a:gd name="T75" fmla="*/ 5091 h 6179"/>
              <a:gd name="T76" fmla="*/ 5669 w 7863"/>
              <a:gd name="T77" fmla="*/ 4324 h 6179"/>
              <a:gd name="T78" fmla="*/ 6554 w 7863"/>
              <a:gd name="T79" fmla="*/ 3382 h 6179"/>
              <a:gd name="T80" fmla="*/ 7181 w 7863"/>
              <a:gd name="T81" fmla="*/ 2331 h 6179"/>
              <a:gd name="T82" fmla="*/ 7402 w 7863"/>
              <a:gd name="T83" fmla="*/ 1271 h 6179"/>
              <a:gd name="T84" fmla="*/ 7209 w 7863"/>
              <a:gd name="T85" fmla="*/ 475 h 6179"/>
              <a:gd name="T86" fmla="*/ 6941 w 7863"/>
              <a:gd name="T87" fmla="*/ 247 h 6179"/>
              <a:gd name="T88" fmla="*/ 6564 w 7863"/>
              <a:gd name="T89" fmla="*/ 119 h 6179"/>
              <a:gd name="T90" fmla="*/ 6140 w 7863"/>
              <a:gd name="T91" fmla="*/ 101 h 6179"/>
              <a:gd name="T92" fmla="*/ 5679 w 7863"/>
              <a:gd name="T93" fmla="*/ 146 h 6179"/>
              <a:gd name="T94" fmla="*/ 5236 w 7863"/>
              <a:gd name="T95" fmla="*/ 229 h 6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7863" h="6179">
                <a:moveTo>
                  <a:pt x="5089" y="137"/>
                </a:moveTo>
                <a:lnTo>
                  <a:pt x="5236" y="101"/>
                </a:lnTo>
                <a:lnTo>
                  <a:pt x="5393" y="73"/>
                </a:lnTo>
                <a:lnTo>
                  <a:pt x="5550" y="46"/>
                </a:lnTo>
                <a:lnTo>
                  <a:pt x="5706" y="28"/>
                </a:lnTo>
                <a:lnTo>
                  <a:pt x="5863" y="9"/>
                </a:lnTo>
                <a:lnTo>
                  <a:pt x="6029" y="0"/>
                </a:lnTo>
                <a:lnTo>
                  <a:pt x="6186" y="0"/>
                </a:lnTo>
                <a:lnTo>
                  <a:pt x="6352" y="9"/>
                </a:lnTo>
                <a:lnTo>
                  <a:pt x="6499" y="9"/>
                </a:lnTo>
                <a:lnTo>
                  <a:pt x="6647" y="37"/>
                </a:lnTo>
                <a:lnTo>
                  <a:pt x="6794" y="64"/>
                </a:lnTo>
                <a:lnTo>
                  <a:pt x="6932" y="110"/>
                </a:lnTo>
                <a:lnTo>
                  <a:pt x="7061" y="165"/>
                </a:lnTo>
                <a:lnTo>
                  <a:pt x="7190" y="229"/>
                </a:lnTo>
                <a:lnTo>
                  <a:pt x="7310" y="293"/>
                </a:lnTo>
                <a:lnTo>
                  <a:pt x="7430" y="384"/>
                </a:lnTo>
                <a:lnTo>
                  <a:pt x="7587" y="567"/>
                </a:lnTo>
                <a:lnTo>
                  <a:pt x="7716" y="768"/>
                </a:lnTo>
                <a:lnTo>
                  <a:pt x="7799" y="996"/>
                </a:lnTo>
                <a:lnTo>
                  <a:pt x="7854" y="1243"/>
                </a:lnTo>
                <a:lnTo>
                  <a:pt x="7863" y="1490"/>
                </a:lnTo>
                <a:lnTo>
                  <a:pt x="7845" y="1755"/>
                </a:lnTo>
                <a:lnTo>
                  <a:pt x="7799" y="2020"/>
                </a:lnTo>
                <a:lnTo>
                  <a:pt x="7734" y="2294"/>
                </a:lnTo>
                <a:lnTo>
                  <a:pt x="7642" y="2559"/>
                </a:lnTo>
                <a:lnTo>
                  <a:pt x="7522" y="2834"/>
                </a:lnTo>
                <a:lnTo>
                  <a:pt x="7384" y="3090"/>
                </a:lnTo>
                <a:lnTo>
                  <a:pt x="7246" y="3346"/>
                </a:lnTo>
                <a:lnTo>
                  <a:pt x="7080" y="3574"/>
                </a:lnTo>
                <a:lnTo>
                  <a:pt x="6914" y="3812"/>
                </a:lnTo>
                <a:lnTo>
                  <a:pt x="6739" y="4004"/>
                </a:lnTo>
                <a:lnTo>
                  <a:pt x="6573" y="4196"/>
                </a:lnTo>
                <a:lnTo>
                  <a:pt x="6296" y="4433"/>
                </a:lnTo>
                <a:lnTo>
                  <a:pt x="6020" y="4662"/>
                </a:lnTo>
                <a:lnTo>
                  <a:pt x="5752" y="4872"/>
                </a:lnTo>
                <a:lnTo>
                  <a:pt x="5476" y="5064"/>
                </a:lnTo>
                <a:lnTo>
                  <a:pt x="5190" y="5238"/>
                </a:lnTo>
                <a:lnTo>
                  <a:pt x="4914" y="5393"/>
                </a:lnTo>
                <a:lnTo>
                  <a:pt x="4619" y="5521"/>
                </a:lnTo>
                <a:lnTo>
                  <a:pt x="4333" y="5658"/>
                </a:lnTo>
                <a:lnTo>
                  <a:pt x="4029" y="5759"/>
                </a:lnTo>
                <a:lnTo>
                  <a:pt x="3724" y="5859"/>
                </a:lnTo>
                <a:lnTo>
                  <a:pt x="3411" y="5932"/>
                </a:lnTo>
                <a:lnTo>
                  <a:pt x="3098" y="6015"/>
                </a:lnTo>
                <a:lnTo>
                  <a:pt x="2757" y="6070"/>
                </a:lnTo>
                <a:lnTo>
                  <a:pt x="2406" y="6115"/>
                </a:lnTo>
                <a:lnTo>
                  <a:pt x="2047" y="6152"/>
                </a:lnTo>
                <a:lnTo>
                  <a:pt x="1678" y="6179"/>
                </a:lnTo>
                <a:lnTo>
                  <a:pt x="1558" y="6179"/>
                </a:lnTo>
                <a:lnTo>
                  <a:pt x="1438" y="6179"/>
                </a:lnTo>
                <a:lnTo>
                  <a:pt x="1309" y="6179"/>
                </a:lnTo>
                <a:lnTo>
                  <a:pt x="1199" y="6179"/>
                </a:lnTo>
                <a:lnTo>
                  <a:pt x="1079" y="6170"/>
                </a:lnTo>
                <a:lnTo>
                  <a:pt x="959" y="6161"/>
                </a:lnTo>
                <a:lnTo>
                  <a:pt x="848" y="6152"/>
                </a:lnTo>
                <a:lnTo>
                  <a:pt x="747" y="6134"/>
                </a:lnTo>
                <a:lnTo>
                  <a:pt x="636" y="6106"/>
                </a:lnTo>
                <a:lnTo>
                  <a:pt x="544" y="6088"/>
                </a:lnTo>
                <a:lnTo>
                  <a:pt x="443" y="6042"/>
                </a:lnTo>
                <a:lnTo>
                  <a:pt x="369" y="6015"/>
                </a:lnTo>
                <a:lnTo>
                  <a:pt x="277" y="5969"/>
                </a:lnTo>
                <a:lnTo>
                  <a:pt x="203" y="5923"/>
                </a:lnTo>
                <a:lnTo>
                  <a:pt x="129" y="5868"/>
                </a:lnTo>
                <a:lnTo>
                  <a:pt x="83" y="5814"/>
                </a:lnTo>
                <a:lnTo>
                  <a:pt x="28" y="5740"/>
                </a:lnTo>
                <a:lnTo>
                  <a:pt x="0" y="5667"/>
                </a:lnTo>
                <a:lnTo>
                  <a:pt x="0" y="5585"/>
                </a:lnTo>
                <a:lnTo>
                  <a:pt x="10" y="5503"/>
                </a:lnTo>
                <a:lnTo>
                  <a:pt x="19" y="5411"/>
                </a:lnTo>
                <a:lnTo>
                  <a:pt x="65" y="5320"/>
                </a:lnTo>
                <a:lnTo>
                  <a:pt x="102" y="5229"/>
                </a:lnTo>
                <a:lnTo>
                  <a:pt x="157" y="5155"/>
                </a:lnTo>
                <a:lnTo>
                  <a:pt x="203" y="5064"/>
                </a:lnTo>
                <a:lnTo>
                  <a:pt x="259" y="4991"/>
                </a:lnTo>
                <a:lnTo>
                  <a:pt x="305" y="4918"/>
                </a:lnTo>
                <a:lnTo>
                  <a:pt x="360" y="4863"/>
                </a:lnTo>
                <a:lnTo>
                  <a:pt x="397" y="4808"/>
                </a:lnTo>
                <a:lnTo>
                  <a:pt x="434" y="4781"/>
                </a:lnTo>
                <a:lnTo>
                  <a:pt x="461" y="4753"/>
                </a:lnTo>
                <a:lnTo>
                  <a:pt x="471" y="4753"/>
                </a:lnTo>
                <a:lnTo>
                  <a:pt x="600" y="4936"/>
                </a:lnTo>
                <a:lnTo>
                  <a:pt x="581" y="4954"/>
                </a:lnTo>
                <a:lnTo>
                  <a:pt x="544" y="5000"/>
                </a:lnTo>
                <a:lnTo>
                  <a:pt x="526" y="5027"/>
                </a:lnTo>
                <a:lnTo>
                  <a:pt x="507" y="5064"/>
                </a:lnTo>
                <a:lnTo>
                  <a:pt x="480" y="5110"/>
                </a:lnTo>
                <a:lnTo>
                  <a:pt x="461" y="5165"/>
                </a:lnTo>
                <a:lnTo>
                  <a:pt x="434" y="5210"/>
                </a:lnTo>
                <a:lnTo>
                  <a:pt x="415" y="5265"/>
                </a:lnTo>
                <a:lnTo>
                  <a:pt x="397" y="5329"/>
                </a:lnTo>
                <a:lnTo>
                  <a:pt x="397" y="5393"/>
                </a:lnTo>
                <a:lnTo>
                  <a:pt x="378" y="5457"/>
                </a:lnTo>
                <a:lnTo>
                  <a:pt x="388" y="5521"/>
                </a:lnTo>
                <a:lnTo>
                  <a:pt x="397" y="5585"/>
                </a:lnTo>
                <a:lnTo>
                  <a:pt x="415" y="5658"/>
                </a:lnTo>
                <a:lnTo>
                  <a:pt x="517" y="5759"/>
                </a:lnTo>
                <a:lnTo>
                  <a:pt x="655" y="5850"/>
                </a:lnTo>
                <a:lnTo>
                  <a:pt x="821" y="5914"/>
                </a:lnTo>
                <a:lnTo>
                  <a:pt x="1014" y="5978"/>
                </a:lnTo>
                <a:lnTo>
                  <a:pt x="1226" y="6006"/>
                </a:lnTo>
                <a:lnTo>
                  <a:pt x="1448" y="6024"/>
                </a:lnTo>
                <a:lnTo>
                  <a:pt x="1697" y="6024"/>
                </a:lnTo>
                <a:lnTo>
                  <a:pt x="1955" y="6015"/>
                </a:lnTo>
                <a:lnTo>
                  <a:pt x="2213" y="5978"/>
                </a:lnTo>
                <a:lnTo>
                  <a:pt x="2480" y="5942"/>
                </a:lnTo>
                <a:lnTo>
                  <a:pt x="2747" y="5887"/>
                </a:lnTo>
                <a:lnTo>
                  <a:pt x="3033" y="5823"/>
                </a:lnTo>
                <a:lnTo>
                  <a:pt x="3291" y="5740"/>
                </a:lnTo>
                <a:lnTo>
                  <a:pt x="3549" y="5658"/>
                </a:lnTo>
                <a:lnTo>
                  <a:pt x="3807" y="5567"/>
                </a:lnTo>
                <a:lnTo>
                  <a:pt x="4047" y="5466"/>
                </a:lnTo>
                <a:lnTo>
                  <a:pt x="4360" y="5293"/>
                </a:lnTo>
                <a:lnTo>
                  <a:pt x="4683" y="5091"/>
                </a:lnTo>
                <a:lnTo>
                  <a:pt x="5015" y="4854"/>
                </a:lnTo>
                <a:lnTo>
                  <a:pt x="5347" y="4607"/>
                </a:lnTo>
                <a:lnTo>
                  <a:pt x="5669" y="4324"/>
                </a:lnTo>
                <a:lnTo>
                  <a:pt x="5983" y="4022"/>
                </a:lnTo>
                <a:lnTo>
                  <a:pt x="6278" y="3711"/>
                </a:lnTo>
                <a:lnTo>
                  <a:pt x="6554" y="3382"/>
                </a:lnTo>
                <a:lnTo>
                  <a:pt x="6794" y="3035"/>
                </a:lnTo>
                <a:lnTo>
                  <a:pt x="7015" y="2687"/>
                </a:lnTo>
                <a:lnTo>
                  <a:pt x="7181" y="2331"/>
                </a:lnTo>
                <a:lnTo>
                  <a:pt x="7310" y="1974"/>
                </a:lnTo>
                <a:lnTo>
                  <a:pt x="7384" y="1618"/>
                </a:lnTo>
                <a:lnTo>
                  <a:pt x="7402" y="1271"/>
                </a:lnTo>
                <a:lnTo>
                  <a:pt x="7366" y="923"/>
                </a:lnTo>
                <a:lnTo>
                  <a:pt x="7273" y="594"/>
                </a:lnTo>
                <a:lnTo>
                  <a:pt x="7209" y="475"/>
                </a:lnTo>
                <a:lnTo>
                  <a:pt x="7135" y="384"/>
                </a:lnTo>
                <a:lnTo>
                  <a:pt x="7034" y="302"/>
                </a:lnTo>
                <a:lnTo>
                  <a:pt x="6941" y="247"/>
                </a:lnTo>
                <a:lnTo>
                  <a:pt x="6822" y="183"/>
                </a:lnTo>
                <a:lnTo>
                  <a:pt x="6702" y="146"/>
                </a:lnTo>
                <a:lnTo>
                  <a:pt x="6564" y="119"/>
                </a:lnTo>
                <a:lnTo>
                  <a:pt x="6435" y="110"/>
                </a:lnTo>
                <a:lnTo>
                  <a:pt x="6287" y="101"/>
                </a:lnTo>
                <a:lnTo>
                  <a:pt x="6140" y="101"/>
                </a:lnTo>
                <a:lnTo>
                  <a:pt x="5983" y="101"/>
                </a:lnTo>
                <a:lnTo>
                  <a:pt x="5835" y="119"/>
                </a:lnTo>
                <a:lnTo>
                  <a:pt x="5679" y="146"/>
                </a:lnTo>
                <a:lnTo>
                  <a:pt x="5531" y="165"/>
                </a:lnTo>
                <a:lnTo>
                  <a:pt x="5374" y="192"/>
                </a:lnTo>
                <a:lnTo>
                  <a:pt x="5236" y="229"/>
                </a:lnTo>
                <a:lnTo>
                  <a:pt x="5089" y="13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6" name="Freeform 108">
            <a:extLst>
              <a:ext uri="{FF2B5EF4-FFF2-40B4-BE49-F238E27FC236}">
                <a16:creationId xmlns="" xmlns:a16="http://schemas.microsoft.com/office/drawing/2014/main" id="{00000000-0008-0000-0200-000076030000}"/>
              </a:ext>
            </a:extLst>
          </xdr:cNvPr>
          <xdr:cNvSpPr>
            <a:spLocks/>
          </xdr:cNvSpPr>
        </xdr:nvSpPr>
        <xdr:spPr bwMode="auto">
          <a:xfrm>
            <a:off x="113019" y="334297"/>
            <a:ext cx="143296" cy="110639"/>
          </a:xfrm>
          <a:custGeom>
            <a:avLst/>
            <a:gdLst>
              <a:gd name="T0" fmla="*/ 92 w 1788"/>
              <a:gd name="T1" fmla="*/ 1079 h 1381"/>
              <a:gd name="T2" fmla="*/ 129 w 1788"/>
              <a:gd name="T3" fmla="*/ 997 h 1381"/>
              <a:gd name="T4" fmla="*/ 175 w 1788"/>
              <a:gd name="T5" fmla="*/ 942 h 1381"/>
              <a:gd name="T6" fmla="*/ 221 w 1788"/>
              <a:gd name="T7" fmla="*/ 878 h 1381"/>
              <a:gd name="T8" fmla="*/ 267 w 1788"/>
              <a:gd name="T9" fmla="*/ 823 h 1381"/>
              <a:gd name="T10" fmla="*/ 304 w 1788"/>
              <a:gd name="T11" fmla="*/ 768 h 1381"/>
              <a:gd name="T12" fmla="*/ 359 w 1788"/>
              <a:gd name="T13" fmla="*/ 713 h 1381"/>
              <a:gd name="T14" fmla="*/ 405 w 1788"/>
              <a:gd name="T15" fmla="*/ 659 h 1381"/>
              <a:gd name="T16" fmla="*/ 451 w 1788"/>
              <a:gd name="T17" fmla="*/ 613 h 1381"/>
              <a:gd name="T18" fmla="*/ 497 w 1788"/>
              <a:gd name="T19" fmla="*/ 558 h 1381"/>
              <a:gd name="T20" fmla="*/ 553 w 1788"/>
              <a:gd name="T21" fmla="*/ 521 h 1381"/>
              <a:gd name="T22" fmla="*/ 599 w 1788"/>
              <a:gd name="T23" fmla="*/ 467 h 1381"/>
              <a:gd name="T24" fmla="*/ 663 w 1788"/>
              <a:gd name="T25" fmla="*/ 430 h 1381"/>
              <a:gd name="T26" fmla="*/ 709 w 1788"/>
              <a:gd name="T27" fmla="*/ 375 h 1381"/>
              <a:gd name="T28" fmla="*/ 774 w 1788"/>
              <a:gd name="T29" fmla="*/ 330 h 1381"/>
              <a:gd name="T30" fmla="*/ 839 w 1788"/>
              <a:gd name="T31" fmla="*/ 284 h 1381"/>
              <a:gd name="T32" fmla="*/ 912 w 1788"/>
              <a:gd name="T33" fmla="*/ 247 h 1381"/>
              <a:gd name="T34" fmla="*/ 958 w 1788"/>
              <a:gd name="T35" fmla="*/ 211 h 1381"/>
              <a:gd name="T36" fmla="*/ 1014 w 1788"/>
              <a:gd name="T37" fmla="*/ 174 h 1381"/>
              <a:gd name="T38" fmla="*/ 1060 w 1788"/>
              <a:gd name="T39" fmla="*/ 147 h 1381"/>
              <a:gd name="T40" fmla="*/ 1115 w 1788"/>
              <a:gd name="T41" fmla="*/ 128 h 1381"/>
              <a:gd name="T42" fmla="*/ 1170 w 1788"/>
              <a:gd name="T43" fmla="*/ 101 h 1381"/>
              <a:gd name="T44" fmla="*/ 1216 w 1788"/>
              <a:gd name="T45" fmla="*/ 83 h 1381"/>
              <a:gd name="T46" fmla="*/ 1272 w 1788"/>
              <a:gd name="T47" fmla="*/ 64 h 1381"/>
              <a:gd name="T48" fmla="*/ 1318 w 1788"/>
              <a:gd name="T49" fmla="*/ 46 h 1381"/>
              <a:gd name="T50" fmla="*/ 1364 w 1788"/>
              <a:gd name="T51" fmla="*/ 28 h 1381"/>
              <a:gd name="T52" fmla="*/ 1410 w 1788"/>
              <a:gd name="T53" fmla="*/ 19 h 1381"/>
              <a:gd name="T54" fmla="*/ 1456 w 1788"/>
              <a:gd name="T55" fmla="*/ 10 h 1381"/>
              <a:gd name="T56" fmla="*/ 1493 w 1788"/>
              <a:gd name="T57" fmla="*/ 10 h 1381"/>
              <a:gd name="T58" fmla="*/ 1530 w 1788"/>
              <a:gd name="T59" fmla="*/ 0 h 1381"/>
              <a:gd name="T60" fmla="*/ 1567 w 1788"/>
              <a:gd name="T61" fmla="*/ 0 h 1381"/>
              <a:gd name="T62" fmla="*/ 1594 w 1788"/>
              <a:gd name="T63" fmla="*/ 0 h 1381"/>
              <a:gd name="T64" fmla="*/ 1631 w 1788"/>
              <a:gd name="T65" fmla="*/ 10 h 1381"/>
              <a:gd name="T66" fmla="*/ 1788 w 1788"/>
              <a:gd name="T67" fmla="*/ 302 h 1381"/>
              <a:gd name="T68" fmla="*/ 1770 w 1788"/>
              <a:gd name="T69" fmla="*/ 302 h 1381"/>
              <a:gd name="T70" fmla="*/ 1733 w 1788"/>
              <a:gd name="T71" fmla="*/ 311 h 1381"/>
              <a:gd name="T72" fmla="*/ 1677 w 1788"/>
              <a:gd name="T73" fmla="*/ 330 h 1381"/>
              <a:gd name="T74" fmla="*/ 1604 w 1788"/>
              <a:gd name="T75" fmla="*/ 357 h 1381"/>
              <a:gd name="T76" fmla="*/ 1511 w 1788"/>
              <a:gd name="T77" fmla="*/ 384 h 1381"/>
              <a:gd name="T78" fmla="*/ 1410 w 1788"/>
              <a:gd name="T79" fmla="*/ 421 h 1381"/>
              <a:gd name="T80" fmla="*/ 1299 w 1788"/>
              <a:gd name="T81" fmla="*/ 467 h 1381"/>
              <a:gd name="T82" fmla="*/ 1180 w 1788"/>
              <a:gd name="T83" fmla="*/ 521 h 1381"/>
              <a:gd name="T84" fmla="*/ 1051 w 1788"/>
              <a:gd name="T85" fmla="*/ 585 h 1381"/>
              <a:gd name="T86" fmla="*/ 921 w 1788"/>
              <a:gd name="T87" fmla="*/ 659 h 1381"/>
              <a:gd name="T88" fmla="*/ 792 w 1788"/>
              <a:gd name="T89" fmla="*/ 732 h 1381"/>
              <a:gd name="T90" fmla="*/ 673 w 1788"/>
              <a:gd name="T91" fmla="*/ 832 h 1381"/>
              <a:gd name="T92" fmla="*/ 544 w 1788"/>
              <a:gd name="T93" fmla="*/ 933 h 1381"/>
              <a:gd name="T94" fmla="*/ 433 w 1788"/>
              <a:gd name="T95" fmla="*/ 1042 h 1381"/>
              <a:gd name="T96" fmla="*/ 332 w 1788"/>
              <a:gd name="T97" fmla="*/ 1170 h 1381"/>
              <a:gd name="T98" fmla="*/ 249 w 1788"/>
              <a:gd name="T99" fmla="*/ 1308 h 1381"/>
              <a:gd name="T100" fmla="*/ 202 w 1788"/>
              <a:gd name="T101" fmla="*/ 1344 h 1381"/>
              <a:gd name="T102" fmla="*/ 156 w 1788"/>
              <a:gd name="T103" fmla="*/ 1362 h 1381"/>
              <a:gd name="T104" fmla="*/ 101 w 1788"/>
              <a:gd name="T105" fmla="*/ 1381 h 1381"/>
              <a:gd name="T106" fmla="*/ 55 w 1788"/>
              <a:gd name="T107" fmla="*/ 1372 h 1381"/>
              <a:gd name="T108" fmla="*/ 9 w 1788"/>
              <a:gd name="T109" fmla="*/ 1335 h 1381"/>
              <a:gd name="T110" fmla="*/ 0 w 1788"/>
              <a:gd name="T111" fmla="*/ 1280 h 1381"/>
              <a:gd name="T112" fmla="*/ 0 w 1788"/>
              <a:gd name="T113" fmla="*/ 1234 h 1381"/>
              <a:gd name="T114" fmla="*/ 18 w 1788"/>
              <a:gd name="T115" fmla="*/ 1189 h 1381"/>
              <a:gd name="T116" fmla="*/ 46 w 1788"/>
              <a:gd name="T117" fmla="*/ 1134 h 1381"/>
              <a:gd name="T118" fmla="*/ 92 w 1788"/>
              <a:gd name="T119" fmla="*/ 1079 h 1381"/>
              <a:gd name="T120" fmla="*/ 92 w 1788"/>
              <a:gd name="T121" fmla="*/ 1079 h 1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88" h="1381">
                <a:moveTo>
                  <a:pt x="92" y="1079"/>
                </a:moveTo>
                <a:lnTo>
                  <a:pt x="129" y="997"/>
                </a:lnTo>
                <a:lnTo>
                  <a:pt x="175" y="942"/>
                </a:lnTo>
                <a:lnTo>
                  <a:pt x="221" y="878"/>
                </a:lnTo>
                <a:lnTo>
                  <a:pt x="267" y="823"/>
                </a:lnTo>
                <a:lnTo>
                  <a:pt x="304" y="768"/>
                </a:lnTo>
                <a:lnTo>
                  <a:pt x="359" y="713"/>
                </a:lnTo>
                <a:lnTo>
                  <a:pt x="405" y="659"/>
                </a:lnTo>
                <a:lnTo>
                  <a:pt x="451" y="613"/>
                </a:lnTo>
                <a:lnTo>
                  <a:pt x="497" y="558"/>
                </a:lnTo>
                <a:lnTo>
                  <a:pt x="553" y="521"/>
                </a:lnTo>
                <a:lnTo>
                  <a:pt x="599" y="467"/>
                </a:lnTo>
                <a:lnTo>
                  <a:pt x="663" y="430"/>
                </a:lnTo>
                <a:lnTo>
                  <a:pt x="709" y="375"/>
                </a:lnTo>
                <a:lnTo>
                  <a:pt x="774" y="330"/>
                </a:lnTo>
                <a:lnTo>
                  <a:pt x="839" y="284"/>
                </a:lnTo>
                <a:lnTo>
                  <a:pt x="912" y="247"/>
                </a:lnTo>
                <a:lnTo>
                  <a:pt x="958" y="211"/>
                </a:lnTo>
                <a:lnTo>
                  <a:pt x="1014" y="174"/>
                </a:lnTo>
                <a:lnTo>
                  <a:pt x="1060" y="147"/>
                </a:lnTo>
                <a:lnTo>
                  <a:pt x="1115" y="128"/>
                </a:lnTo>
                <a:lnTo>
                  <a:pt x="1170" y="101"/>
                </a:lnTo>
                <a:lnTo>
                  <a:pt x="1216" y="83"/>
                </a:lnTo>
                <a:lnTo>
                  <a:pt x="1272" y="64"/>
                </a:lnTo>
                <a:lnTo>
                  <a:pt x="1318" y="46"/>
                </a:lnTo>
                <a:lnTo>
                  <a:pt x="1364" y="28"/>
                </a:lnTo>
                <a:lnTo>
                  <a:pt x="1410" y="19"/>
                </a:lnTo>
                <a:lnTo>
                  <a:pt x="1456" y="10"/>
                </a:lnTo>
                <a:lnTo>
                  <a:pt x="1493" y="10"/>
                </a:lnTo>
                <a:lnTo>
                  <a:pt x="1530" y="0"/>
                </a:lnTo>
                <a:lnTo>
                  <a:pt x="1567" y="0"/>
                </a:lnTo>
                <a:lnTo>
                  <a:pt x="1594" y="0"/>
                </a:lnTo>
                <a:lnTo>
                  <a:pt x="1631" y="10"/>
                </a:lnTo>
                <a:lnTo>
                  <a:pt x="1788" y="302"/>
                </a:lnTo>
                <a:lnTo>
                  <a:pt x="1770" y="302"/>
                </a:lnTo>
                <a:lnTo>
                  <a:pt x="1733" y="311"/>
                </a:lnTo>
                <a:lnTo>
                  <a:pt x="1677" y="330"/>
                </a:lnTo>
                <a:lnTo>
                  <a:pt x="1604" y="357"/>
                </a:lnTo>
                <a:lnTo>
                  <a:pt x="1511" y="384"/>
                </a:lnTo>
                <a:lnTo>
                  <a:pt x="1410" y="421"/>
                </a:lnTo>
                <a:lnTo>
                  <a:pt x="1299" y="467"/>
                </a:lnTo>
                <a:lnTo>
                  <a:pt x="1180" y="521"/>
                </a:lnTo>
                <a:lnTo>
                  <a:pt x="1051" y="585"/>
                </a:lnTo>
                <a:lnTo>
                  <a:pt x="921" y="659"/>
                </a:lnTo>
                <a:lnTo>
                  <a:pt x="792" y="732"/>
                </a:lnTo>
                <a:lnTo>
                  <a:pt x="673" y="832"/>
                </a:lnTo>
                <a:lnTo>
                  <a:pt x="544" y="933"/>
                </a:lnTo>
                <a:lnTo>
                  <a:pt x="433" y="1042"/>
                </a:lnTo>
                <a:lnTo>
                  <a:pt x="332" y="1170"/>
                </a:lnTo>
                <a:lnTo>
                  <a:pt x="249" y="1308"/>
                </a:lnTo>
                <a:lnTo>
                  <a:pt x="202" y="1344"/>
                </a:lnTo>
                <a:lnTo>
                  <a:pt x="156" y="1362"/>
                </a:lnTo>
                <a:lnTo>
                  <a:pt x="101" y="1381"/>
                </a:lnTo>
                <a:lnTo>
                  <a:pt x="55" y="1372"/>
                </a:lnTo>
                <a:lnTo>
                  <a:pt x="9" y="1335"/>
                </a:lnTo>
                <a:lnTo>
                  <a:pt x="0" y="1280"/>
                </a:lnTo>
                <a:lnTo>
                  <a:pt x="0" y="1234"/>
                </a:lnTo>
                <a:lnTo>
                  <a:pt x="18" y="1189"/>
                </a:lnTo>
                <a:lnTo>
                  <a:pt x="46" y="1134"/>
                </a:lnTo>
                <a:lnTo>
                  <a:pt x="92" y="1079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7" name="Freeform 109">
            <a:extLst>
              <a:ext uri="{FF2B5EF4-FFF2-40B4-BE49-F238E27FC236}">
                <a16:creationId xmlns="" xmlns:a16="http://schemas.microsoft.com/office/drawing/2014/main" id="{00000000-0008-0000-0200-000077030000}"/>
              </a:ext>
            </a:extLst>
          </xdr:cNvPr>
          <xdr:cNvSpPr>
            <a:spLocks/>
          </xdr:cNvSpPr>
        </xdr:nvSpPr>
        <xdr:spPr bwMode="auto">
          <a:xfrm>
            <a:off x="67930" y="269995"/>
            <a:ext cx="308066" cy="129495"/>
          </a:xfrm>
          <a:custGeom>
            <a:avLst/>
            <a:gdLst>
              <a:gd name="T0" fmla="*/ 0 w 3844"/>
              <a:gd name="T1" fmla="*/ 1618 h 1618"/>
              <a:gd name="T2" fmla="*/ 461 w 3844"/>
              <a:gd name="T3" fmla="*/ 932 h 1618"/>
              <a:gd name="T4" fmla="*/ 2747 w 3844"/>
              <a:gd name="T5" fmla="*/ 932 h 1618"/>
              <a:gd name="T6" fmla="*/ 3669 w 3844"/>
              <a:gd name="T7" fmla="*/ 18 h 1618"/>
              <a:gd name="T8" fmla="*/ 3844 w 3844"/>
              <a:gd name="T9" fmla="*/ 0 h 1618"/>
              <a:gd name="T10" fmla="*/ 2793 w 3844"/>
              <a:gd name="T11" fmla="*/ 1042 h 1618"/>
              <a:gd name="T12" fmla="*/ 535 w 3844"/>
              <a:gd name="T13" fmla="*/ 1042 h 1618"/>
              <a:gd name="T14" fmla="*/ 166 w 3844"/>
              <a:gd name="T15" fmla="*/ 1618 h 1618"/>
              <a:gd name="T16" fmla="*/ 0 w 3844"/>
              <a:gd name="T17" fmla="*/ 1618 h 1618"/>
              <a:gd name="T18" fmla="*/ 0 w 3844"/>
              <a:gd name="T19" fmla="*/ 1618 h 16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844" h="1618">
                <a:moveTo>
                  <a:pt x="0" y="1618"/>
                </a:moveTo>
                <a:lnTo>
                  <a:pt x="461" y="932"/>
                </a:lnTo>
                <a:lnTo>
                  <a:pt x="2747" y="932"/>
                </a:lnTo>
                <a:lnTo>
                  <a:pt x="3669" y="18"/>
                </a:lnTo>
                <a:lnTo>
                  <a:pt x="3844" y="0"/>
                </a:lnTo>
                <a:lnTo>
                  <a:pt x="2793" y="1042"/>
                </a:lnTo>
                <a:lnTo>
                  <a:pt x="535" y="1042"/>
                </a:lnTo>
                <a:lnTo>
                  <a:pt x="166" y="1618"/>
                </a:lnTo>
                <a:lnTo>
                  <a:pt x="0" y="1618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8" name="Freeform 110">
            <a:extLst>
              <a:ext uri="{FF2B5EF4-FFF2-40B4-BE49-F238E27FC236}">
                <a16:creationId xmlns="" xmlns:a16="http://schemas.microsoft.com/office/drawing/2014/main" id="{00000000-0008-0000-0200-000078030000}"/>
              </a:ext>
            </a:extLst>
          </xdr:cNvPr>
          <xdr:cNvSpPr>
            <a:spLocks/>
          </xdr:cNvSpPr>
        </xdr:nvSpPr>
        <xdr:spPr bwMode="auto">
          <a:xfrm>
            <a:off x="33251" y="271423"/>
            <a:ext cx="301404" cy="128068"/>
          </a:xfrm>
          <a:custGeom>
            <a:avLst/>
            <a:gdLst>
              <a:gd name="T0" fmla="*/ 0 w 3761"/>
              <a:gd name="T1" fmla="*/ 1600 h 1600"/>
              <a:gd name="T2" fmla="*/ 553 w 3761"/>
              <a:gd name="T3" fmla="*/ 759 h 1600"/>
              <a:gd name="T4" fmla="*/ 2839 w 3761"/>
              <a:gd name="T5" fmla="*/ 759 h 1600"/>
              <a:gd name="T6" fmla="*/ 3604 w 3761"/>
              <a:gd name="T7" fmla="*/ 0 h 1600"/>
              <a:gd name="T8" fmla="*/ 3761 w 3761"/>
              <a:gd name="T9" fmla="*/ 0 h 1600"/>
              <a:gd name="T10" fmla="*/ 2885 w 3761"/>
              <a:gd name="T11" fmla="*/ 869 h 1600"/>
              <a:gd name="T12" fmla="*/ 655 w 3761"/>
              <a:gd name="T13" fmla="*/ 869 h 1600"/>
              <a:gd name="T14" fmla="*/ 157 w 3761"/>
              <a:gd name="T15" fmla="*/ 1600 h 1600"/>
              <a:gd name="T16" fmla="*/ 0 w 3761"/>
              <a:gd name="T17" fmla="*/ 1600 h 1600"/>
              <a:gd name="T18" fmla="*/ 0 w 3761"/>
              <a:gd name="T19" fmla="*/ 1600 h 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761" h="1600">
                <a:moveTo>
                  <a:pt x="0" y="1600"/>
                </a:moveTo>
                <a:lnTo>
                  <a:pt x="553" y="759"/>
                </a:lnTo>
                <a:lnTo>
                  <a:pt x="2839" y="759"/>
                </a:lnTo>
                <a:lnTo>
                  <a:pt x="3604" y="0"/>
                </a:lnTo>
                <a:lnTo>
                  <a:pt x="3761" y="0"/>
                </a:lnTo>
                <a:lnTo>
                  <a:pt x="2885" y="869"/>
                </a:lnTo>
                <a:lnTo>
                  <a:pt x="655" y="869"/>
                </a:lnTo>
                <a:lnTo>
                  <a:pt x="157" y="1600"/>
                </a:lnTo>
                <a:lnTo>
                  <a:pt x="0" y="1600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9" name="Freeform 111">
            <a:extLst>
              <a:ext uri="{FF2B5EF4-FFF2-40B4-BE49-F238E27FC236}">
                <a16:creationId xmlns="" xmlns:a16="http://schemas.microsoft.com/office/drawing/2014/main" id="{00000000-0008-0000-0200-000079030000}"/>
              </a:ext>
            </a:extLst>
          </xdr:cNvPr>
          <xdr:cNvSpPr>
            <a:spLocks/>
          </xdr:cNvSpPr>
        </xdr:nvSpPr>
        <xdr:spPr bwMode="auto">
          <a:xfrm>
            <a:off x="317583" y="266307"/>
            <a:ext cx="13324" cy="13919"/>
          </a:xfrm>
          <a:custGeom>
            <a:avLst/>
            <a:gdLst>
              <a:gd name="T0" fmla="*/ 83 w 166"/>
              <a:gd name="T1" fmla="*/ 174 h 174"/>
              <a:gd name="T2" fmla="*/ 138 w 166"/>
              <a:gd name="T3" fmla="*/ 147 h 174"/>
              <a:gd name="T4" fmla="*/ 166 w 166"/>
              <a:gd name="T5" fmla="*/ 92 h 174"/>
              <a:gd name="T6" fmla="*/ 138 w 166"/>
              <a:gd name="T7" fmla="*/ 28 h 174"/>
              <a:gd name="T8" fmla="*/ 83 w 166"/>
              <a:gd name="T9" fmla="*/ 0 h 174"/>
              <a:gd name="T10" fmla="*/ 18 w 166"/>
              <a:gd name="T11" fmla="*/ 28 h 174"/>
              <a:gd name="T12" fmla="*/ 0 w 166"/>
              <a:gd name="T13" fmla="*/ 92 h 174"/>
              <a:gd name="T14" fmla="*/ 18 w 166"/>
              <a:gd name="T15" fmla="*/ 147 h 174"/>
              <a:gd name="T16" fmla="*/ 83 w 166"/>
              <a:gd name="T17" fmla="*/ 174 h 174"/>
              <a:gd name="T18" fmla="*/ 83 w 16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66" h="174">
                <a:moveTo>
                  <a:pt x="83" y="174"/>
                </a:moveTo>
                <a:lnTo>
                  <a:pt x="138" y="147"/>
                </a:lnTo>
                <a:lnTo>
                  <a:pt x="166" y="92"/>
                </a:lnTo>
                <a:lnTo>
                  <a:pt x="138" y="28"/>
                </a:lnTo>
                <a:lnTo>
                  <a:pt x="83" y="0"/>
                </a:lnTo>
                <a:lnTo>
                  <a:pt x="18" y="28"/>
                </a:lnTo>
                <a:lnTo>
                  <a:pt x="0" y="92"/>
                </a:lnTo>
                <a:lnTo>
                  <a:pt x="18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90" name="Freeform 112">
            <a:extLst>
              <a:ext uri="{FF2B5EF4-FFF2-40B4-BE49-F238E27FC236}">
                <a16:creationId xmlns="" xmlns:a16="http://schemas.microsoft.com/office/drawing/2014/main" id="{00000000-0008-0000-0200-00007A030000}"/>
              </a:ext>
            </a:extLst>
          </xdr:cNvPr>
          <xdr:cNvSpPr>
            <a:spLocks/>
          </xdr:cNvSpPr>
        </xdr:nvSpPr>
        <xdr:spPr bwMode="auto">
          <a:xfrm>
            <a:off x="358924" y="267080"/>
            <a:ext cx="13324" cy="13146"/>
          </a:xfrm>
          <a:custGeom>
            <a:avLst/>
            <a:gdLst>
              <a:gd name="T0" fmla="*/ 83 w 166"/>
              <a:gd name="T1" fmla="*/ 165 h 165"/>
              <a:gd name="T2" fmla="*/ 111 w 166"/>
              <a:gd name="T3" fmla="*/ 156 h 165"/>
              <a:gd name="T4" fmla="*/ 139 w 166"/>
              <a:gd name="T5" fmla="*/ 147 h 165"/>
              <a:gd name="T6" fmla="*/ 148 w 166"/>
              <a:gd name="T7" fmla="*/ 110 h 165"/>
              <a:gd name="T8" fmla="*/ 166 w 166"/>
              <a:gd name="T9" fmla="*/ 83 h 165"/>
              <a:gd name="T10" fmla="*/ 148 w 166"/>
              <a:gd name="T11" fmla="*/ 46 h 165"/>
              <a:gd name="T12" fmla="*/ 139 w 166"/>
              <a:gd name="T13" fmla="*/ 19 h 165"/>
              <a:gd name="T14" fmla="*/ 111 w 166"/>
              <a:gd name="T15" fmla="*/ 0 h 165"/>
              <a:gd name="T16" fmla="*/ 83 w 166"/>
              <a:gd name="T17" fmla="*/ 0 h 165"/>
              <a:gd name="T18" fmla="*/ 37 w 166"/>
              <a:gd name="T19" fmla="*/ 0 h 165"/>
              <a:gd name="T20" fmla="*/ 19 w 166"/>
              <a:gd name="T21" fmla="*/ 19 h 165"/>
              <a:gd name="T22" fmla="*/ 0 w 166"/>
              <a:gd name="T23" fmla="*/ 46 h 165"/>
              <a:gd name="T24" fmla="*/ 0 w 166"/>
              <a:gd name="T25" fmla="*/ 83 h 165"/>
              <a:gd name="T26" fmla="*/ 19 w 166"/>
              <a:gd name="T27" fmla="*/ 147 h 165"/>
              <a:gd name="T28" fmla="*/ 83 w 166"/>
              <a:gd name="T29" fmla="*/ 165 h 165"/>
              <a:gd name="T30" fmla="*/ 83 w 166"/>
              <a:gd name="T31" fmla="*/ 165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66" h="165">
                <a:moveTo>
                  <a:pt x="83" y="165"/>
                </a:moveTo>
                <a:lnTo>
                  <a:pt x="111" y="156"/>
                </a:lnTo>
                <a:lnTo>
                  <a:pt x="139" y="147"/>
                </a:lnTo>
                <a:lnTo>
                  <a:pt x="148" y="110"/>
                </a:lnTo>
                <a:lnTo>
                  <a:pt x="166" y="83"/>
                </a:lnTo>
                <a:lnTo>
                  <a:pt x="148" y="46"/>
                </a:lnTo>
                <a:lnTo>
                  <a:pt x="139" y="19"/>
                </a:lnTo>
                <a:lnTo>
                  <a:pt x="111" y="0"/>
                </a:lnTo>
                <a:lnTo>
                  <a:pt x="83" y="0"/>
                </a:lnTo>
                <a:lnTo>
                  <a:pt x="37" y="0"/>
                </a:lnTo>
                <a:lnTo>
                  <a:pt x="19" y="19"/>
                </a:lnTo>
                <a:lnTo>
                  <a:pt x="0" y="46"/>
                </a:lnTo>
                <a:lnTo>
                  <a:pt x="0" y="83"/>
                </a:lnTo>
                <a:lnTo>
                  <a:pt x="19" y="147"/>
                </a:lnTo>
                <a:lnTo>
                  <a:pt x="83" y="165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891" name="Line 157">
            <a:extLst>
              <a:ext uri="{FF2B5EF4-FFF2-40B4-BE49-F238E27FC236}">
                <a16:creationId xmlns="" xmlns:a16="http://schemas.microsoft.com/office/drawing/2014/main" id="{00000000-0008-0000-0200-00007B030000}"/>
              </a:ext>
            </a:extLst>
          </xdr:cNvPr>
          <xdr:cNvCxnSpPr/>
        </xdr:nvCxnSpPr>
        <xdr:spPr bwMode="auto">
          <a:xfrm flipV="1">
            <a:off x="492524" y="139191"/>
            <a:ext cx="149720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2" name="Line 156">
            <a:extLst>
              <a:ext uri="{FF2B5EF4-FFF2-40B4-BE49-F238E27FC236}">
                <a16:creationId xmlns="" xmlns:a16="http://schemas.microsoft.com/office/drawing/2014/main" id="{00000000-0008-0000-0200-00007C030000}"/>
              </a:ext>
            </a:extLst>
          </xdr:cNvPr>
          <xdr:cNvCxnSpPr/>
        </xdr:nvCxnSpPr>
        <xdr:spPr bwMode="auto">
          <a:xfrm flipH="1" flipV="1">
            <a:off x="385454" y="235554"/>
            <a:ext cx="107189" cy="28908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3" name="Line 158">
            <a:extLst>
              <a:ext uri="{FF2B5EF4-FFF2-40B4-BE49-F238E27FC236}">
                <a16:creationId xmlns="" xmlns:a16="http://schemas.microsoft.com/office/drawing/2014/main" id="{00000000-0008-0000-0200-00007D030000}"/>
              </a:ext>
            </a:extLst>
          </xdr:cNvPr>
          <xdr:cNvCxnSpPr/>
        </xdr:nvCxnSpPr>
        <xdr:spPr bwMode="auto">
          <a:xfrm flipV="1">
            <a:off x="278383" y="235554"/>
            <a:ext cx="107011" cy="28914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4" name="Line 154">
            <a:extLst>
              <a:ext uri="{FF2B5EF4-FFF2-40B4-BE49-F238E27FC236}">
                <a16:creationId xmlns="" xmlns:a16="http://schemas.microsoft.com/office/drawing/2014/main" id="{00000000-0008-0000-0200-00007E030000}"/>
              </a:ext>
            </a:extLst>
          </xdr:cNvPr>
          <xdr:cNvCxnSpPr/>
        </xdr:nvCxnSpPr>
        <xdr:spPr bwMode="auto">
          <a:xfrm flipH="1" flipV="1">
            <a:off x="139192" y="139191"/>
            <a:ext cx="139192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5" name="Line 160">
            <a:extLst>
              <a:ext uri="{FF2B5EF4-FFF2-40B4-BE49-F238E27FC236}">
                <a16:creationId xmlns="" xmlns:a16="http://schemas.microsoft.com/office/drawing/2014/main" id="{00000000-0008-0000-0200-00007F030000}"/>
              </a:ext>
            </a:extLst>
          </xdr:cNvPr>
          <xdr:cNvCxnSpPr/>
        </xdr:nvCxnSpPr>
        <xdr:spPr bwMode="auto">
          <a:xfrm flipV="1">
            <a:off x="278383" y="139191"/>
            <a:ext cx="10707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6" name="Line 159">
            <a:extLst>
              <a:ext uri="{FF2B5EF4-FFF2-40B4-BE49-F238E27FC236}">
                <a16:creationId xmlns="" xmlns:a16="http://schemas.microsoft.com/office/drawing/2014/main" id="{00000000-0008-0000-0200-000080030000}"/>
              </a:ext>
            </a:extLst>
          </xdr:cNvPr>
          <xdr:cNvCxnSpPr/>
        </xdr:nvCxnSpPr>
        <xdr:spPr bwMode="auto">
          <a:xfrm flipH="1" flipV="1">
            <a:off x="171313" y="139191"/>
            <a:ext cx="10701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7" name="Line 161">
            <a:extLst>
              <a:ext uri="{FF2B5EF4-FFF2-40B4-BE49-F238E27FC236}">
                <a16:creationId xmlns="" xmlns:a16="http://schemas.microsoft.com/office/drawing/2014/main" id="{00000000-0008-0000-0200-000081030000}"/>
              </a:ext>
            </a:extLst>
          </xdr:cNvPr>
          <xdr:cNvCxnSpPr/>
        </xdr:nvCxnSpPr>
        <xdr:spPr bwMode="auto">
          <a:xfrm>
            <a:off x="139192" y="139191"/>
            <a:ext cx="32121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98" name="Line 142">
            <a:extLst>
              <a:ext uri="{FF2B5EF4-FFF2-40B4-BE49-F238E27FC236}">
                <a16:creationId xmlns="" xmlns:a16="http://schemas.microsoft.com/office/drawing/2014/main" id="{00000000-0008-0000-0200-000082030000}"/>
              </a:ext>
            </a:extLst>
          </xdr:cNvPr>
          <xdr:cNvCxnSpPr/>
        </xdr:nvCxnSpPr>
        <xdr:spPr bwMode="auto">
          <a:xfrm>
            <a:off x="385454" y="139191"/>
            <a:ext cx="256910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0</xdr:col>
      <xdr:colOff>1085850</xdr:colOff>
      <xdr:row>0</xdr:row>
      <xdr:rowOff>450850</xdr:rowOff>
    </xdr:from>
    <xdr:to>
      <xdr:col>0</xdr:col>
      <xdr:colOff>1847850</xdr:colOff>
      <xdr:row>0</xdr:row>
      <xdr:rowOff>473710</xdr:rowOff>
    </xdr:to>
    <xdr:cxnSp macro="">
      <xdr:nvCxnSpPr>
        <xdr:cNvPr id="899" name="Straight Connector 898">
          <a:extLst>
            <a:ext uri="{FF2B5EF4-FFF2-40B4-BE49-F238E27FC236}">
              <a16:creationId xmlns="" xmlns:a16="http://schemas.microsoft.com/office/drawing/2014/main" id="{00000000-0008-0000-0200-000083030000}"/>
            </a:ext>
          </a:extLst>
        </xdr:cNvPr>
        <xdr:cNvCxnSpPr/>
      </xdr:nvCxnSpPr>
      <xdr:spPr>
        <a:xfrm flipV="1">
          <a:off x="457200" y="450850"/>
          <a:ext cx="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1133475</xdr:colOff>
      <xdr:row>0</xdr:row>
      <xdr:rowOff>657225</xdr:rowOff>
    </xdr:from>
    <xdr:to>
      <xdr:col>0</xdr:col>
      <xdr:colOff>1895475</xdr:colOff>
      <xdr:row>0</xdr:row>
      <xdr:rowOff>680085</xdr:rowOff>
    </xdr:to>
    <xdr:cxnSp macro="">
      <xdr:nvCxnSpPr>
        <xdr:cNvPr id="900" name="Straight Connector 899">
          <a:extLst>
            <a:ext uri="{FF2B5EF4-FFF2-40B4-BE49-F238E27FC236}">
              <a16:creationId xmlns="" xmlns:a16="http://schemas.microsoft.com/office/drawing/2014/main" id="{00000000-0008-0000-0200-000084030000}"/>
            </a:ext>
          </a:extLst>
        </xdr:cNvPr>
        <xdr:cNvCxnSpPr/>
      </xdr:nvCxnSpPr>
      <xdr:spPr>
        <a:xfrm flipV="1">
          <a:off x="454025" y="657225"/>
          <a:ext cx="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</xdr:colOff>
      <xdr:row>0</xdr:row>
      <xdr:rowOff>228600</xdr:rowOff>
    </xdr:from>
    <xdr:to>
      <xdr:col>1</xdr:col>
      <xdr:colOff>3175</xdr:colOff>
      <xdr:row>0</xdr:row>
      <xdr:rowOff>251460</xdr:rowOff>
    </xdr:to>
    <xdr:cxnSp macro="">
      <xdr:nvCxnSpPr>
        <xdr:cNvPr id="901" name="Straight Connector 900">
          <a:extLst>
            <a:ext uri="{FF2B5EF4-FFF2-40B4-BE49-F238E27FC236}">
              <a16:creationId xmlns="" xmlns:a16="http://schemas.microsoft.com/office/drawing/2014/main" id="{00000000-0008-0000-0200-000085030000}"/>
            </a:ext>
          </a:extLst>
        </xdr:cNvPr>
        <xdr:cNvCxnSpPr/>
      </xdr:nvCxnSpPr>
      <xdr:spPr>
        <a:xfrm flipV="1">
          <a:off x="460375" y="228600"/>
          <a:ext cx="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</xdr:colOff>
      <xdr:row>0</xdr:row>
      <xdr:rowOff>358775</xdr:rowOff>
    </xdr:from>
    <xdr:to>
      <xdr:col>1</xdr:col>
      <xdr:colOff>3175</xdr:colOff>
      <xdr:row>0</xdr:row>
      <xdr:rowOff>381635</xdr:rowOff>
    </xdr:to>
    <xdr:cxnSp macro="">
      <xdr:nvCxnSpPr>
        <xdr:cNvPr id="902" name="Straight Connector 901">
          <a:extLst>
            <a:ext uri="{FF2B5EF4-FFF2-40B4-BE49-F238E27FC236}">
              <a16:creationId xmlns="" xmlns:a16="http://schemas.microsoft.com/office/drawing/2014/main" id="{00000000-0008-0000-0200-000086030000}"/>
            </a:ext>
          </a:extLst>
        </xdr:cNvPr>
        <xdr:cNvCxnSpPr/>
      </xdr:nvCxnSpPr>
      <xdr:spPr>
        <a:xfrm flipV="1">
          <a:off x="460375" y="358775"/>
          <a:ext cx="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790575</xdr:colOff>
      <xdr:row>0</xdr:row>
      <xdr:rowOff>13335</xdr:rowOff>
    </xdr:to>
    <xdr:cxnSp macro="">
      <xdr:nvCxnSpPr>
        <xdr:cNvPr id="903" name="Straight Connector 902">
          <a:extLst>
            <a:ext uri="{FF2B5EF4-FFF2-40B4-BE49-F238E27FC236}">
              <a16:creationId xmlns="" xmlns:a16="http://schemas.microsoft.com/office/drawing/2014/main" id="{00000000-0008-0000-0200-000087030000}"/>
            </a:ext>
          </a:extLst>
        </xdr:cNvPr>
        <xdr:cNvCxnSpPr/>
      </xdr:nvCxnSpPr>
      <xdr:spPr>
        <a:xfrm flipV="1">
          <a:off x="457200" y="0"/>
          <a:ext cx="790575" cy="1333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762000</xdr:colOff>
      <xdr:row>0</xdr:row>
      <xdr:rowOff>9525</xdr:rowOff>
    </xdr:to>
    <xdr:cxnSp macro="">
      <xdr:nvCxnSpPr>
        <xdr:cNvPr id="904" name="Straight Connector 903">
          <a:extLst>
            <a:ext uri="{FF2B5EF4-FFF2-40B4-BE49-F238E27FC236}">
              <a16:creationId xmlns="" xmlns:a16="http://schemas.microsoft.com/office/drawing/2014/main" id="{00000000-0008-0000-0200-000088030000}"/>
            </a:ext>
          </a:extLst>
        </xdr:cNvPr>
        <xdr:cNvCxnSpPr/>
      </xdr:nvCxnSpPr>
      <xdr:spPr>
        <a:xfrm flipV="1">
          <a:off x="457200" y="0"/>
          <a:ext cx="762000" cy="9525"/>
        </a:xfrm>
        <a:prstGeom prst="line">
          <a:avLst/>
        </a:prstGeom>
        <a:noFill/>
        <a:ln w="15875" cap="flat" cmpd="sng" algn="ctr">
          <a:solidFill>
            <a:srgbClr val="FFFFFF"/>
          </a:solidFill>
          <a:prstDash val="solid"/>
        </a:ln>
        <a:effectLst/>
      </xdr:spPr>
    </xdr:cxnSp>
    <xdr:clientData/>
  </xdr:twoCellAnchor>
  <xdr:twoCellAnchor>
    <xdr:from>
      <xdr:col>1</xdr:col>
      <xdr:colOff>638175</xdr:colOff>
      <xdr:row>0</xdr:row>
      <xdr:rowOff>307975</xdr:rowOff>
    </xdr:from>
    <xdr:to>
      <xdr:col>1</xdr:col>
      <xdr:colOff>1400175</xdr:colOff>
      <xdr:row>0</xdr:row>
      <xdr:rowOff>317500</xdr:rowOff>
    </xdr:to>
    <xdr:cxnSp macro="">
      <xdr:nvCxnSpPr>
        <xdr:cNvPr id="905" name="Straight Connector 904">
          <a:extLst>
            <a:ext uri="{FF2B5EF4-FFF2-40B4-BE49-F238E27FC236}">
              <a16:creationId xmlns="" xmlns:a16="http://schemas.microsoft.com/office/drawing/2014/main" id="{00000000-0008-0000-0200-000089030000}"/>
            </a:ext>
          </a:extLst>
        </xdr:cNvPr>
        <xdr:cNvCxnSpPr/>
      </xdr:nvCxnSpPr>
      <xdr:spPr>
        <a:xfrm flipV="1">
          <a:off x="1076325" y="307975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622300</xdr:colOff>
      <xdr:row>0</xdr:row>
      <xdr:rowOff>241300</xdr:rowOff>
    </xdr:from>
    <xdr:to>
      <xdr:col>1</xdr:col>
      <xdr:colOff>1384300</xdr:colOff>
      <xdr:row>0</xdr:row>
      <xdr:rowOff>250825</xdr:rowOff>
    </xdr:to>
    <xdr:cxnSp macro="">
      <xdr:nvCxnSpPr>
        <xdr:cNvPr id="906" name="Straight Connector 905">
          <a:extLst>
            <a:ext uri="{FF2B5EF4-FFF2-40B4-BE49-F238E27FC236}">
              <a16:creationId xmlns="" xmlns:a16="http://schemas.microsoft.com/office/drawing/2014/main" id="{00000000-0008-0000-0200-00008A030000}"/>
            </a:ext>
          </a:extLst>
        </xdr:cNvPr>
        <xdr:cNvCxnSpPr/>
      </xdr:nvCxnSpPr>
      <xdr:spPr>
        <a:xfrm flipV="1">
          <a:off x="1060450" y="241300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606425</xdr:colOff>
      <xdr:row>0</xdr:row>
      <xdr:rowOff>174625</xdr:rowOff>
    </xdr:from>
    <xdr:to>
      <xdr:col>1</xdr:col>
      <xdr:colOff>1368425</xdr:colOff>
      <xdr:row>0</xdr:row>
      <xdr:rowOff>184150</xdr:rowOff>
    </xdr:to>
    <xdr:cxnSp macro="">
      <xdr:nvCxnSpPr>
        <xdr:cNvPr id="907" name="Straight Connector 906">
          <a:extLst>
            <a:ext uri="{FF2B5EF4-FFF2-40B4-BE49-F238E27FC236}">
              <a16:creationId xmlns="" xmlns:a16="http://schemas.microsoft.com/office/drawing/2014/main" id="{00000000-0008-0000-0200-00008B030000}"/>
            </a:ext>
          </a:extLst>
        </xdr:cNvPr>
        <xdr:cNvCxnSpPr/>
      </xdr:nvCxnSpPr>
      <xdr:spPr>
        <a:xfrm flipV="1">
          <a:off x="1044575" y="174625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0</xdr:row>
      <xdr:rowOff>488950</xdr:rowOff>
    </xdr:from>
    <xdr:to>
      <xdr:col>1</xdr:col>
      <xdr:colOff>1381125</xdr:colOff>
      <xdr:row>0</xdr:row>
      <xdr:rowOff>498475</xdr:rowOff>
    </xdr:to>
    <xdr:cxnSp macro="">
      <xdr:nvCxnSpPr>
        <xdr:cNvPr id="908" name="Straight Connector 907">
          <a:extLst>
            <a:ext uri="{FF2B5EF4-FFF2-40B4-BE49-F238E27FC236}">
              <a16:creationId xmlns="" xmlns:a16="http://schemas.microsoft.com/office/drawing/2014/main" id="{00000000-0008-0000-0200-00008C030000}"/>
            </a:ext>
          </a:extLst>
        </xdr:cNvPr>
        <xdr:cNvCxnSpPr/>
      </xdr:nvCxnSpPr>
      <xdr:spPr>
        <a:xfrm flipV="1">
          <a:off x="1057275" y="488950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0</xdr:row>
      <xdr:rowOff>428625</xdr:rowOff>
    </xdr:from>
    <xdr:to>
      <xdr:col>1</xdr:col>
      <xdr:colOff>1381125</xdr:colOff>
      <xdr:row>0</xdr:row>
      <xdr:rowOff>438150</xdr:rowOff>
    </xdr:to>
    <xdr:cxnSp macro="">
      <xdr:nvCxnSpPr>
        <xdr:cNvPr id="909" name="Straight Connector 908">
          <a:extLst>
            <a:ext uri="{FF2B5EF4-FFF2-40B4-BE49-F238E27FC236}">
              <a16:creationId xmlns="" xmlns:a16="http://schemas.microsoft.com/office/drawing/2014/main" id="{00000000-0008-0000-0200-00008D030000}"/>
            </a:ext>
          </a:extLst>
        </xdr:cNvPr>
        <xdr:cNvCxnSpPr/>
      </xdr:nvCxnSpPr>
      <xdr:spPr>
        <a:xfrm flipV="1">
          <a:off x="1057275" y="428625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615950</xdr:colOff>
      <xdr:row>0</xdr:row>
      <xdr:rowOff>361950</xdr:rowOff>
    </xdr:from>
    <xdr:to>
      <xdr:col>1</xdr:col>
      <xdr:colOff>1377950</xdr:colOff>
      <xdr:row>0</xdr:row>
      <xdr:rowOff>371475</xdr:rowOff>
    </xdr:to>
    <xdr:cxnSp macro="">
      <xdr:nvCxnSpPr>
        <xdr:cNvPr id="910" name="Straight Connector 909">
          <a:extLst>
            <a:ext uri="{FF2B5EF4-FFF2-40B4-BE49-F238E27FC236}">
              <a16:creationId xmlns="" xmlns:a16="http://schemas.microsoft.com/office/drawing/2014/main" id="{00000000-0008-0000-0200-00008E030000}"/>
            </a:ext>
          </a:extLst>
        </xdr:cNvPr>
        <xdr:cNvCxnSpPr/>
      </xdr:nvCxnSpPr>
      <xdr:spPr>
        <a:xfrm flipV="1">
          <a:off x="1054100" y="361950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0</xdr:row>
      <xdr:rowOff>542925</xdr:rowOff>
    </xdr:from>
    <xdr:to>
      <xdr:col>1</xdr:col>
      <xdr:colOff>1371600</xdr:colOff>
      <xdr:row>0</xdr:row>
      <xdr:rowOff>552450</xdr:rowOff>
    </xdr:to>
    <xdr:cxnSp macro="">
      <xdr:nvCxnSpPr>
        <xdr:cNvPr id="911" name="Straight Connector 910">
          <a:extLst>
            <a:ext uri="{FF2B5EF4-FFF2-40B4-BE49-F238E27FC236}">
              <a16:creationId xmlns="" xmlns:a16="http://schemas.microsoft.com/office/drawing/2014/main" id="{00000000-0008-0000-0200-00008F030000}"/>
            </a:ext>
          </a:extLst>
        </xdr:cNvPr>
        <xdr:cNvCxnSpPr/>
      </xdr:nvCxnSpPr>
      <xdr:spPr>
        <a:xfrm flipV="1">
          <a:off x="1047750" y="542925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0</xdr:row>
      <xdr:rowOff>57150</xdr:rowOff>
    </xdr:from>
    <xdr:to>
      <xdr:col>0</xdr:col>
      <xdr:colOff>914400</xdr:colOff>
      <xdr:row>1</xdr:row>
      <xdr:rowOff>0</xdr:rowOff>
    </xdr:to>
    <xdr:grpSp>
      <xdr:nvGrpSpPr>
        <xdr:cNvPr id="2" name="Canvas 64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4924" y="57150"/>
          <a:ext cx="879476" cy="695325"/>
          <a:chOff x="0" y="0"/>
          <a:chExt cx="768350" cy="567055"/>
        </a:xfrm>
      </xdr:grpSpPr>
      <xdr:sp macro="" textlink="">
        <xdr:nvSpPr>
          <xdr:cNvPr id="3" name="Rectangle 2">
            <a:extLst>
              <a:ext uri="{FF2B5EF4-FFF2-40B4-BE49-F238E27FC236}">
                <a16:creationId xmlns=""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0" y="0"/>
            <a:ext cx="768350" cy="567055"/>
          </a:xfrm>
          <a:prstGeom prst="rect">
            <a:avLst/>
          </a:prstGeom>
          <a:noFill/>
        </xdr:spPr>
      </xdr:sp>
      <xdr:sp macro="" textlink="">
        <xdr:nvSpPr>
          <xdr:cNvPr id="4" name="Freeform 65">
            <a:extLst>
              <a:ext uri="{FF2B5EF4-FFF2-40B4-BE49-F238E27FC236}">
                <a16:creationId xmlns="" xmlns:a16="http://schemas.microsoft.com/office/drawing/2014/main" id="{00000000-0008-0000-0300-000004000000}"/>
              </a:ext>
            </a:extLst>
          </xdr:cNvPr>
          <xdr:cNvSpPr>
            <a:spLocks/>
          </xdr:cNvSpPr>
        </xdr:nvSpPr>
        <xdr:spPr bwMode="auto">
          <a:xfrm>
            <a:off x="103502" y="0"/>
            <a:ext cx="570805" cy="567055"/>
          </a:xfrm>
          <a:custGeom>
            <a:avLst/>
            <a:gdLst>
              <a:gd name="T0" fmla="*/ 3927 w 7125"/>
              <a:gd name="T1" fmla="*/ 7057 h 7084"/>
              <a:gd name="T2" fmla="*/ 4618 w 7125"/>
              <a:gd name="T3" fmla="*/ 6911 h 7084"/>
              <a:gd name="T4" fmla="*/ 5254 w 7125"/>
              <a:gd name="T5" fmla="*/ 6645 h 7084"/>
              <a:gd name="T6" fmla="*/ 5816 w 7125"/>
              <a:gd name="T7" fmla="*/ 6262 h 7084"/>
              <a:gd name="T8" fmla="*/ 6305 w 7125"/>
              <a:gd name="T9" fmla="*/ 5777 h 7084"/>
              <a:gd name="T10" fmla="*/ 6692 w 7125"/>
              <a:gd name="T11" fmla="*/ 5219 h 7084"/>
              <a:gd name="T12" fmla="*/ 6959 w 7125"/>
              <a:gd name="T13" fmla="*/ 4589 h 7084"/>
              <a:gd name="T14" fmla="*/ 7107 w 7125"/>
              <a:gd name="T15" fmla="*/ 3894 h 7084"/>
              <a:gd name="T16" fmla="*/ 7107 w 7125"/>
              <a:gd name="T17" fmla="*/ 3181 h 7084"/>
              <a:gd name="T18" fmla="*/ 6959 w 7125"/>
              <a:gd name="T19" fmla="*/ 2486 h 7084"/>
              <a:gd name="T20" fmla="*/ 6692 w 7125"/>
              <a:gd name="T21" fmla="*/ 1847 h 7084"/>
              <a:gd name="T22" fmla="*/ 6305 w 7125"/>
              <a:gd name="T23" fmla="*/ 1289 h 7084"/>
              <a:gd name="T24" fmla="*/ 5816 w 7125"/>
              <a:gd name="T25" fmla="*/ 805 h 7084"/>
              <a:gd name="T26" fmla="*/ 5254 w 7125"/>
              <a:gd name="T27" fmla="*/ 421 h 7084"/>
              <a:gd name="T28" fmla="*/ 4618 w 7125"/>
              <a:gd name="T29" fmla="*/ 156 h 7084"/>
              <a:gd name="T30" fmla="*/ 3927 w 7125"/>
              <a:gd name="T31" fmla="*/ 9 h 7084"/>
              <a:gd name="T32" fmla="*/ 3189 w 7125"/>
              <a:gd name="T33" fmla="*/ 9 h 7084"/>
              <a:gd name="T34" fmla="*/ 2489 w 7125"/>
              <a:gd name="T35" fmla="*/ 156 h 7084"/>
              <a:gd name="T36" fmla="*/ 1853 w 7125"/>
              <a:gd name="T37" fmla="*/ 421 h 7084"/>
              <a:gd name="T38" fmla="*/ 1290 w 7125"/>
              <a:gd name="T39" fmla="*/ 805 h 7084"/>
              <a:gd name="T40" fmla="*/ 811 w 7125"/>
              <a:gd name="T41" fmla="*/ 1289 h 7084"/>
              <a:gd name="T42" fmla="*/ 415 w 7125"/>
              <a:gd name="T43" fmla="*/ 1847 h 7084"/>
              <a:gd name="T44" fmla="*/ 157 w 7125"/>
              <a:gd name="T45" fmla="*/ 2486 h 7084"/>
              <a:gd name="T46" fmla="*/ 9 w 7125"/>
              <a:gd name="T47" fmla="*/ 3181 h 7084"/>
              <a:gd name="T48" fmla="*/ 9 w 7125"/>
              <a:gd name="T49" fmla="*/ 3894 h 7084"/>
              <a:gd name="T50" fmla="*/ 157 w 7125"/>
              <a:gd name="T51" fmla="*/ 4589 h 7084"/>
              <a:gd name="T52" fmla="*/ 415 w 7125"/>
              <a:gd name="T53" fmla="*/ 5219 h 7084"/>
              <a:gd name="T54" fmla="*/ 811 w 7125"/>
              <a:gd name="T55" fmla="*/ 5777 h 7084"/>
              <a:gd name="T56" fmla="*/ 1290 w 7125"/>
              <a:gd name="T57" fmla="*/ 6262 h 7084"/>
              <a:gd name="T58" fmla="*/ 1853 w 7125"/>
              <a:gd name="T59" fmla="*/ 6645 h 7084"/>
              <a:gd name="T60" fmla="*/ 2489 w 7125"/>
              <a:gd name="T61" fmla="*/ 6911 h 7084"/>
              <a:gd name="T62" fmla="*/ 3189 w 7125"/>
              <a:gd name="T63" fmla="*/ 7057 h 7084"/>
              <a:gd name="T64" fmla="*/ 3558 w 7125"/>
              <a:gd name="T65" fmla="*/ 7084 h 70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125" h="7084">
                <a:moveTo>
                  <a:pt x="3558" y="7084"/>
                </a:moveTo>
                <a:lnTo>
                  <a:pt x="3927" y="7057"/>
                </a:lnTo>
                <a:lnTo>
                  <a:pt x="4277" y="7002"/>
                </a:lnTo>
                <a:lnTo>
                  <a:pt x="4618" y="6911"/>
                </a:lnTo>
                <a:lnTo>
                  <a:pt x="4950" y="6801"/>
                </a:lnTo>
                <a:lnTo>
                  <a:pt x="5254" y="6645"/>
                </a:lnTo>
                <a:lnTo>
                  <a:pt x="5549" y="6472"/>
                </a:lnTo>
                <a:lnTo>
                  <a:pt x="5816" y="6262"/>
                </a:lnTo>
                <a:lnTo>
                  <a:pt x="6084" y="6042"/>
                </a:lnTo>
                <a:lnTo>
                  <a:pt x="6305" y="5777"/>
                </a:lnTo>
                <a:lnTo>
                  <a:pt x="6517" y="5512"/>
                </a:lnTo>
                <a:lnTo>
                  <a:pt x="6692" y="5219"/>
                </a:lnTo>
                <a:lnTo>
                  <a:pt x="6840" y="4909"/>
                </a:lnTo>
                <a:lnTo>
                  <a:pt x="6959" y="4589"/>
                </a:lnTo>
                <a:lnTo>
                  <a:pt x="7052" y="4241"/>
                </a:lnTo>
                <a:lnTo>
                  <a:pt x="7107" y="3894"/>
                </a:lnTo>
                <a:lnTo>
                  <a:pt x="7125" y="3547"/>
                </a:lnTo>
                <a:lnTo>
                  <a:pt x="7107" y="3181"/>
                </a:lnTo>
                <a:lnTo>
                  <a:pt x="7052" y="2825"/>
                </a:lnTo>
                <a:lnTo>
                  <a:pt x="6959" y="2486"/>
                </a:lnTo>
                <a:lnTo>
                  <a:pt x="6840" y="2157"/>
                </a:lnTo>
                <a:lnTo>
                  <a:pt x="6692" y="1847"/>
                </a:lnTo>
                <a:lnTo>
                  <a:pt x="6517" y="1554"/>
                </a:lnTo>
                <a:lnTo>
                  <a:pt x="6305" y="1289"/>
                </a:lnTo>
                <a:lnTo>
                  <a:pt x="6084" y="1033"/>
                </a:lnTo>
                <a:lnTo>
                  <a:pt x="5816" y="805"/>
                </a:lnTo>
                <a:lnTo>
                  <a:pt x="5549" y="594"/>
                </a:lnTo>
                <a:lnTo>
                  <a:pt x="5254" y="421"/>
                </a:lnTo>
                <a:lnTo>
                  <a:pt x="4950" y="274"/>
                </a:lnTo>
                <a:lnTo>
                  <a:pt x="4618" y="156"/>
                </a:lnTo>
                <a:lnTo>
                  <a:pt x="4277" y="73"/>
                </a:lnTo>
                <a:lnTo>
                  <a:pt x="3927" y="9"/>
                </a:lnTo>
                <a:lnTo>
                  <a:pt x="3558" y="0"/>
                </a:lnTo>
                <a:lnTo>
                  <a:pt x="3189" y="9"/>
                </a:lnTo>
                <a:lnTo>
                  <a:pt x="2839" y="73"/>
                </a:lnTo>
                <a:lnTo>
                  <a:pt x="2489" y="156"/>
                </a:lnTo>
                <a:lnTo>
                  <a:pt x="2175" y="274"/>
                </a:lnTo>
                <a:lnTo>
                  <a:pt x="1853" y="421"/>
                </a:lnTo>
                <a:lnTo>
                  <a:pt x="1567" y="594"/>
                </a:lnTo>
                <a:lnTo>
                  <a:pt x="1290" y="805"/>
                </a:lnTo>
                <a:lnTo>
                  <a:pt x="1041" y="1033"/>
                </a:lnTo>
                <a:lnTo>
                  <a:pt x="811" y="1289"/>
                </a:lnTo>
                <a:lnTo>
                  <a:pt x="599" y="1554"/>
                </a:lnTo>
                <a:lnTo>
                  <a:pt x="415" y="1847"/>
                </a:lnTo>
                <a:lnTo>
                  <a:pt x="276" y="2157"/>
                </a:lnTo>
                <a:lnTo>
                  <a:pt x="157" y="2486"/>
                </a:lnTo>
                <a:lnTo>
                  <a:pt x="74" y="2825"/>
                </a:lnTo>
                <a:lnTo>
                  <a:pt x="9" y="3181"/>
                </a:lnTo>
                <a:lnTo>
                  <a:pt x="0" y="3547"/>
                </a:lnTo>
                <a:lnTo>
                  <a:pt x="9" y="3894"/>
                </a:lnTo>
                <a:lnTo>
                  <a:pt x="74" y="4241"/>
                </a:lnTo>
                <a:lnTo>
                  <a:pt x="157" y="4589"/>
                </a:lnTo>
                <a:lnTo>
                  <a:pt x="276" y="4909"/>
                </a:lnTo>
                <a:lnTo>
                  <a:pt x="415" y="5219"/>
                </a:lnTo>
                <a:lnTo>
                  <a:pt x="599" y="5512"/>
                </a:lnTo>
                <a:lnTo>
                  <a:pt x="811" y="5777"/>
                </a:lnTo>
                <a:lnTo>
                  <a:pt x="1041" y="6042"/>
                </a:lnTo>
                <a:lnTo>
                  <a:pt x="1290" y="6262"/>
                </a:lnTo>
                <a:lnTo>
                  <a:pt x="1567" y="6472"/>
                </a:lnTo>
                <a:lnTo>
                  <a:pt x="1853" y="6645"/>
                </a:lnTo>
                <a:lnTo>
                  <a:pt x="2175" y="6801"/>
                </a:lnTo>
                <a:lnTo>
                  <a:pt x="2489" y="6911"/>
                </a:lnTo>
                <a:lnTo>
                  <a:pt x="2839" y="7002"/>
                </a:lnTo>
                <a:lnTo>
                  <a:pt x="3189" y="7057"/>
                </a:lnTo>
                <a:lnTo>
                  <a:pt x="3558" y="7084"/>
                </a:lnTo>
                <a:close/>
              </a:path>
            </a:pathLst>
          </a:custGeom>
          <a:solidFill>
            <a:srgbClr val="00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Freeform 66">
            <a:extLst>
              <a:ext uri="{FF2B5EF4-FFF2-40B4-BE49-F238E27FC236}">
                <a16:creationId xmlns="" xmlns:a16="http://schemas.microsoft.com/office/drawing/2014/main" id="{00000000-0008-0000-0300-000005000000}"/>
              </a:ext>
            </a:extLst>
          </xdr:cNvPr>
          <xdr:cNvSpPr>
            <a:spLocks/>
          </xdr:cNvSpPr>
        </xdr:nvSpPr>
        <xdr:spPr bwMode="auto">
          <a:xfrm>
            <a:off x="123429" y="19748"/>
            <a:ext cx="530297" cy="526071"/>
          </a:xfrm>
          <a:custGeom>
            <a:avLst/>
            <a:gdLst>
              <a:gd name="T0" fmla="*/ 3632 w 6618"/>
              <a:gd name="T1" fmla="*/ 6554 h 6572"/>
              <a:gd name="T2" fmla="*/ 4277 w 6618"/>
              <a:gd name="T3" fmla="*/ 6417 h 6572"/>
              <a:gd name="T4" fmla="*/ 4876 w 6618"/>
              <a:gd name="T5" fmla="*/ 6170 h 6572"/>
              <a:gd name="T6" fmla="*/ 5401 w 6618"/>
              <a:gd name="T7" fmla="*/ 5813 h 6572"/>
              <a:gd name="T8" fmla="*/ 5853 w 6618"/>
              <a:gd name="T9" fmla="*/ 5375 h 6572"/>
              <a:gd name="T10" fmla="*/ 6213 w 6618"/>
              <a:gd name="T11" fmla="*/ 4845 h 6572"/>
              <a:gd name="T12" fmla="*/ 6461 w 6618"/>
              <a:gd name="T13" fmla="*/ 4250 h 6572"/>
              <a:gd name="T14" fmla="*/ 6600 w 6618"/>
              <a:gd name="T15" fmla="*/ 3620 h 6572"/>
              <a:gd name="T16" fmla="*/ 6600 w 6618"/>
              <a:gd name="T17" fmla="*/ 2952 h 6572"/>
              <a:gd name="T18" fmla="*/ 6461 w 6618"/>
              <a:gd name="T19" fmla="*/ 2303 h 6572"/>
              <a:gd name="T20" fmla="*/ 6213 w 6618"/>
              <a:gd name="T21" fmla="*/ 1718 h 6572"/>
              <a:gd name="T22" fmla="*/ 5853 w 6618"/>
              <a:gd name="T23" fmla="*/ 1197 h 6572"/>
              <a:gd name="T24" fmla="*/ 5401 w 6618"/>
              <a:gd name="T25" fmla="*/ 749 h 6572"/>
              <a:gd name="T26" fmla="*/ 4876 w 6618"/>
              <a:gd name="T27" fmla="*/ 393 h 6572"/>
              <a:gd name="T28" fmla="*/ 4277 w 6618"/>
              <a:gd name="T29" fmla="*/ 146 h 6572"/>
              <a:gd name="T30" fmla="*/ 3632 w 6618"/>
              <a:gd name="T31" fmla="*/ 18 h 6572"/>
              <a:gd name="T32" fmla="*/ 2959 w 6618"/>
              <a:gd name="T33" fmla="*/ 18 h 6572"/>
              <a:gd name="T34" fmla="*/ 2313 w 6618"/>
              <a:gd name="T35" fmla="*/ 146 h 6572"/>
              <a:gd name="T36" fmla="*/ 1723 w 6618"/>
              <a:gd name="T37" fmla="*/ 393 h 6572"/>
              <a:gd name="T38" fmla="*/ 1198 w 6618"/>
              <a:gd name="T39" fmla="*/ 749 h 6572"/>
              <a:gd name="T40" fmla="*/ 746 w 6618"/>
              <a:gd name="T41" fmla="*/ 1197 h 6572"/>
              <a:gd name="T42" fmla="*/ 387 w 6618"/>
              <a:gd name="T43" fmla="*/ 1718 h 6572"/>
              <a:gd name="T44" fmla="*/ 138 w 6618"/>
              <a:gd name="T45" fmla="*/ 2303 h 6572"/>
              <a:gd name="T46" fmla="*/ 9 w 6618"/>
              <a:gd name="T47" fmla="*/ 2952 h 6572"/>
              <a:gd name="T48" fmla="*/ 9 w 6618"/>
              <a:gd name="T49" fmla="*/ 3620 h 6572"/>
              <a:gd name="T50" fmla="*/ 138 w 6618"/>
              <a:gd name="T51" fmla="*/ 4250 h 6572"/>
              <a:gd name="T52" fmla="*/ 387 w 6618"/>
              <a:gd name="T53" fmla="*/ 4845 h 6572"/>
              <a:gd name="T54" fmla="*/ 746 w 6618"/>
              <a:gd name="T55" fmla="*/ 5375 h 6572"/>
              <a:gd name="T56" fmla="*/ 1198 w 6618"/>
              <a:gd name="T57" fmla="*/ 5813 h 6572"/>
              <a:gd name="T58" fmla="*/ 1723 w 6618"/>
              <a:gd name="T59" fmla="*/ 6170 h 6572"/>
              <a:gd name="T60" fmla="*/ 2313 w 6618"/>
              <a:gd name="T61" fmla="*/ 6417 h 6572"/>
              <a:gd name="T62" fmla="*/ 2959 w 6618"/>
              <a:gd name="T63" fmla="*/ 6554 h 6572"/>
              <a:gd name="T64" fmla="*/ 3309 w 6618"/>
              <a:gd name="T65" fmla="*/ 6572 h 65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618" h="6572">
                <a:moveTo>
                  <a:pt x="3309" y="6572"/>
                </a:moveTo>
                <a:lnTo>
                  <a:pt x="3632" y="6554"/>
                </a:lnTo>
                <a:lnTo>
                  <a:pt x="3963" y="6508"/>
                </a:lnTo>
                <a:lnTo>
                  <a:pt x="4277" y="6417"/>
                </a:lnTo>
                <a:lnTo>
                  <a:pt x="4590" y="6316"/>
                </a:lnTo>
                <a:lnTo>
                  <a:pt x="4876" y="6170"/>
                </a:lnTo>
                <a:lnTo>
                  <a:pt x="5153" y="6015"/>
                </a:lnTo>
                <a:lnTo>
                  <a:pt x="5401" y="5813"/>
                </a:lnTo>
                <a:lnTo>
                  <a:pt x="5641" y="5612"/>
                </a:lnTo>
                <a:lnTo>
                  <a:pt x="5853" y="5375"/>
                </a:lnTo>
                <a:lnTo>
                  <a:pt x="6047" y="5119"/>
                </a:lnTo>
                <a:lnTo>
                  <a:pt x="6213" y="4845"/>
                </a:lnTo>
                <a:lnTo>
                  <a:pt x="6351" y="4561"/>
                </a:lnTo>
                <a:lnTo>
                  <a:pt x="6461" y="4250"/>
                </a:lnTo>
                <a:lnTo>
                  <a:pt x="6554" y="3949"/>
                </a:lnTo>
                <a:lnTo>
                  <a:pt x="6600" y="3620"/>
                </a:lnTo>
                <a:lnTo>
                  <a:pt x="6618" y="3291"/>
                </a:lnTo>
                <a:lnTo>
                  <a:pt x="6600" y="2952"/>
                </a:lnTo>
                <a:lnTo>
                  <a:pt x="6554" y="2623"/>
                </a:lnTo>
                <a:lnTo>
                  <a:pt x="6461" y="2303"/>
                </a:lnTo>
                <a:lnTo>
                  <a:pt x="6351" y="2011"/>
                </a:lnTo>
                <a:lnTo>
                  <a:pt x="6213" y="1718"/>
                </a:lnTo>
                <a:lnTo>
                  <a:pt x="6047" y="1444"/>
                </a:lnTo>
                <a:lnTo>
                  <a:pt x="5853" y="1197"/>
                </a:lnTo>
                <a:lnTo>
                  <a:pt x="5641" y="960"/>
                </a:lnTo>
                <a:lnTo>
                  <a:pt x="5401" y="749"/>
                </a:lnTo>
                <a:lnTo>
                  <a:pt x="5153" y="558"/>
                </a:lnTo>
                <a:lnTo>
                  <a:pt x="4876" y="393"/>
                </a:lnTo>
                <a:lnTo>
                  <a:pt x="4590" y="265"/>
                </a:lnTo>
                <a:lnTo>
                  <a:pt x="4277" y="146"/>
                </a:lnTo>
                <a:lnTo>
                  <a:pt x="3963" y="64"/>
                </a:lnTo>
                <a:lnTo>
                  <a:pt x="3632" y="18"/>
                </a:lnTo>
                <a:lnTo>
                  <a:pt x="3309" y="0"/>
                </a:lnTo>
                <a:lnTo>
                  <a:pt x="2959" y="18"/>
                </a:lnTo>
                <a:lnTo>
                  <a:pt x="2627" y="64"/>
                </a:lnTo>
                <a:lnTo>
                  <a:pt x="2313" y="146"/>
                </a:lnTo>
                <a:lnTo>
                  <a:pt x="2018" y="265"/>
                </a:lnTo>
                <a:lnTo>
                  <a:pt x="1723" y="393"/>
                </a:lnTo>
                <a:lnTo>
                  <a:pt x="1456" y="558"/>
                </a:lnTo>
                <a:lnTo>
                  <a:pt x="1198" y="749"/>
                </a:lnTo>
                <a:lnTo>
                  <a:pt x="968" y="960"/>
                </a:lnTo>
                <a:lnTo>
                  <a:pt x="746" y="1197"/>
                </a:lnTo>
                <a:lnTo>
                  <a:pt x="562" y="1444"/>
                </a:lnTo>
                <a:lnTo>
                  <a:pt x="387" y="1718"/>
                </a:lnTo>
                <a:lnTo>
                  <a:pt x="258" y="2011"/>
                </a:lnTo>
                <a:lnTo>
                  <a:pt x="138" y="2303"/>
                </a:lnTo>
                <a:lnTo>
                  <a:pt x="64" y="2623"/>
                </a:lnTo>
                <a:lnTo>
                  <a:pt x="9" y="2952"/>
                </a:lnTo>
                <a:lnTo>
                  <a:pt x="0" y="3291"/>
                </a:lnTo>
                <a:lnTo>
                  <a:pt x="9" y="3620"/>
                </a:lnTo>
                <a:lnTo>
                  <a:pt x="64" y="3949"/>
                </a:lnTo>
                <a:lnTo>
                  <a:pt x="138" y="4250"/>
                </a:lnTo>
                <a:lnTo>
                  <a:pt x="258" y="4561"/>
                </a:lnTo>
                <a:lnTo>
                  <a:pt x="387" y="4845"/>
                </a:lnTo>
                <a:lnTo>
                  <a:pt x="562" y="5119"/>
                </a:lnTo>
                <a:lnTo>
                  <a:pt x="746" y="5375"/>
                </a:lnTo>
                <a:lnTo>
                  <a:pt x="968" y="5612"/>
                </a:lnTo>
                <a:lnTo>
                  <a:pt x="1198" y="5813"/>
                </a:lnTo>
                <a:lnTo>
                  <a:pt x="1456" y="6015"/>
                </a:lnTo>
                <a:lnTo>
                  <a:pt x="1723" y="6170"/>
                </a:lnTo>
                <a:lnTo>
                  <a:pt x="2018" y="6316"/>
                </a:lnTo>
                <a:lnTo>
                  <a:pt x="2313" y="6417"/>
                </a:lnTo>
                <a:lnTo>
                  <a:pt x="2627" y="6508"/>
                </a:lnTo>
                <a:lnTo>
                  <a:pt x="2959" y="6554"/>
                </a:lnTo>
                <a:lnTo>
                  <a:pt x="3309" y="6572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6" name="Freeform 67">
            <a:extLst>
              <a:ext uri="{FF2B5EF4-FFF2-40B4-BE49-F238E27FC236}">
                <a16:creationId xmlns="" xmlns:a16="http://schemas.microsoft.com/office/drawing/2014/main" id="{00000000-0008-0000-0300-000006000000}"/>
              </a:ext>
            </a:extLst>
          </xdr:cNvPr>
          <xdr:cNvSpPr>
            <a:spLocks/>
          </xdr:cNvSpPr>
        </xdr:nvSpPr>
        <xdr:spPr bwMode="auto">
          <a:xfrm>
            <a:off x="142523" y="39556"/>
            <a:ext cx="490442" cy="485801"/>
          </a:xfrm>
          <a:custGeom>
            <a:avLst/>
            <a:gdLst>
              <a:gd name="T0" fmla="*/ 3365 w 6121"/>
              <a:gd name="T1" fmla="*/ 6051 h 6069"/>
              <a:gd name="T2" fmla="*/ 3955 w 6121"/>
              <a:gd name="T3" fmla="*/ 5923 h 6069"/>
              <a:gd name="T4" fmla="*/ 4508 w 6121"/>
              <a:gd name="T5" fmla="*/ 5694 h 6069"/>
              <a:gd name="T6" fmla="*/ 5006 w 6121"/>
              <a:gd name="T7" fmla="*/ 5374 h 6069"/>
              <a:gd name="T8" fmla="*/ 5421 w 6121"/>
              <a:gd name="T9" fmla="*/ 4963 h 6069"/>
              <a:gd name="T10" fmla="*/ 5743 w 6121"/>
              <a:gd name="T11" fmla="*/ 4470 h 6069"/>
              <a:gd name="T12" fmla="*/ 5974 w 6121"/>
              <a:gd name="T13" fmla="*/ 3930 h 6069"/>
              <a:gd name="T14" fmla="*/ 6103 w 6121"/>
              <a:gd name="T15" fmla="*/ 3336 h 6069"/>
              <a:gd name="T16" fmla="*/ 6103 w 6121"/>
              <a:gd name="T17" fmla="*/ 2724 h 6069"/>
              <a:gd name="T18" fmla="*/ 5974 w 6121"/>
              <a:gd name="T19" fmla="*/ 2130 h 6069"/>
              <a:gd name="T20" fmla="*/ 5743 w 6121"/>
              <a:gd name="T21" fmla="*/ 1581 h 6069"/>
              <a:gd name="T22" fmla="*/ 5421 w 6121"/>
              <a:gd name="T23" fmla="*/ 1097 h 6069"/>
              <a:gd name="T24" fmla="*/ 5006 w 6121"/>
              <a:gd name="T25" fmla="*/ 685 h 6069"/>
              <a:gd name="T26" fmla="*/ 4508 w 6121"/>
              <a:gd name="T27" fmla="*/ 365 h 6069"/>
              <a:gd name="T28" fmla="*/ 3955 w 6121"/>
              <a:gd name="T29" fmla="*/ 128 h 6069"/>
              <a:gd name="T30" fmla="*/ 3365 w 6121"/>
              <a:gd name="T31" fmla="*/ 18 h 6069"/>
              <a:gd name="T32" fmla="*/ 2738 w 6121"/>
              <a:gd name="T33" fmla="*/ 18 h 6069"/>
              <a:gd name="T34" fmla="*/ 2148 w 6121"/>
              <a:gd name="T35" fmla="*/ 128 h 6069"/>
              <a:gd name="T36" fmla="*/ 1595 w 6121"/>
              <a:gd name="T37" fmla="*/ 365 h 6069"/>
              <a:gd name="T38" fmla="*/ 1107 w 6121"/>
              <a:gd name="T39" fmla="*/ 685 h 6069"/>
              <a:gd name="T40" fmla="*/ 692 w 6121"/>
              <a:gd name="T41" fmla="*/ 1097 h 6069"/>
              <a:gd name="T42" fmla="*/ 369 w 6121"/>
              <a:gd name="T43" fmla="*/ 1581 h 6069"/>
              <a:gd name="T44" fmla="*/ 129 w 6121"/>
              <a:gd name="T45" fmla="*/ 2130 h 6069"/>
              <a:gd name="T46" fmla="*/ 19 w 6121"/>
              <a:gd name="T47" fmla="*/ 2724 h 6069"/>
              <a:gd name="T48" fmla="*/ 19 w 6121"/>
              <a:gd name="T49" fmla="*/ 3336 h 6069"/>
              <a:gd name="T50" fmla="*/ 129 w 6121"/>
              <a:gd name="T51" fmla="*/ 3930 h 6069"/>
              <a:gd name="T52" fmla="*/ 369 w 6121"/>
              <a:gd name="T53" fmla="*/ 4470 h 6069"/>
              <a:gd name="T54" fmla="*/ 692 w 6121"/>
              <a:gd name="T55" fmla="*/ 4963 h 6069"/>
              <a:gd name="T56" fmla="*/ 1107 w 6121"/>
              <a:gd name="T57" fmla="*/ 5374 h 6069"/>
              <a:gd name="T58" fmla="*/ 1595 w 6121"/>
              <a:gd name="T59" fmla="*/ 5694 h 6069"/>
              <a:gd name="T60" fmla="*/ 2148 w 6121"/>
              <a:gd name="T61" fmla="*/ 5923 h 6069"/>
              <a:gd name="T62" fmla="*/ 2738 w 6121"/>
              <a:gd name="T63" fmla="*/ 6051 h 6069"/>
              <a:gd name="T64" fmla="*/ 3061 w 6121"/>
              <a:gd name="T65" fmla="*/ 6069 h 60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121" h="6069">
                <a:moveTo>
                  <a:pt x="3061" y="6069"/>
                </a:moveTo>
                <a:lnTo>
                  <a:pt x="3365" y="6051"/>
                </a:lnTo>
                <a:lnTo>
                  <a:pt x="3669" y="6005"/>
                </a:lnTo>
                <a:lnTo>
                  <a:pt x="3955" y="5923"/>
                </a:lnTo>
                <a:lnTo>
                  <a:pt x="4241" y="5832"/>
                </a:lnTo>
                <a:lnTo>
                  <a:pt x="4508" y="5694"/>
                </a:lnTo>
                <a:lnTo>
                  <a:pt x="4766" y="5548"/>
                </a:lnTo>
                <a:lnTo>
                  <a:pt x="5006" y="5374"/>
                </a:lnTo>
                <a:lnTo>
                  <a:pt x="5218" y="5173"/>
                </a:lnTo>
                <a:lnTo>
                  <a:pt x="5421" y="4963"/>
                </a:lnTo>
                <a:lnTo>
                  <a:pt x="5596" y="4725"/>
                </a:lnTo>
                <a:lnTo>
                  <a:pt x="5743" y="4470"/>
                </a:lnTo>
                <a:lnTo>
                  <a:pt x="5881" y="4214"/>
                </a:lnTo>
                <a:lnTo>
                  <a:pt x="5974" y="3930"/>
                </a:lnTo>
                <a:lnTo>
                  <a:pt x="6057" y="3638"/>
                </a:lnTo>
                <a:lnTo>
                  <a:pt x="6103" y="3336"/>
                </a:lnTo>
                <a:lnTo>
                  <a:pt x="6121" y="3034"/>
                </a:lnTo>
                <a:lnTo>
                  <a:pt x="6103" y="2724"/>
                </a:lnTo>
                <a:lnTo>
                  <a:pt x="6057" y="2422"/>
                </a:lnTo>
                <a:lnTo>
                  <a:pt x="5974" y="2130"/>
                </a:lnTo>
                <a:lnTo>
                  <a:pt x="5881" y="1855"/>
                </a:lnTo>
                <a:lnTo>
                  <a:pt x="5743" y="1581"/>
                </a:lnTo>
                <a:lnTo>
                  <a:pt x="5596" y="1343"/>
                </a:lnTo>
                <a:lnTo>
                  <a:pt x="5421" y="1097"/>
                </a:lnTo>
                <a:lnTo>
                  <a:pt x="5218" y="886"/>
                </a:lnTo>
                <a:lnTo>
                  <a:pt x="5006" y="685"/>
                </a:lnTo>
                <a:lnTo>
                  <a:pt x="4766" y="512"/>
                </a:lnTo>
                <a:lnTo>
                  <a:pt x="4508" y="365"/>
                </a:lnTo>
                <a:lnTo>
                  <a:pt x="4241" y="237"/>
                </a:lnTo>
                <a:lnTo>
                  <a:pt x="3955" y="128"/>
                </a:lnTo>
                <a:lnTo>
                  <a:pt x="3669" y="55"/>
                </a:lnTo>
                <a:lnTo>
                  <a:pt x="3365" y="18"/>
                </a:lnTo>
                <a:lnTo>
                  <a:pt x="3061" y="0"/>
                </a:lnTo>
                <a:lnTo>
                  <a:pt x="2738" y="18"/>
                </a:lnTo>
                <a:lnTo>
                  <a:pt x="2443" y="55"/>
                </a:lnTo>
                <a:lnTo>
                  <a:pt x="2148" y="128"/>
                </a:lnTo>
                <a:lnTo>
                  <a:pt x="1872" y="237"/>
                </a:lnTo>
                <a:lnTo>
                  <a:pt x="1595" y="365"/>
                </a:lnTo>
                <a:lnTo>
                  <a:pt x="1346" y="512"/>
                </a:lnTo>
                <a:lnTo>
                  <a:pt x="1107" y="685"/>
                </a:lnTo>
                <a:lnTo>
                  <a:pt x="895" y="886"/>
                </a:lnTo>
                <a:lnTo>
                  <a:pt x="692" y="1097"/>
                </a:lnTo>
                <a:lnTo>
                  <a:pt x="517" y="1343"/>
                </a:lnTo>
                <a:lnTo>
                  <a:pt x="369" y="1581"/>
                </a:lnTo>
                <a:lnTo>
                  <a:pt x="240" y="1855"/>
                </a:lnTo>
                <a:lnTo>
                  <a:pt x="129" y="2130"/>
                </a:lnTo>
                <a:lnTo>
                  <a:pt x="56" y="2422"/>
                </a:lnTo>
                <a:lnTo>
                  <a:pt x="19" y="2724"/>
                </a:lnTo>
                <a:lnTo>
                  <a:pt x="0" y="3034"/>
                </a:lnTo>
                <a:lnTo>
                  <a:pt x="19" y="3336"/>
                </a:lnTo>
                <a:lnTo>
                  <a:pt x="56" y="3638"/>
                </a:lnTo>
                <a:lnTo>
                  <a:pt x="129" y="3930"/>
                </a:lnTo>
                <a:lnTo>
                  <a:pt x="240" y="4214"/>
                </a:lnTo>
                <a:lnTo>
                  <a:pt x="369" y="4470"/>
                </a:lnTo>
                <a:lnTo>
                  <a:pt x="517" y="4725"/>
                </a:lnTo>
                <a:lnTo>
                  <a:pt x="692" y="4963"/>
                </a:lnTo>
                <a:lnTo>
                  <a:pt x="895" y="5173"/>
                </a:lnTo>
                <a:lnTo>
                  <a:pt x="1107" y="5374"/>
                </a:lnTo>
                <a:lnTo>
                  <a:pt x="1346" y="5548"/>
                </a:lnTo>
                <a:lnTo>
                  <a:pt x="1595" y="5694"/>
                </a:lnTo>
                <a:lnTo>
                  <a:pt x="1872" y="5832"/>
                </a:lnTo>
                <a:lnTo>
                  <a:pt x="2148" y="5923"/>
                </a:lnTo>
                <a:lnTo>
                  <a:pt x="2443" y="6005"/>
                </a:lnTo>
                <a:lnTo>
                  <a:pt x="2738" y="6051"/>
                </a:lnTo>
                <a:lnTo>
                  <a:pt x="3061" y="6069"/>
                </a:lnTo>
                <a:close/>
              </a:path>
            </a:pathLst>
          </a:custGeom>
          <a:solidFill>
            <a:srgbClr val="00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" name="Freeform 68">
            <a:extLst>
              <a:ext uri="{FF2B5EF4-FFF2-40B4-BE49-F238E27FC236}">
                <a16:creationId xmlns="" xmlns:a16="http://schemas.microsoft.com/office/drawing/2014/main" id="{00000000-0008-0000-0300-000007000000}"/>
              </a:ext>
            </a:extLst>
          </xdr:cNvPr>
          <xdr:cNvSpPr>
            <a:spLocks/>
          </xdr:cNvSpPr>
        </xdr:nvSpPr>
        <xdr:spPr bwMode="auto">
          <a:xfrm>
            <a:off x="163342" y="59305"/>
            <a:ext cx="448269" cy="445530"/>
          </a:xfrm>
          <a:custGeom>
            <a:avLst/>
            <a:gdLst>
              <a:gd name="T0" fmla="*/ 3069 w 5595"/>
              <a:gd name="T1" fmla="*/ 5548 h 5566"/>
              <a:gd name="T2" fmla="*/ 3613 w 5595"/>
              <a:gd name="T3" fmla="*/ 5429 h 5566"/>
              <a:gd name="T4" fmla="*/ 4120 w 5595"/>
              <a:gd name="T5" fmla="*/ 5219 h 5566"/>
              <a:gd name="T6" fmla="*/ 4572 w 5595"/>
              <a:gd name="T7" fmla="*/ 4926 h 5566"/>
              <a:gd name="T8" fmla="*/ 4950 w 5595"/>
              <a:gd name="T9" fmla="*/ 4542 h 5566"/>
              <a:gd name="T10" fmla="*/ 5244 w 5595"/>
              <a:gd name="T11" fmla="*/ 4104 h 5566"/>
              <a:gd name="T12" fmla="*/ 5466 w 5595"/>
              <a:gd name="T13" fmla="*/ 3601 h 5566"/>
              <a:gd name="T14" fmla="*/ 5576 w 5595"/>
              <a:gd name="T15" fmla="*/ 3062 h 5566"/>
              <a:gd name="T16" fmla="*/ 5576 w 5595"/>
              <a:gd name="T17" fmla="*/ 2495 h 5566"/>
              <a:gd name="T18" fmla="*/ 5466 w 5595"/>
              <a:gd name="T19" fmla="*/ 1946 h 5566"/>
              <a:gd name="T20" fmla="*/ 5244 w 5595"/>
              <a:gd name="T21" fmla="*/ 1444 h 5566"/>
              <a:gd name="T22" fmla="*/ 4950 w 5595"/>
              <a:gd name="T23" fmla="*/ 1005 h 5566"/>
              <a:gd name="T24" fmla="*/ 4572 w 5595"/>
              <a:gd name="T25" fmla="*/ 621 h 5566"/>
              <a:gd name="T26" fmla="*/ 4120 w 5595"/>
              <a:gd name="T27" fmla="*/ 329 h 5566"/>
              <a:gd name="T28" fmla="*/ 3613 w 5595"/>
              <a:gd name="T29" fmla="*/ 118 h 5566"/>
              <a:gd name="T30" fmla="*/ 3069 w 5595"/>
              <a:gd name="T31" fmla="*/ 9 h 5566"/>
              <a:gd name="T32" fmla="*/ 2507 w 5595"/>
              <a:gd name="T33" fmla="*/ 9 h 5566"/>
              <a:gd name="T34" fmla="*/ 1954 w 5595"/>
              <a:gd name="T35" fmla="*/ 118 h 5566"/>
              <a:gd name="T36" fmla="*/ 1456 w 5595"/>
              <a:gd name="T37" fmla="*/ 329 h 5566"/>
              <a:gd name="T38" fmla="*/ 1004 w 5595"/>
              <a:gd name="T39" fmla="*/ 621 h 5566"/>
              <a:gd name="T40" fmla="*/ 626 w 5595"/>
              <a:gd name="T41" fmla="*/ 1005 h 5566"/>
              <a:gd name="T42" fmla="*/ 322 w 5595"/>
              <a:gd name="T43" fmla="*/ 1444 h 5566"/>
              <a:gd name="T44" fmla="*/ 110 w 5595"/>
              <a:gd name="T45" fmla="*/ 1946 h 5566"/>
              <a:gd name="T46" fmla="*/ 9 w 5595"/>
              <a:gd name="T47" fmla="*/ 2495 h 5566"/>
              <a:gd name="T48" fmla="*/ 9 w 5595"/>
              <a:gd name="T49" fmla="*/ 3062 h 5566"/>
              <a:gd name="T50" fmla="*/ 110 w 5595"/>
              <a:gd name="T51" fmla="*/ 3601 h 5566"/>
              <a:gd name="T52" fmla="*/ 322 w 5595"/>
              <a:gd name="T53" fmla="*/ 4104 h 5566"/>
              <a:gd name="T54" fmla="*/ 626 w 5595"/>
              <a:gd name="T55" fmla="*/ 4542 h 5566"/>
              <a:gd name="T56" fmla="*/ 1004 w 5595"/>
              <a:gd name="T57" fmla="*/ 4926 h 5566"/>
              <a:gd name="T58" fmla="*/ 1456 w 5595"/>
              <a:gd name="T59" fmla="*/ 5219 h 5566"/>
              <a:gd name="T60" fmla="*/ 1954 w 5595"/>
              <a:gd name="T61" fmla="*/ 5429 h 5566"/>
              <a:gd name="T62" fmla="*/ 2507 w 5595"/>
              <a:gd name="T63" fmla="*/ 5548 h 5566"/>
              <a:gd name="T64" fmla="*/ 2793 w 5595"/>
              <a:gd name="T65" fmla="*/ 5566 h 55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5595" h="5566">
                <a:moveTo>
                  <a:pt x="2793" y="5566"/>
                </a:moveTo>
                <a:lnTo>
                  <a:pt x="3069" y="5548"/>
                </a:lnTo>
                <a:lnTo>
                  <a:pt x="3355" y="5502"/>
                </a:lnTo>
                <a:lnTo>
                  <a:pt x="3613" y="5429"/>
                </a:lnTo>
                <a:lnTo>
                  <a:pt x="3880" y="5347"/>
                </a:lnTo>
                <a:lnTo>
                  <a:pt x="4120" y="5219"/>
                </a:lnTo>
                <a:lnTo>
                  <a:pt x="4350" y="5082"/>
                </a:lnTo>
                <a:lnTo>
                  <a:pt x="4572" y="4926"/>
                </a:lnTo>
                <a:lnTo>
                  <a:pt x="4774" y="4753"/>
                </a:lnTo>
                <a:lnTo>
                  <a:pt x="4950" y="4542"/>
                </a:lnTo>
                <a:lnTo>
                  <a:pt x="5115" y="4332"/>
                </a:lnTo>
                <a:lnTo>
                  <a:pt x="5244" y="4104"/>
                </a:lnTo>
                <a:lnTo>
                  <a:pt x="5374" y="3866"/>
                </a:lnTo>
                <a:lnTo>
                  <a:pt x="5466" y="3601"/>
                </a:lnTo>
                <a:lnTo>
                  <a:pt x="5530" y="3336"/>
                </a:lnTo>
                <a:lnTo>
                  <a:pt x="5576" y="3062"/>
                </a:lnTo>
                <a:lnTo>
                  <a:pt x="5595" y="2787"/>
                </a:lnTo>
                <a:lnTo>
                  <a:pt x="5576" y="2495"/>
                </a:lnTo>
                <a:lnTo>
                  <a:pt x="5530" y="2221"/>
                </a:lnTo>
                <a:lnTo>
                  <a:pt x="5466" y="1946"/>
                </a:lnTo>
                <a:lnTo>
                  <a:pt x="5374" y="1700"/>
                </a:lnTo>
                <a:lnTo>
                  <a:pt x="5244" y="1444"/>
                </a:lnTo>
                <a:lnTo>
                  <a:pt x="5115" y="1224"/>
                </a:lnTo>
                <a:lnTo>
                  <a:pt x="4950" y="1005"/>
                </a:lnTo>
                <a:lnTo>
                  <a:pt x="4774" y="813"/>
                </a:lnTo>
                <a:lnTo>
                  <a:pt x="4572" y="621"/>
                </a:lnTo>
                <a:lnTo>
                  <a:pt x="4350" y="466"/>
                </a:lnTo>
                <a:lnTo>
                  <a:pt x="4120" y="329"/>
                </a:lnTo>
                <a:lnTo>
                  <a:pt x="3880" y="210"/>
                </a:lnTo>
                <a:lnTo>
                  <a:pt x="3613" y="118"/>
                </a:lnTo>
                <a:lnTo>
                  <a:pt x="3355" y="54"/>
                </a:lnTo>
                <a:lnTo>
                  <a:pt x="3069" y="9"/>
                </a:lnTo>
                <a:lnTo>
                  <a:pt x="2793" y="0"/>
                </a:lnTo>
                <a:lnTo>
                  <a:pt x="2507" y="9"/>
                </a:lnTo>
                <a:lnTo>
                  <a:pt x="2221" y="54"/>
                </a:lnTo>
                <a:lnTo>
                  <a:pt x="1954" y="118"/>
                </a:lnTo>
                <a:lnTo>
                  <a:pt x="1705" y="210"/>
                </a:lnTo>
                <a:lnTo>
                  <a:pt x="1456" y="329"/>
                </a:lnTo>
                <a:lnTo>
                  <a:pt x="1225" y="466"/>
                </a:lnTo>
                <a:lnTo>
                  <a:pt x="1004" y="621"/>
                </a:lnTo>
                <a:lnTo>
                  <a:pt x="811" y="813"/>
                </a:lnTo>
                <a:lnTo>
                  <a:pt x="626" y="1005"/>
                </a:lnTo>
                <a:lnTo>
                  <a:pt x="470" y="1224"/>
                </a:lnTo>
                <a:lnTo>
                  <a:pt x="322" y="1444"/>
                </a:lnTo>
                <a:lnTo>
                  <a:pt x="212" y="1700"/>
                </a:lnTo>
                <a:lnTo>
                  <a:pt x="110" y="1946"/>
                </a:lnTo>
                <a:lnTo>
                  <a:pt x="46" y="2221"/>
                </a:lnTo>
                <a:lnTo>
                  <a:pt x="9" y="2495"/>
                </a:lnTo>
                <a:lnTo>
                  <a:pt x="0" y="2787"/>
                </a:lnTo>
                <a:lnTo>
                  <a:pt x="9" y="3062"/>
                </a:lnTo>
                <a:lnTo>
                  <a:pt x="46" y="3336"/>
                </a:lnTo>
                <a:lnTo>
                  <a:pt x="110" y="3601"/>
                </a:lnTo>
                <a:lnTo>
                  <a:pt x="212" y="3866"/>
                </a:lnTo>
                <a:lnTo>
                  <a:pt x="322" y="4104"/>
                </a:lnTo>
                <a:lnTo>
                  <a:pt x="470" y="4332"/>
                </a:lnTo>
                <a:lnTo>
                  <a:pt x="626" y="4542"/>
                </a:lnTo>
                <a:lnTo>
                  <a:pt x="811" y="4753"/>
                </a:lnTo>
                <a:lnTo>
                  <a:pt x="1004" y="4926"/>
                </a:lnTo>
                <a:lnTo>
                  <a:pt x="1225" y="5082"/>
                </a:lnTo>
                <a:lnTo>
                  <a:pt x="1456" y="5219"/>
                </a:lnTo>
                <a:lnTo>
                  <a:pt x="1705" y="5347"/>
                </a:lnTo>
                <a:lnTo>
                  <a:pt x="1954" y="5429"/>
                </a:lnTo>
                <a:lnTo>
                  <a:pt x="2221" y="5502"/>
                </a:lnTo>
                <a:lnTo>
                  <a:pt x="2507" y="5548"/>
                </a:lnTo>
                <a:lnTo>
                  <a:pt x="2793" y="5566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" name="Freeform 69">
            <a:extLst>
              <a:ext uri="{FF2B5EF4-FFF2-40B4-BE49-F238E27FC236}">
                <a16:creationId xmlns="" xmlns:a16="http://schemas.microsoft.com/office/drawing/2014/main" id="{00000000-0008-0000-0300-000008000000}"/>
              </a:ext>
            </a:extLst>
          </xdr:cNvPr>
          <xdr:cNvSpPr>
            <a:spLocks/>
          </xdr:cNvSpPr>
        </xdr:nvSpPr>
        <xdr:spPr bwMode="auto">
          <a:xfrm>
            <a:off x="182020" y="74949"/>
            <a:ext cx="206051" cy="405379"/>
          </a:xfrm>
          <a:custGeom>
            <a:avLst/>
            <a:gdLst>
              <a:gd name="T0" fmla="*/ 2268 w 2572"/>
              <a:gd name="T1" fmla="*/ 5028 h 5064"/>
              <a:gd name="T2" fmla="*/ 1733 w 2572"/>
              <a:gd name="T3" fmla="*/ 4918 h 5064"/>
              <a:gd name="T4" fmla="*/ 1263 w 2572"/>
              <a:gd name="T5" fmla="*/ 4726 h 5064"/>
              <a:gd name="T6" fmla="*/ 858 w 2572"/>
              <a:gd name="T7" fmla="*/ 4443 h 5064"/>
              <a:gd name="T8" fmla="*/ 507 w 2572"/>
              <a:gd name="T9" fmla="*/ 4095 h 5064"/>
              <a:gd name="T10" fmla="*/ 249 w 2572"/>
              <a:gd name="T11" fmla="*/ 3684 h 5064"/>
              <a:gd name="T12" fmla="*/ 74 w 2572"/>
              <a:gd name="T13" fmla="*/ 3218 h 5064"/>
              <a:gd name="T14" fmla="*/ 0 w 2572"/>
              <a:gd name="T15" fmla="*/ 2706 h 5064"/>
              <a:gd name="T16" fmla="*/ 19 w 2572"/>
              <a:gd name="T17" fmla="*/ 2148 h 5064"/>
              <a:gd name="T18" fmla="*/ 129 w 2572"/>
              <a:gd name="T19" fmla="*/ 1646 h 5064"/>
              <a:gd name="T20" fmla="*/ 332 w 2572"/>
              <a:gd name="T21" fmla="*/ 1189 h 5064"/>
              <a:gd name="T22" fmla="*/ 609 w 2572"/>
              <a:gd name="T23" fmla="*/ 805 h 5064"/>
              <a:gd name="T24" fmla="*/ 950 w 2572"/>
              <a:gd name="T25" fmla="*/ 476 h 5064"/>
              <a:gd name="T26" fmla="*/ 1355 w 2572"/>
              <a:gd name="T27" fmla="*/ 238 h 5064"/>
              <a:gd name="T28" fmla="*/ 1807 w 2572"/>
              <a:gd name="T29" fmla="*/ 64 h 5064"/>
              <a:gd name="T30" fmla="*/ 2305 w 2572"/>
              <a:gd name="T31" fmla="*/ 0 h 5064"/>
              <a:gd name="T32" fmla="*/ 2563 w 2572"/>
              <a:gd name="T33" fmla="*/ 265 h 5064"/>
              <a:gd name="T34" fmla="*/ 2084 w 2572"/>
              <a:gd name="T35" fmla="*/ 293 h 5064"/>
              <a:gd name="T36" fmla="*/ 1641 w 2572"/>
              <a:gd name="T37" fmla="*/ 412 h 5064"/>
              <a:gd name="T38" fmla="*/ 1236 w 2572"/>
              <a:gd name="T39" fmla="*/ 604 h 5064"/>
              <a:gd name="T40" fmla="*/ 904 w 2572"/>
              <a:gd name="T41" fmla="*/ 869 h 5064"/>
              <a:gd name="T42" fmla="*/ 609 w 2572"/>
              <a:gd name="T43" fmla="*/ 1189 h 5064"/>
              <a:gd name="T44" fmla="*/ 406 w 2572"/>
              <a:gd name="T45" fmla="*/ 1573 h 5064"/>
              <a:gd name="T46" fmla="*/ 277 w 2572"/>
              <a:gd name="T47" fmla="*/ 1993 h 5064"/>
              <a:gd name="T48" fmla="*/ 231 w 2572"/>
              <a:gd name="T49" fmla="*/ 2468 h 5064"/>
              <a:gd name="T50" fmla="*/ 277 w 2572"/>
              <a:gd name="T51" fmla="*/ 2925 h 5064"/>
              <a:gd name="T52" fmla="*/ 406 w 2572"/>
              <a:gd name="T53" fmla="*/ 3364 h 5064"/>
              <a:gd name="T54" fmla="*/ 600 w 2572"/>
              <a:gd name="T55" fmla="*/ 3766 h 5064"/>
              <a:gd name="T56" fmla="*/ 885 w 2572"/>
              <a:gd name="T57" fmla="*/ 4123 h 5064"/>
              <a:gd name="T58" fmla="*/ 1208 w 2572"/>
              <a:gd name="T59" fmla="*/ 4406 h 5064"/>
              <a:gd name="T60" fmla="*/ 1614 w 2572"/>
              <a:gd name="T61" fmla="*/ 4626 h 5064"/>
              <a:gd name="T62" fmla="*/ 2056 w 2572"/>
              <a:gd name="T63" fmla="*/ 4772 h 5064"/>
              <a:gd name="T64" fmla="*/ 2563 w 2572"/>
              <a:gd name="T65" fmla="*/ 4827 h 5064"/>
              <a:gd name="T66" fmla="*/ 2563 w 2572"/>
              <a:gd name="T67" fmla="*/ 5064 h 50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572" h="5064">
                <a:moveTo>
                  <a:pt x="2563" y="5064"/>
                </a:moveTo>
                <a:lnTo>
                  <a:pt x="2268" y="5028"/>
                </a:lnTo>
                <a:lnTo>
                  <a:pt x="1991" y="4991"/>
                </a:lnTo>
                <a:lnTo>
                  <a:pt x="1733" y="4918"/>
                </a:lnTo>
                <a:lnTo>
                  <a:pt x="1494" y="4836"/>
                </a:lnTo>
                <a:lnTo>
                  <a:pt x="1263" y="4726"/>
                </a:lnTo>
                <a:lnTo>
                  <a:pt x="1051" y="4598"/>
                </a:lnTo>
                <a:lnTo>
                  <a:pt x="858" y="4443"/>
                </a:lnTo>
                <a:lnTo>
                  <a:pt x="683" y="4287"/>
                </a:lnTo>
                <a:lnTo>
                  <a:pt x="507" y="4095"/>
                </a:lnTo>
                <a:lnTo>
                  <a:pt x="378" y="3903"/>
                </a:lnTo>
                <a:lnTo>
                  <a:pt x="249" y="3684"/>
                </a:lnTo>
                <a:lnTo>
                  <a:pt x="157" y="3474"/>
                </a:lnTo>
                <a:lnTo>
                  <a:pt x="74" y="3218"/>
                </a:lnTo>
                <a:lnTo>
                  <a:pt x="28" y="2971"/>
                </a:lnTo>
                <a:lnTo>
                  <a:pt x="0" y="2706"/>
                </a:lnTo>
                <a:lnTo>
                  <a:pt x="0" y="2432"/>
                </a:lnTo>
                <a:lnTo>
                  <a:pt x="19" y="2148"/>
                </a:lnTo>
                <a:lnTo>
                  <a:pt x="65" y="1892"/>
                </a:lnTo>
                <a:lnTo>
                  <a:pt x="129" y="1646"/>
                </a:lnTo>
                <a:lnTo>
                  <a:pt x="222" y="1408"/>
                </a:lnTo>
                <a:lnTo>
                  <a:pt x="332" y="1189"/>
                </a:lnTo>
                <a:lnTo>
                  <a:pt x="461" y="988"/>
                </a:lnTo>
                <a:lnTo>
                  <a:pt x="609" y="805"/>
                </a:lnTo>
                <a:lnTo>
                  <a:pt x="775" y="631"/>
                </a:lnTo>
                <a:lnTo>
                  <a:pt x="950" y="476"/>
                </a:lnTo>
                <a:lnTo>
                  <a:pt x="1143" y="348"/>
                </a:lnTo>
                <a:lnTo>
                  <a:pt x="1355" y="238"/>
                </a:lnTo>
                <a:lnTo>
                  <a:pt x="1577" y="147"/>
                </a:lnTo>
                <a:lnTo>
                  <a:pt x="1807" y="64"/>
                </a:lnTo>
                <a:lnTo>
                  <a:pt x="2056" y="19"/>
                </a:lnTo>
                <a:lnTo>
                  <a:pt x="2305" y="0"/>
                </a:lnTo>
                <a:lnTo>
                  <a:pt x="2572" y="0"/>
                </a:lnTo>
                <a:lnTo>
                  <a:pt x="2563" y="265"/>
                </a:lnTo>
                <a:lnTo>
                  <a:pt x="2305" y="265"/>
                </a:lnTo>
                <a:lnTo>
                  <a:pt x="2084" y="293"/>
                </a:lnTo>
                <a:lnTo>
                  <a:pt x="1844" y="339"/>
                </a:lnTo>
                <a:lnTo>
                  <a:pt x="1641" y="412"/>
                </a:lnTo>
                <a:lnTo>
                  <a:pt x="1429" y="494"/>
                </a:lnTo>
                <a:lnTo>
                  <a:pt x="1236" y="604"/>
                </a:lnTo>
                <a:lnTo>
                  <a:pt x="1051" y="722"/>
                </a:lnTo>
                <a:lnTo>
                  <a:pt x="904" y="869"/>
                </a:lnTo>
                <a:lnTo>
                  <a:pt x="747" y="1015"/>
                </a:lnTo>
                <a:lnTo>
                  <a:pt x="609" y="1189"/>
                </a:lnTo>
                <a:lnTo>
                  <a:pt x="489" y="1371"/>
                </a:lnTo>
                <a:lnTo>
                  <a:pt x="406" y="1573"/>
                </a:lnTo>
                <a:lnTo>
                  <a:pt x="323" y="1774"/>
                </a:lnTo>
                <a:lnTo>
                  <a:pt x="277" y="1993"/>
                </a:lnTo>
                <a:lnTo>
                  <a:pt x="231" y="2222"/>
                </a:lnTo>
                <a:lnTo>
                  <a:pt x="231" y="2468"/>
                </a:lnTo>
                <a:lnTo>
                  <a:pt x="240" y="2697"/>
                </a:lnTo>
                <a:lnTo>
                  <a:pt x="277" y="2925"/>
                </a:lnTo>
                <a:lnTo>
                  <a:pt x="323" y="3145"/>
                </a:lnTo>
                <a:lnTo>
                  <a:pt x="406" y="3364"/>
                </a:lnTo>
                <a:lnTo>
                  <a:pt x="489" y="3565"/>
                </a:lnTo>
                <a:lnTo>
                  <a:pt x="600" y="3766"/>
                </a:lnTo>
                <a:lnTo>
                  <a:pt x="729" y="3949"/>
                </a:lnTo>
                <a:lnTo>
                  <a:pt x="885" y="4123"/>
                </a:lnTo>
                <a:lnTo>
                  <a:pt x="1033" y="4269"/>
                </a:lnTo>
                <a:lnTo>
                  <a:pt x="1208" y="4406"/>
                </a:lnTo>
                <a:lnTo>
                  <a:pt x="1402" y="4525"/>
                </a:lnTo>
                <a:lnTo>
                  <a:pt x="1614" y="4626"/>
                </a:lnTo>
                <a:lnTo>
                  <a:pt x="1826" y="4708"/>
                </a:lnTo>
                <a:lnTo>
                  <a:pt x="2056" y="4772"/>
                </a:lnTo>
                <a:lnTo>
                  <a:pt x="2296" y="4808"/>
                </a:lnTo>
                <a:lnTo>
                  <a:pt x="2563" y="4827"/>
                </a:lnTo>
                <a:lnTo>
                  <a:pt x="2563" y="5064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" name="Freeform 70">
            <a:extLst>
              <a:ext uri="{FF2B5EF4-FFF2-40B4-BE49-F238E27FC236}">
                <a16:creationId xmlns="" xmlns:a16="http://schemas.microsoft.com/office/drawing/2014/main" id="{00000000-0008-0000-0300-000009000000}"/>
              </a:ext>
            </a:extLst>
          </xdr:cNvPr>
          <xdr:cNvSpPr>
            <a:spLocks/>
          </xdr:cNvSpPr>
        </xdr:nvSpPr>
        <xdr:spPr bwMode="auto">
          <a:xfrm>
            <a:off x="340544" y="87084"/>
            <a:ext cx="421739" cy="127235"/>
          </a:xfrm>
          <a:custGeom>
            <a:avLst/>
            <a:gdLst>
              <a:gd name="T0" fmla="*/ 451 w 5263"/>
              <a:gd name="T1" fmla="*/ 100 h 1590"/>
              <a:gd name="T2" fmla="*/ 507 w 5263"/>
              <a:gd name="T3" fmla="*/ 91 h 1590"/>
              <a:gd name="T4" fmla="*/ 581 w 5263"/>
              <a:gd name="T5" fmla="*/ 91 h 1590"/>
              <a:gd name="T6" fmla="*/ 663 w 5263"/>
              <a:gd name="T7" fmla="*/ 100 h 1590"/>
              <a:gd name="T8" fmla="*/ 756 w 5263"/>
              <a:gd name="T9" fmla="*/ 128 h 1590"/>
              <a:gd name="T10" fmla="*/ 866 w 5263"/>
              <a:gd name="T11" fmla="*/ 164 h 1590"/>
              <a:gd name="T12" fmla="*/ 977 w 5263"/>
              <a:gd name="T13" fmla="*/ 238 h 1590"/>
              <a:gd name="T14" fmla="*/ 1161 w 5263"/>
              <a:gd name="T15" fmla="*/ 393 h 1590"/>
              <a:gd name="T16" fmla="*/ 1364 w 5263"/>
              <a:gd name="T17" fmla="*/ 503 h 1590"/>
              <a:gd name="T18" fmla="*/ 1530 w 5263"/>
              <a:gd name="T19" fmla="*/ 512 h 1590"/>
              <a:gd name="T20" fmla="*/ 1659 w 5263"/>
              <a:gd name="T21" fmla="*/ 448 h 1590"/>
              <a:gd name="T22" fmla="*/ 1770 w 5263"/>
              <a:gd name="T23" fmla="*/ 338 h 1590"/>
              <a:gd name="T24" fmla="*/ 1899 w 5263"/>
              <a:gd name="T25" fmla="*/ 201 h 1590"/>
              <a:gd name="T26" fmla="*/ 2037 w 5263"/>
              <a:gd name="T27" fmla="*/ 91 h 1590"/>
              <a:gd name="T28" fmla="*/ 2231 w 5263"/>
              <a:gd name="T29" fmla="*/ 9 h 1590"/>
              <a:gd name="T30" fmla="*/ 2424 w 5263"/>
              <a:gd name="T31" fmla="*/ 0 h 1590"/>
              <a:gd name="T32" fmla="*/ 2562 w 5263"/>
              <a:gd name="T33" fmla="*/ 36 h 1590"/>
              <a:gd name="T34" fmla="*/ 2691 w 5263"/>
              <a:gd name="T35" fmla="*/ 110 h 1590"/>
              <a:gd name="T36" fmla="*/ 2793 w 5263"/>
              <a:gd name="T37" fmla="*/ 192 h 1590"/>
              <a:gd name="T38" fmla="*/ 2903 w 5263"/>
              <a:gd name="T39" fmla="*/ 292 h 1590"/>
              <a:gd name="T40" fmla="*/ 3005 w 5263"/>
              <a:gd name="T41" fmla="*/ 375 h 1590"/>
              <a:gd name="T42" fmla="*/ 3125 w 5263"/>
              <a:gd name="T43" fmla="*/ 439 h 1590"/>
              <a:gd name="T44" fmla="*/ 3254 w 5263"/>
              <a:gd name="T45" fmla="*/ 484 h 1590"/>
              <a:gd name="T46" fmla="*/ 3410 w 5263"/>
              <a:gd name="T47" fmla="*/ 484 h 1590"/>
              <a:gd name="T48" fmla="*/ 3530 w 5263"/>
              <a:gd name="T49" fmla="*/ 439 h 1590"/>
              <a:gd name="T50" fmla="*/ 3641 w 5263"/>
              <a:gd name="T51" fmla="*/ 375 h 1590"/>
              <a:gd name="T52" fmla="*/ 3733 w 5263"/>
              <a:gd name="T53" fmla="*/ 292 h 1590"/>
              <a:gd name="T54" fmla="*/ 3825 w 5263"/>
              <a:gd name="T55" fmla="*/ 201 h 1590"/>
              <a:gd name="T56" fmla="*/ 3927 w 5263"/>
              <a:gd name="T57" fmla="*/ 119 h 1590"/>
              <a:gd name="T58" fmla="*/ 4046 w 5263"/>
              <a:gd name="T59" fmla="*/ 46 h 1590"/>
              <a:gd name="T60" fmla="*/ 4194 w 5263"/>
              <a:gd name="T61" fmla="*/ 9 h 1590"/>
              <a:gd name="T62" fmla="*/ 4341 w 5263"/>
              <a:gd name="T63" fmla="*/ 18 h 1590"/>
              <a:gd name="T64" fmla="*/ 4470 w 5263"/>
              <a:gd name="T65" fmla="*/ 64 h 1590"/>
              <a:gd name="T66" fmla="*/ 4581 w 5263"/>
              <a:gd name="T67" fmla="*/ 137 h 1590"/>
              <a:gd name="T68" fmla="*/ 4673 w 5263"/>
              <a:gd name="T69" fmla="*/ 238 h 1590"/>
              <a:gd name="T70" fmla="*/ 4756 w 5263"/>
              <a:gd name="T71" fmla="*/ 329 h 1590"/>
              <a:gd name="T72" fmla="*/ 4858 w 5263"/>
              <a:gd name="T73" fmla="*/ 420 h 1590"/>
              <a:gd name="T74" fmla="*/ 4977 w 5263"/>
              <a:gd name="T75" fmla="*/ 484 h 1590"/>
              <a:gd name="T76" fmla="*/ 5143 w 5263"/>
              <a:gd name="T77" fmla="*/ 530 h 1590"/>
              <a:gd name="T78" fmla="*/ 5263 w 5263"/>
              <a:gd name="T79" fmla="*/ 1097 h 1590"/>
              <a:gd name="T80" fmla="*/ 0 w 5263"/>
              <a:gd name="T81" fmla="*/ 1563 h 1590"/>
              <a:gd name="T82" fmla="*/ 442 w 5263"/>
              <a:gd name="T83" fmla="*/ 110 h 15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590">
                <a:moveTo>
                  <a:pt x="442" y="110"/>
                </a:moveTo>
                <a:lnTo>
                  <a:pt x="451" y="100"/>
                </a:lnTo>
                <a:lnTo>
                  <a:pt x="488" y="91"/>
                </a:lnTo>
                <a:lnTo>
                  <a:pt x="507" y="91"/>
                </a:lnTo>
                <a:lnTo>
                  <a:pt x="553" y="91"/>
                </a:lnTo>
                <a:lnTo>
                  <a:pt x="581" y="91"/>
                </a:lnTo>
                <a:lnTo>
                  <a:pt x="627" y="100"/>
                </a:lnTo>
                <a:lnTo>
                  <a:pt x="663" y="100"/>
                </a:lnTo>
                <a:lnTo>
                  <a:pt x="710" y="119"/>
                </a:lnTo>
                <a:lnTo>
                  <a:pt x="756" y="128"/>
                </a:lnTo>
                <a:lnTo>
                  <a:pt x="811" y="146"/>
                </a:lnTo>
                <a:lnTo>
                  <a:pt x="866" y="164"/>
                </a:lnTo>
                <a:lnTo>
                  <a:pt x="922" y="201"/>
                </a:lnTo>
                <a:lnTo>
                  <a:pt x="977" y="238"/>
                </a:lnTo>
                <a:lnTo>
                  <a:pt x="1032" y="292"/>
                </a:lnTo>
                <a:lnTo>
                  <a:pt x="1161" y="393"/>
                </a:lnTo>
                <a:lnTo>
                  <a:pt x="1272" y="466"/>
                </a:lnTo>
                <a:lnTo>
                  <a:pt x="1364" y="503"/>
                </a:lnTo>
                <a:lnTo>
                  <a:pt x="1456" y="530"/>
                </a:lnTo>
                <a:lnTo>
                  <a:pt x="1530" y="512"/>
                </a:lnTo>
                <a:lnTo>
                  <a:pt x="1594" y="493"/>
                </a:lnTo>
                <a:lnTo>
                  <a:pt x="1659" y="448"/>
                </a:lnTo>
                <a:lnTo>
                  <a:pt x="1724" y="402"/>
                </a:lnTo>
                <a:lnTo>
                  <a:pt x="1770" y="338"/>
                </a:lnTo>
                <a:lnTo>
                  <a:pt x="1834" y="274"/>
                </a:lnTo>
                <a:lnTo>
                  <a:pt x="1899" y="201"/>
                </a:lnTo>
                <a:lnTo>
                  <a:pt x="1972" y="146"/>
                </a:lnTo>
                <a:lnTo>
                  <a:pt x="2037" y="91"/>
                </a:lnTo>
                <a:lnTo>
                  <a:pt x="2129" y="46"/>
                </a:lnTo>
                <a:lnTo>
                  <a:pt x="2231" y="9"/>
                </a:lnTo>
                <a:lnTo>
                  <a:pt x="2341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6"/>
                </a:lnTo>
                <a:lnTo>
                  <a:pt x="2636" y="73"/>
                </a:lnTo>
                <a:lnTo>
                  <a:pt x="2691" y="110"/>
                </a:lnTo>
                <a:lnTo>
                  <a:pt x="2747" y="146"/>
                </a:lnTo>
                <a:lnTo>
                  <a:pt x="2793" y="192"/>
                </a:lnTo>
                <a:lnTo>
                  <a:pt x="2857" y="247"/>
                </a:lnTo>
                <a:lnTo>
                  <a:pt x="2903" y="292"/>
                </a:lnTo>
                <a:lnTo>
                  <a:pt x="2950" y="329"/>
                </a:lnTo>
                <a:lnTo>
                  <a:pt x="3005" y="375"/>
                </a:lnTo>
                <a:lnTo>
                  <a:pt x="3060" y="420"/>
                </a:lnTo>
                <a:lnTo>
                  <a:pt x="3125" y="439"/>
                </a:lnTo>
                <a:lnTo>
                  <a:pt x="3189" y="466"/>
                </a:lnTo>
                <a:lnTo>
                  <a:pt x="3254" y="484"/>
                </a:lnTo>
                <a:lnTo>
                  <a:pt x="3337" y="493"/>
                </a:lnTo>
                <a:lnTo>
                  <a:pt x="3410" y="484"/>
                </a:lnTo>
                <a:lnTo>
                  <a:pt x="3466" y="466"/>
                </a:lnTo>
                <a:lnTo>
                  <a:pt x="3530" y="439"/>
                </a:lnTo>
                <a:lnTo>
                  <a:pt x="3586" y="411"/>
                </a:lnTo>
                <a:lnTo>
                  <a:pt x="3641" y="375"/>
                </a:lnTo>
                <a:lnTo>
                  <a:pt x="3687" y="329"/>
                </a:lnTo>
                <a:lnTo>
                  <a:pt x="3733" y="292"/>
                </a:lnTo>
                <a:lnTo>
                  <a:pt x="3788" y="247"/>
                </a:lnTo>
                <a:lnTo>
                  <a:pt x="3825" y="201"/>
                </a:lnTo>
                <a:lnTo>
                  <a:pt x="3881" y="155"/>
                </a:lnTo>
                <a:lnTo>
                  <a:pt x="3927" y="119"/>
                </a:lnTo>
                <a:lnTo>
                  <a:pt x="3991" y="82"/>
                </a:lnTo>
                <a:lnTo>
                  <a:pt x="4046" y="46"/>
                </a:lnTo>
                <a:lnTo>
                  <a:pt x="4111" y="27"/>
                </a:lnTo>
                <a:lnTo>
                  <a:pt x="4194" y="9"/>
                </a:lnTo>
                <a:lnTo>
                  <a:pt x="4277" y="18"/>
                </a:lnTo>
                <a:lnTo>
                  <a:pt x="4341" y="18"/>
                </a:lnTo>
                <a:lnTo>
                  <a:pt x="4415" y="36"/>
                </a:lnTo>
                <a:lnTo>
                  <a:pt x="4470" y="64"/>
                </a:lnTo>
                <a:lnTo>
                  <a:pt x="4535" y="100"/>
                </a:lnTo>
                <a:lnTo>
                  <a:pt x="4581" y="137"/>
                </a:lnTo>
                <a:lnTo>
                  <a:pt x="4627" y="183"/>
                </a:lnTo>
                <a:lnTo>
                  <a:pt x="4673" y="238"/>
                </a:lnTo>
                <a:lnTo>
                  <a:pt x="4719" y="292"/>
                </a:lnTo>
                <a:lnTo>
                  <a:pt x="4756" y="329"/>
                </a:lnTo>
                <a:lnTo>
                  <a:pt x="4812" y="375"/>
                </a:lnTo>
                <a:lnTo>
                  <a:pt x="4858" y="420"/>
                </a:lnTo>
                <a:lnTo>
                  <a:pt x="4922" y="466"/>
                </a:lnTo>
                <a:lnTo>
                  <a:pt x="4977" y="484"/>
                </a:lnTo>
                <a:lnTo>
                  <a:pt x="5060" y="512"/>
                </a:lnTo>
                <a:lnTo>
                  <a:pt x="5143" y="530"/>
                </a:lnTo>
                <a:lnTo>
                  <a:pt x="5254" y="530"/>
                </a:lnTo>
                <a:lnTo>
                  <a:pt x="5263" y="1097"/>
                </a:lnTo>
                <a:lnTo>
                  <a:pt x="3106" y="1590"/>
                </a:lnTo>
                <a:lnTo>
                  <a:pt x="0" y="1563"/>
                </a:lnTo>
                <a:lnTo>
                  <a:pt x="46" y="311"/>
                </a:lnTo>
                <a:lnTo>
                  <a:pt x="442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" name="Freeform 71">
            <a:extLst>
              <a:ext uri="{FF2B5EF4-FFF2-40B4-BE49-F238E27FC236}">
                <a16:creationId xmlns="" xmlns:a16="http://schemas.microsoft.com/office/drawing/2014/main" id="{00000000-0008-0000-0300-00000A000000}"/>
              </a:ext>
            </a:extLst>
          </xdr:cNvPr>
          <xdr:cNvSpPr>
            <a:spLocks/>
          </xdr:cNvSpPr>
        </xdr:nvSpPr>
        <xdr:spPr bwMode="auto">
          <a:xfrm>
            <a:off x="340544" y="98088"/>
            <a:ext cx="422453" cy="112662"/>
          </a:xfrm>
          <a:custGeom>
            <a:avLst/>
            <a:gdLst>
              <a:gd name="T0" fmla="*/ 451 w 5272"/>
              <a:gd name="T1" fmla="*/ 91 h 1408"/>
              <a:gd name="T2" fmla="*/ 507 w 5272"/>
              <a:gd name="T3" fmla="*/ 82 h 1408"/>
              <a:gd name="T4" fmla="*/ 590 w 5272"/>
              <a:gd name="T5" fmla="*/ 82 h 1408"/>
              <a:gd name="T6" fmla="*/ 673 w 5272"/>
              <a:gd name="T7" fmla="*/ 91 h 1408"/>
              <a:gd name="T8" fmla="*/ 765 w 5272"/>
              <a:gd name="T9" fmla="*/ 110 h 1408"/>
              <a:gd name="T10" fmla="*/ 866 w 5272"/>
              <a:gd name="T11" fmla="*/ 155 h 1408"/>
              <a:gd name="T12" fmla="*/ 977 w 5272"/>
              <a:gd name="T13" fmla="*/ 219 h 1408"/>
              <a:gd name="T14" fmla="*/ 1161 w 5272"/>
              <a:gd name="T15" fmla="*/ 347 h 1408"/>
              <a:gd name="T16" fmla="*/ 1364 w 5272"/>
              <a:gd name="T17" fmla="*/ 457 h 1408"/>
              <a:gd name="T18" fmla="*/ 1530 w 5272"/>
              <a:gd name="T19" fmla="*/ 457 h 1408"/>
              <a:gd name="T20" fmla="*/ 1659 w 5272"/>
              <a:gd name="T21" fmla="*/ 402 h 1408"/>
              <a:gd name="T22" fmla="*/ 1770 w 5272"/>
              <a:gd name="T23" fmla="*/ 302 h 1408"/>
              <a:gd name="T24" fmla="*/ 1899 w 5272"/>
              <a:gd name="T25" fmla="*/ 192 h 1408"/>
              <a:gd name="T26" fmla="*/ 2037 w 5272"/>
              <a:gd name="T27" fmla="*/ 82 h 1408"/>
              <a:gd name="T28" fmla="*/ 2231 w 5272"/>
              <a:gd name="T29" fmla="*/ 18 h 1408"/>
              <a:gd name="T30" fmla="*/ 2424 w 5272"/>
              <a:gd name="T31" fmla="*/ 0 h 1408"/>
              <a:gd name="T32" fmla="*/ 2562 w 5272"/>
              <a:gd name="T33" fmla="*/ 37 h 1408"/>
              <a:gd name="T34" fmla="*/ 2691 w 5272"/>
              <a:gd name="T35" fmla="*/ 101 h 1408"/>
              <a:gd name="T36" fmla="*/ 2793 w 5272"/>
              <a:gd name="T37" fmla="*/ 174 h 1408"/>
              <a:gd name="T38" fmla="*/ 2903 w 5272"/>
              <a:gd name="T39" fmla="*/ 265 h 1408"/>
              <a:gd name="T40" fmla="*/ 3005 w 5272"/>
              <a:gd name="T41" fmla="*/ 329 h 1408"/>
              <a:gd name="T42" fmla="*/ 3125 w 5272"/>
              <a:gd name="T43" fmla="*/ 393 h 1408"/>
              <a:gd name="T44" fmla="*/ 3254 w 5272"/>
              <a:gd name="T45" fmla="*/ 439 h 1408"/>
              <a:gd name="T46" fmla="*/ 3410 w 5272"/>
              <a:gd name="T47" fmla="*/ 430 h 1408"/>
              <a:gd name="T48" fmla="*/ 3530 w 5272"/>
              <a:gd name="T49" fmla="*/ 393 h 1408"/>
              <a:gd name="T50" fmla="*/ 3641 w 5272"/>
              <a:gd name="T51" fmla="*/ 329 h 1408"/>
              <a:gd name="T52" fmla="*/ 3733 w 5272"/>
              <a:gd name="T53" fmla="*/ 256 h 1408"/>
              <a:gd name="T54" fmla="*/ 3834 w 5272"/>
              <a:gd name="T55" fmla="*/ 183 h 1408"/>
              <a:gd name="T56" fmla="*/ 3936 w 5272"/>
              <a:gd name="T57" fmla="*/ 110 h 1408"/>
              <a:gd name="T58" fmla="*/ 4056 w 5272"/>
              <a:gd name="T59" fmla="*/ 46 h 1408"/>
              <a:gd name="T60" fmla="*/ 4194 w 5272"/>
              <a:gd name="T61" fmla="*/ 18 h 1408"/>
              <a:gd name="T62" fmla="*/ 4351 w 5272"/>
              <a:gd name="T63" fmla="*/ 18 h 1408"/>
              <a:gd name="T64" fmla="*/ 4480 w 5272"/>
              <a:gd name="T65" fmla="*/ 55 h 1408"/>
              <a:gd name="T66" fmla="*/ 4581 w 5272"/>
              <a:gd name="T67" fmla="*/ 128 h 1408"/>
              <a:gd name="T68" fmla="*/ 4682 w 5272"/>
              <a:gd name="T69" fmla="*/ 210 h 1408"/>
              <a:gd name="T70" fmla="*/ 4765 w 5272"/>
              <a:gd name="T71" fmla="*/ 302 h 1408"/>
              <a:gd name="T72" fmla="*/ 4867 w 5272"/>
              <a:gd name="T73" fmla="*/ 375 h 1408"/>
              <a:gd name="T74" fmla="*/ 4987 w 5272"/>
              <a:gd name="T75" fmla="*/ 439 h 1408"/>
              <a:gd name="T76" fmla="*/ 5153 w 5272"/>
              <a:gd name="T77" fmla="*/ 475 h 1408"/>
              <a:gd name="T78" fmla="*/ 5272 w 5272"/>
              <a:gd name="T79" fmla="*/ 978 h 1408"/>
              <a:gd name="T80" fmla="*/ 0 w 5272"/>
              <a:gd name="T81" fmla="*/ 1389 h 1408"/>
              <a:gd name="T82" fmla="*/ 442 w 5272"/>
              <a:gd name="T83" fmla="*/ 101 h 14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2" h="1408">
                <a:moveTo>
                  <a:pt x="442" y="101"/>
                </a:moveTo>
                <a:lnTo>
                  <a:pt x="451" y="91"/>
                </a:lnTo>
                <a:lnTo>
                  <a:pt x="488" y="82"/>
                </a:lnTo>
                <a:lnTo>
                  <a:pt x="507" y="82"/>
                </a:lnTo>
                <a:lnTo>
                  <a:pt x="553" y="82"/>
                </a:lnTo>
                <a:lnTo>
                  <a:pt x="590" y="82"/>
                </a:lnTo>
                <a:lnTo>
                  <a:pt x="636" y="91"/>
                </a:lnTo>
                <a:lnTo>
                  <a:pt x="673" y="91"/>
                </a:lnTo>
                <a:lnTo>
                  <a:pt x="719" y="101"/>
                </a:lnTo>
                <a:lnTo>
                  <a:pt x="765" y="110"/>
                </a:lnTo>
                <a:lnTo>
                  <a:pt x="820" y="128"/>
                </a:lnTo>
                <a:lnTo>
                  <a:pt x="866" y="155"/>
                </a:lnTo>
                <a:lnTo>
                  <a:pt x="922" y="183"/>
                </a:lnTo>
                <a:lnTo>
                  <a:pt x="977" y="219"/>
                </a:lnTo>
                <a:lnTo>
                  <a:pt x="1032" y="265"/>
                </a:lnTo>
                <a:lnTo>
                  <a:pt x="1161" y="347"/>
                </a:lnTo>
                <a:lnTo>
                  <a:pt x="1272" y="411"/>
                </a:lnTo>
                <a:lnTo>
                  <a:pt x="1364" y="457"/>
                </a:lnTo>
                <a:lnTo>
                  <a:pt x="1456" y="475"/>
                </a:lnTo>
                <a:lnTo>
                  <a:pt x="1530" y="457"/>
                </a:lnTo>
                <a:lnTo>
                  <a:pt x="1594" y="439"/>
                </a:lnTo>
                <a:lnTo>
                  <a:pt x="1659" y="402"/>
                </a:lnTo>
                <a:lnTo>
                  <a:pt x="1724" y="366"/>
                </a:lnTo>
                <a:lnTo>
                  <a:pt x="1770" y="302"/>
                </a:lnTo>
                <a:lnTo>
                  <a:pt x="1834" y="247"/>
                </a:lnTo>
                <a:lnTo>
                  <a:pt x="1899" y="192"/>
                </a:lnTo>
                <a:lnTo>
                  <a:pt x="1972" y="137"/>
                </a:lnTo>
                <a:lnTo>
                  <a:pt x="2037" y="82"/>
                </a:lnTo>
                <a:lnTo>
                  <a:pt x="2129" y="46"/>
                </a:lnTo>
                <a:lnTo>
                  <a:pt x="2231" y="18"/>
                </a:lnTo>
                <a:lnTo>
                  <a:pt x="2350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7"/>
                </a:lnTo>
                <a:lnTo>
                  <a:pt x="2636" y="64"/>
                </a:lnTo>
                <a:lnTo>
                  <a:pt x="2691" y="101"/>
                </a:lnTo>
                <a:lnTo>
                  <a:pt x="2747" y="137"/>
                </a:lnTo>
                <a:lnTo>
                  <a:pt x="2793" y="174"/>
                </a:lnTo>
                <a:lnTo>
                  <a:pt x="2857" y="219"/>
                </a:lnTo>
                <a:lnTo>
                  <a:pt x="2903" y="265"/>
                </a:lnTo>
                <a:lnTo>
                  <a:pt x="2950" y="302"/>
                </a:lnTo>
                <a:lnTo>
                  <a:pt x="3005" y="329"/>
                </a:lnTo>
                <a:lnTo>
                  <a:pt x="3060" y="366"/>
                </a:lnTo>
                <a:lnTo>
                  <a:pt x="3125" y="393"/>
                </a:lnTo>
                <a:lnTo>
                  <a:pt x="3189" y="420"/>
                </a:lnTo>
                <a:lnTo>
                  <a:pt x="3254" y="439"/>
                </a:lnTo>
                <a:lnTo>
                  <a:pt x="3337" y="439"/>
                </a:lnTo>
                <a:lnTo>
                  <a:pt x="3410" y="430"/>
                </a:lnTo>
                <a:lnTo>
                  <a:pt x="3466" y="411"/>
                </a:lnTo>
                <a:lnTo>
                  <a:pt x="3530" y="393"/>
                </a:lnTo>
                <a:lnTo>
                  <a:pt x="3595" y="366"/>
                </a:lnTo>
                <a:lnTo>
                  <a:pt x="3641" y="329"/>
                </a:lnTo>
                <a:lnTo>
                  <a:pt x="3687" y="292"/>
                </a:lnTo>
                <a:lnTo>
                  <a:pt x="3733" y="256"/>
                </a:lnTo>
                <a:lnTo>
                  <a:pt x="3788" y="219"/>
                </a:lnTo>
                <a:lnTo>
                  <a:pt x="3834" y="183"/>
                </a:lnTo>
                <a:lnTo>
                  <a:pt x="3881" y="146"/>
                </a:lnTo>
                <a:lnTo>
                  <a:pt x="3936" y="110"/>
                </a:lnTo>
                <a:lnTo>
                  <a:pt x="3991" y="82"/>
                </a:lnTo>
                <a:lnTo>
                  <a:pt x="4056" y="46"/>
                </a:lnTo>
                <a:lnTo>
                  <a:pt x="4120" y="27"/>
                </a:lnTo>
                <a:lnTo>
                  <a:pt x="4194" y="18"/>
                </a:lnTo>
                <a:lnTo>
                  <a:pt x="4277" y="18"/>
                </a:lnTo>
                <a:lnTo>
                  <a:pt x="4351" y="18"/>
                </a:lnTo>
                <a:lnTo>
                  <a:pt x="4424" y="37"/>
                </a:lnTo>
                <a:lnTo>
                  <a:pt x="4480" y="55"/>
                </a:lnTo>
                <a:lnTo>
                  <a:pt x="4535" y="91"/>
                </a:lnTo>
                <a:lnTo>
                  <a:pt x="4581" y="128"/>
                </a:lnTo>
                <a:lnTo>
                  <a:pt x="4636" y="174"/>
                </a:lnTo>
                <a:lnTo>
                  <a:pt x="4682" y="210"/>
                </a:lnTo>
                <a:lnTo>
                  <a:pt x="4729" y="265"/>
                </a:lnTo>
                <a:lnTo>
                  <a:pt x="4765" y="302"/>
                </a:lnTo>
                <a:lnTo>
                  <a:pt x="4821" y="347"/>
                </a:lnTo>
                <a:lnTo>
                  <a:pt x="4867" y="375"/>
                </a:lnTo>
                <a:lnTo>
                  <a:pt x="4931" y="411"/>
                </a:lnTo>
                <a:lnTo>
                  <a:pt x="4987" y="439"/>
                </a:lnTo>
                <a:lnTo>
                  <a:pt x="5070" y="466"/>
                </a:lnTo>
                <a:lnTo>
                  <a:pt x="5153" y="475"/>
                </a:lnTo>
                <a:lnTo>
                  <a:pt x="5254" y="475"/>
                </a:lnTo>
                <a:lnTo>
                  <a:pt x="5272" y="978"/>
                </a:lnTo>
                <a:lnTo>
                  <a:pt x="3115" y="1408"/>
                </a:lnTo>
                <a:lnTo>
                  <a:pt x="0" y="1389"/>
                </a:lnTo>
                <a:lnTo>
                  <a:pt x="46" y="283"/>
                </a:lnTo>
                <a:lnTo>
                  <a:pt x="442" y="101"/>
                </a:lnTo>
                <a:close/>
              </a:path>
            </a:pathLst>
          </a:custGeom>
          <a:solidFill>
            <a:srgbClr val="FFCC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" name="Freeform 72">
            <a:extLst>
              <a:ext uri="{FF2B5EF4-FFF2-40B4-BE49-F238E27FC236}">
                <a16:creationId xmlns="" xmlns:a16="http://schemas.microsoft.com/office/drawing/2014/main" id="{00000000-0008-0000-0300-00000B000000}"/>
              </a:ext>
            </a:extLst>
          </xdr:cNvPr>
          <xdr:cNvSpPr>
            <a:spLocks/>
          </xdr:cNvSpPr>
        </xdr:nvSpPr>
        <xdr:spPr bwMode="auto">
          <a:xfrm>
            <a:off x="342685" y="107011"/>
            <a:ext cx="421679" cy="98088"/>
          </a:xfrm>
          <a:custGeom>
            <a:avLst/>
            <a:gdLst>
              <a:gd name="T0" fmla="*/ 452 w 5263"/>
              <a:gd name="T1" fmla="*/ 83 h 1225"/>
              <a:gd name="T2" fmla="*/ 507 w 5263"/>
              <a:gd name="T3" fmla="*/ 73 h 1225"/>
              <a:gd name="T4" fmla="*/ 581 w 5263"/>
              <a:gd name="T5" fmla="*/ 73 h 1225"/>
              <a:gd name="T6" fmla="*/ 664 w 5263"/>
              <a:gd name="T7" fmla="*/ 73 h 1225"/>
              <a:gd name="T8" fmla="*/ 756 w 5263"/>
              <a:gd name="T9" fmla="*/ 92 h 1225"/>
              <a:gd name="T10" fmla="*/ 866 w 5263"/>
              <a:gd name="T11" fmla="*/ 128 h 1225"/>
              <a:gd name="T12" fmla="*/ 977 w 5263"/>
              <a:gd name="T13" fmla="*/ 183 h 1225"/>
              <a:gd name="T14" fmla="*/ 1152 w 5263"/>
              <a:gd name="T15" fmla="*/ 293 h 1225"/>
              <a:gd name="T16" fmla="*/ 1364 w 5263"/>
              <a:gd name="T17" fmla="*/ 384 h 1225"/>
              <a:gd name="T18" fmla="*/ 1521 w 5263"/>
              <a:gd name="T19" fmla="*/ 393 h 1225"/>
              <a:gd name="T20" fmla="*/ 1650 w 5263"/>
              <a:gd name="T21" fmla="*/ 338 h 1225"/>
              <a:gd name="T22" fmla="*/ 1770 w 5263"/>
              <a:gd name="T23" fmla="*/ 256 h 1225"/>
              <a:gd name="T24" fmla="*/ 1890 w 5263"/>
              <a:gd name="T25" fmla="*/ 156 h 1225"/>
              <a:gd name="T26" fmla="*/ 2037 w 5263"/>
              <a:gd name="T27" fmla="*/ 64 h 1225"/>
              <a:gd name="T28" fmla="*/ 2222 w 5263"/>
              <a:gd name="T29" fmla="*/ 9 h 1225"/>
              <a:gd name="T30" fmla="*/ 2415 w 5263"/>
              <a:gd name="T31" fmla="*/ 0 h 1225"/>
              <a:gd name="T32" fmla="*/ 2563 w 5263"/>
              <a:gd name="T33" fmla="*/ 28 h 1225"/>
              <a:gd name="T34" fmla="*/ 2682 w 5263"/>
              <a:gd name="T35" fmla="*/ 83 h 1225"/>
              <a:gd name="T36" fmla="*/ 2793 w 5263"/>
              <a:gd name="T37" fmla="*/ 156 h 1225"/>
              <a:gd name="T38" fmla="*/ 2894 w 5263"/>
              <a:gd name="T39" fmla="*/ 220 h 1225"/>
              <a:gd name="T40" fmla="*/ 3005 w 5263"/>
              <a:gd name="T41" fmla="*/ 293 h 1225"/>
              <a:gd name="T42" fmla="*/ 3116 w 5263"/>
              <a:gd name="T43" fmla="*/ 338 h 1225"/>
              <a:gd name="T44" fmla="*/ 3245 w 5263"/>
              <a:gd name="T45" fmla="*/ 375 h 1225"/>
              <a:gd name="T46" fmla="*/ 3401 w 5263"/>
              <a:gd name="T47" fmla="*/ 375 h 1225"/>
              <a:gd name="T48" fmla="*/ 3530 w 5263"/>
              <a:gd name="T49" fmla="*/ 338 h 1225"/>
              <a:gd name="T50" fmla="*/ 3632 w 5263"/>
              <a:gd name="T51" fmla="*/ 293 h 1225"/>
              <a:gd name="T52" fmla="*/ 3733 w 5263"/>
              <a:gd name="T53" fmla="*/ 220 h 1225"/>
              <a:gd name="T54" fmla="*/ 3825 w 5263"/>
              <a:gd name="T55" fmla="*/ 156 h 1225"/>
              <a:gd name="T56" fmla="*/ 3927 w 5263"/>
              <a:gd name="T57" fmla="*/ 92 h 1225"/>
              <a:gd name="T58" fmla="*/ 4047 w 5263"/>
              <a:gd name="T59" fmla="*/ 37 h 1225"/>
              <a:gd name="T60" fmla="*/ 4185 w 5263"/>
              <a:gd name="T61" fmla="*/ 9 h 1225"/>
              <a:gd name="T62" fmla="*/ 4342 w 5263"/>
              <a:gd name="T63" fmla="*/ 19 h 1225"/>
              <a:gd name="T64" fmla="*/ 4471 w 5263"/>
              <a:gd name="T65" fmla="*/ 46 h 1225"/>
              <a:gd name="T66" fmla="*/ 4572 w 5263"/>
              <a:gd name="T67" fmla="*/ 110 h 1225"/>
              <a:gd name="T68" fmla="*/ 4673 w 5263"/>
              <a:gd name="T69" fmla="*/ 183 h 1225"/>
              <a:gd name="T70" fmla="*/ 4756 w 5263"/>
              <a:gd name="T71" fmla="*/ 256 h 1225"/>
              <a:gd name="T72" fmla="*/ 4858 w 5263"/>
              <a:gd name="T73" fmla="*/ 329 h 1225"/>
              <a:gd name="T74" fmla="*/ 4978 w 5263"/>
              <a:gd name="T75" fmla="*/ 375 h 1225"/>
              <a:gd name="T76" fmla="*/ 5144 w 5263"/>
              <a:gd name="T77" fmla="*/ 402 h 1225"/>
              <a:gd name="T78" fmla="*/ 5263 w 5263"/>
              <a:gd name="T79" fmla="*/ 841 h 1225"/>
              <a:gd name="T80" fmla="*/ 0 w 5263"/>
              <a:gd name="T81" fmla="*/ 1198 h 1225"/>
              <a:gd name="T82" fmla="*/ 442 w 5263"/>
              <a:gd name="T83" fmla="*/ 92 h 12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225">
                <a:moveTo>
                  <a:pt x="442" y="92"/>
                </a:moveTo>
                <a:lnTo>
                  <a:pt x="452" y="83"/>
                </a:lnTo>
                <a:lnTo>
                  <a:pt x="489" y="73"/>
                </a:lnTo>
                <a:lnTo>
                  <a:pt x="507" y="73"/>
                </a:lnTo>
                <a:lnTo>
                  <a:pt x="544" y="73"/>
                </a:lnTo>
                <a:lnTo>
                  <a:pt x="581" y="73"/>
                </a:lnTo>
                <a:lnTo>
                  <a:pt x="627" y="73"/>
                </a:lnTo>
                <a:lnTo>
                  <a:pt x="664" y="73"/>
                </a:lnTo>
                <a:lnTo>
                  <a:pt x="710" y="83"/>
                </a:lnTo>
                <a:lnTo>
                  <a:pt x="756" y="92"/>
                </a:lnTo>
                <a:lnTo>
                  <a:pt x="811" y="119"/>
                </a:lnTo>
                <a:lnTo>
                  <a:pt x="866" y="128"/>
                </a:lnTo>
                <a:lnTo>
                  <a:pt x="913" y="156"/>
                </a:lnTo>
                <a:lnTo>
                  <a:pt x="977" y="183"/>
                </a:lnTo>
                <a:lnTo>
                  <a:pt x="1032" y="220"/>
                </a:lnTo>
                <a:lnTo>
                  <a:pt x="1152" y="293"/>
                </a:lnTo>
                <a:lnTo>
                  <a:pt x="1263" y="357"/>
                </a:lnTo>
                <a:lnTo>
                  <a:pt x="1364" y="384"/>
                </a:lnTo>
                <a:lnTo>
                  <a:pt x="1447" y="393"/>
                </a:lnTo>
                <a:lnTo>
                  <a:pt x="1521" y="393"/>
                </a:lnTo>
                <a:lnTo>
                  <a:pt x="1585" y="375"/>
                </a:lnTo>
                <a:lnTo>
                  <a:pt x="1650" y="338"/>
                </a:lnTo>
                <a:lnTo>
                  <a:pt x="1715" y="311"/>
                </a:lnTo>
                <a:lnTo>
                  <a:pt x="1770" y="256"/>
                </a:lnTo>
                <a:lnTo>
                  <a:pt x="1825" y="210"/>
                </a:lnTo>
                <a:lnTo>
                  <a:pt x="1890" y="156"/>
                </a:lnTo>
                <a:lnTo>
                  <a:pt x="1963" y="119"/>
                </a:lnTo>
                <a:lnTo>
                  <a:pt x="2037" y="64"/>
                </a:lnTo>
                <a:lnTo>
                  <a:pt x="2129" y="28"/>
                </a:lnTo>
                <a:lnTo>
                  <a:pt x="2222" y="9"/>
                </a:lnTo>
                <a:lnTo>
                  <a:pt x="2341" y="9"/>
                </a:lnTo>
                <a:lnTo>
                  <a:pt x="2415" y="0"/>
                </a:lnTo>
                <a:lnTo>
                  <a:pt x="2498" y="9"/>
                </a:lnTo>
                <a:lnTo>
                  <a:pt x="2563" y="28"/>
                </a:lnTo>
                <a:lnTo>
                  <a:pt x="2636" y="55"/>
                </a:lnTo>
                <a:lnTo>
                  <a:pt x="2682" y="83"/>
                </a:lnTo>
                <a:lnTo>
                  <a:pt x="2738" y="119"/>
                </a:lnTo>
                <a:lnTo>
                  <a:pt x="2793" y="156"/>
                </a:lnTo>
                <a:lnTo>
                  <a:pt x="2848" y="192"/>
                </a:lnTo>
                <a:lnTo>
                  <a:pt x="2894" y="220"/>
                </a:lnTo>
                <a:lnTo>
                  <a:pt x="2950" y="256"/>
                </a:lnTo>
                <a:lnTo>
                  <a:pt x="3005" y="293"/>
                </a:lnTo>
                <a:lnTo>
                  <a:pt x="3060" y="320"/>
                </a:lnTo>
                <a:lnTo>
                  <a:pt x="3116" y="338"/>
                </a:lnTo>
                <a:lnTo>
                  <a:pt x="3180" y="366"/>
                </a:lnTo>
                <a:lnTo>
                  <a:pt x="3245" y="375"/>
                </a:lnTo>
                <a:lnTo>
                  <a:pt x="3328" y="384"/>
                </a:lnTo>
                <a:lnTo>
                  <a:pt x="3401" y="375"/>
                </a:lnTo>
                <a:lnTo>
                  <a:pt x="3466" y="357"/>
                </a:lnTo>
                <a:lnTo>
                  <a:pt x="3530" y="338"/>
                </a:lnTo>
                <a:lnTo>
                  <a:pt x="3586" y="320"/>
                </a:lnTo>
                <a:lnTo>
                  <a:pt x="3632" y="293"/>
                </a:lnTo>
                <a:lnTo>
                  <a:pt x="3687" y="256"/>
                </a:lnTo>
                <a:lnTo>
                  <a:pt x="3733" y="220"/>
                </a:lnTo>
                <a:lnTo>
                  <a:pt x="3789" y="192"/>
                </a:lnTo>
                <a:lnTo>
                  <a:pt x="3825" y="156"/>
                </a:lnTo>
                <a:lnTo>
                  <a:pt x="3872" y="119"/>
                </a:lnTo>
                <a:lnTo>
                  <a:pt x="3927" y="92"/>
                </a:lnTo>
                <a:lnTo>
                  <a:pt x="3982" y="64"/>
                </a:lnTo>
                <a:lnTo>
                  <a:pt x="4047" y="37"/>
                </a:lnTo>
                <a:lnTo>
                  <a:pt x="4111" y="28"/>
                </a:lnTo>
                <a:lnTo>
                  <a:pt x="4185" y="9"/>
                </a:lnTo>
                <a:lnTo>
                  <a:pt x="4268" y="19"/>
                </a:lnTo>
                <a:lnTo>
                  <a:pt x="4342" y="19"/>
                </a:lnTo>
                <a:lnTo>
                  <a:pt x="4415" y="28"/>
                </a:lnTo>
                <a:lnTo>
                  <a:pt x="4471" y="46"/>
                </a:lnTo>
                <a:lnTo>
                  <a:pt x="4526" y="83"/>
                </a:lnTo>
                <a:lnTo>
                  <a:pt x="4572" y="110"/>
                </a:lnTo>
                <a:lnTo>
                  <a:pt x="4627" y="146"/>
                </a:lnTo>
                <a:lnTo>
                  <a:pt x="4673" y="183"/>
                </a:lnTo>
                <a:lnTo>
                  <a:pt x="4720" y="220"/>
                </a:lnTo>
                <a:lnTo>
                  <a:pt x="4756" y="256"/>
                </a:lnTo>
                <a:lnTo>
                  <a:pt x="4812" y="293"/>
                </a:lnTo>
                <a:lnTo>
                  <a:pt x="4858" y="329"/>
                </a:lnTo>
                <a:lnTo>
                  <a:pt x="4922" y="357"/>
                </a:lnTo>
                <a:lnTo>
                  <a:pt x="4978" y="375"/>
                </a:lnTo>
                <a:lnTo>
                  <a:pt x="5061" y="393"/>
                </a:lnTo>
                <a:lnTo>
                  <a:pt x="5144" y="402"/>
                </a:lnTo>
                <a:lnTo>
                  <a:pt x="5245" y="412"/>
                </a:lnTo>
                <a:lnTo>
                  <a:pt x="5263" y="841"/>
                </a:lnTo>
                <a:lnTo>
                  <a:pt x="3106" y="1225"/>
                </a:lnTo>
                <a:lnTo>
                  <a:pt x="0" y="1198"/>
                </a:lnTo>
                <a:lnTo>
                  <a:pt x="46" y="247"/>
                </a:lnTo>
                <a:lnTo>
                  <a:pt x="442" y="92"/>
                </a:lnTo>
                <a:close/>
              </a:path>
            </a:pathLst>
          </a:custGeom>
          <a:solidFill>
            <a:srgbClr val="DBE8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2" name="Freeform 73">
            <a:extLst>
              <a:ext uri="{FF2B5EF4-FFF2-40B4-BE49-F238E27FC236}">
                <a16:creationId xmlns="" xmlns:a16="http://schemas.microsoft.com/office/drawing/2014/main" id="{00000000-0008-0000-0300-00000C000000}"/>
              </a:ext>
            </a:extLst>
          </xdr:cNvPr>
          <xdr:cNvSpPr>
            <a:spLocks/>
          </xdr:cNvSpPr>
        </xdr:nvSpPr>
        <xdr:spPr bwMode="auto">
          <a:xfrm>
            <a:off x="345838" y="123844"/>
            <a:ext cx="422512" cy="83396"/>
          </a:xfrm>
          <a:custGeom>
            <a:avLst/>
            <a:gdLst>
              <a:gd name="T0" fmla="*/ 452 w 5273"/>
              <a:gd name="T1" fmla="*/ 73 h 1042"/>
              <a:gd name="T2" fmla="*/ 507 w 5273"/>
              <a:gd name="T3" fmla="*/ 64 h 1042"/>
              <a:gd name="T4" fmla="*/ 590 w 5273"/>
              <a:gd name="T5" fmla="*/ 64 h 1042"/>
              <a:gd name="T6" fmla="*/ 673 w 5273"/>
              <a:gd name="T7" fmla="*/ 73 h 1042"/>
              <a:gd name="T8" fmla="*/ 765 w 5273"/>
              <a:gd name="T9" fmla="*/ 83 h 1042"/>
              <a:gd name="T10" fmla="*/ 866 w 5273"/>
              <a:gd name="T11" fmla="*/ 119 h 1042"/>
              <a:gd name="T12" fmla="*/ 977 w 5273"/>
              <a:gd name="T13" fmla="*/ 156 h 1042"/>
              <a:gd name="T14" fmla="*/ 1152 w 5273"/>
              <a:gd name="T15" fmla="*/ 256 h 1042"/>
              <a:gd name="T16" fmla="*/ 1364 w 5273"/>
              <a:gd name="T17" fmla="*/ 329 h 1042"/>
              <a:gd name="T18" fmla="*/ 1521 w 5273"/>
              <a:gd name="T19" fmla="*/ 339 h 1042"/>
              <a:gd name="T20" fmla="*/ 1650 w 5273"/>
              <a:gd name="T21" fmla="*/ 302 h 1042"/>
              <a:gd name="T22" fmla="*/ 1770 w 5273"/>
              <a:gd name="T23" fmla="*/ 220 h 1042"/>
              <a:gd name="T24" fmla="*/ 1899 w 5273"/>
              <a:gd name="T25" fmla="*/ 137 h 1042"/>
              <a:gd name="T26" fmla="*/ 2037 w 5273"/>
              <a:gd name="T27" fmla="*/ 64 h 1042"/>
              <a:gd name="T28" fmla="*/ 2222 w 5273"/>
              <a:gd name="T29" fmla="*/ 9 h 1042"/>
              <a:gd name="T30" fmla="*/ 2415 w 5273"/>
              <a:gd name="T31" fmla="*/ 0 h 1042"/>
              <a:gd name="T32" fmla="*/ 2563 w 5273"/>
              <a:gd name="T33" fmla="*/ 28 h 1042"/>
              <a:gd name="T34" fmla="*/ 2682 w 5273"/>
              <a:gd name="T35" fmla="*/ 73 h 1042"/>
              <a:gd name="T36" fmla="*/ 2793 w 5273"/>
              <a:gd name="T37" fmla="*/ 128 h 1042"/>
              <a:gd name="T38" fmla="*/ 2894 w 5273"/>
              <a:gd name="T39" fmla="*/ 192 h 1042"/>
              <a:gd name="T40" fmla="*/ 3005 w 5273"/>
              <a:gd name="T41" fmla="*/ 247 h 1042"/>
              <a:gd name="T42" fmla="*/ 3116 w 5273"/>
              <a:gd name="T43" fmla="*/ 293 h 1042"/>
              <a:gd name="T44" fmla="*/ 3245 w 5273"/>
              <a:gd name="T45" fmla="*/ 329 h 1042"/>
              <a:gd name="T46" fmla="*/ 3401 w 5273"/>
              <a:gd name="T47" fmla="*/ 320 h 1042"/>
              <a:gd name="T48" fmla="*/ 3530 w 5273"/>
              <a:gd name="T49" fmla="*/ 293 h 1042"/>
              <a:gd name="T50" fmla="*/ 3632 w 5273"/>
              <a:gd name="T51" fmla="*/ 247 h 1042"/>
              <a:gd name="T52" fmla="*/ 3733 w 5273"/>
              <a:gd name="T53" fmla="*/ 192 h 1042"/>
              <a:gd name="T54" fmla="*/ 3825 w 5273"/>
              <a:gd name="T55" fmla="*/ 137 h 1042"/>
              <a:gd name="T56" fmla="*/ 3927 w 5273"/>
              <a:gd name="T57" fmla="*/ 83 h 1042"/>
              <a:gd name="T58" fmla="*/ 4047 w 5273"/>
              <a:gd name="T59" fmla="*/ 46 h 1042"/>
              <a:gd name="T60" fmla="*/ 4185 w 5273"/>
              <a:gd name="T61" fmla="*/ 19 h 1042"/>
              <a:gd name="T62" fmla="*/ 4351 w 5273"/>
              <a:gd name="T63" fmla="*/ 19 h 1042"/>
              <a:gd name="T64" fmla="*/ 4480 w 5273"/>
              <a:gd name="T65" fmla="*/ 46 h 1042"/>
              <a:gd name="T66" fmla="*/ 4581 w 5273"/>
              <a:gd name="T67" fmla="*/ 92 h 1042"/>
              <a:gd name="T68" fmla="*/ 4683 w 5273"/>
              <a:gd name="T69" fmla="*/ 156 h 1042"/>
              <a:gd name="T70" fmla="*/ 4766 w 5273"/>
              <a:gd name="T71" fmla="*/ 220 h 1042"/>
              <a:gd name="T72" fmla="*/ 4858 w 5273"/>
              <a:gd name="T73" fmla="*/ 284 h 1042"/>
              <a:gd name="T74" fmla="*/ 4987 w 5273"/>
              <a:gd name="T75" fmla="*/ 320 h 1042"/>
              <a:gd name="T76" fmla="*/ 5153 w 5273"/>
              <a:gd name="T77" fmla="*/ 348 h 1042"/>
              <a:gd name="T78" fmla="*/ 5273 w 5273"/>
              <a:gd name="T79" fmla="*/ 713 h 1042"/>
              <a:gd name="T80" fmla="*/ 0 w 5273"/>
              <a:gd name="T81" fmla="*/ 1015 h 1042"/>
              <a:gd name="T82" fmla="*/ 442 w 5273"/>
              <a:gd name="T83" fmla="*/ 83 h 10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1042">
                <a:moveTo>
                  <a:pt x="442" y="83"/>
                </a:moveTo>
                <a:lnTo>
                  <a:pt x="452" y="73"/>
                </a:lnTo>
                <a:lnTo>
                  <a:pt x="489" y="73"/>
                </a:lnTo>
                <a:lnTo>
                  <a:pt x="507" y="64"/>
                </a:lnTo>
                <a:lnTo>
                  <a:pt x="544" y="64"/>
                </a:lnTo>
                <a:lnTo>
                  <a:pt x="590" y="64"/>
                </a:lnTo>
                <a:lnTo>
                  <a:pt x="627" y="73"/>
                </a:lnTo>
                <a:lnTo>
                  <a:pt x="673" y="73"/>
                </a:lnTo>
                <a:lnTo>
                  <a:pt x="719" y="83"/>
                </a:lnTo>
                <a:lnTo>
                  <a:pt x="765" y="83"/>
                </a:lnTo>
                <a:lnTo>
                  <a:pt x="820" y="110"/>
                </a:lnTo>
                <a:lnTo>
                  <a:pt x="866" y="119"/>
                </a:lnTo>
                <a:lnTo>
                  <a:pt x="922" y="137"/>
                </a:lnTo>
                <a:lnTo>
                  <a:pt x="977" y="156"/>
                </a:lnTo>
                <a:lnTo>
                  <a:pt x="1032" y="192"/>
                </a:lnTo>
                <a:lnTo>
                  <a:pt x="1152" y="256"/>
                </a:lnTo>
                <a:lnTo>
                  <a:pt x="1263" y="302"/>
                </a:lnTo>
                <a:lnTo>
                  <a:pt x="1364" y="329"/>
                </a:lnTo>
                <a:lnTo>
                  <a:pt x="1456" y="348"/>
                </a:lnTo>
                <a:lnTo>
                  <a:pt x="1521" y="339"/>
                </a:lnTo>
                <a:lnTo>
                  <a:pt x="1595" y="329"/>
                </a:lnTo>
                <a:lnTo>
                  <a:pt x="1650" y="302"/>
                </a:lnTo>
                <a:lnTo>
                  <a:pt x="1724" y="265"/>
                </a:lnTo>
                <a:lnTo>
                  <a:pt x="1770" y="220"/>
                </a:lnTo>
                <a:lnTo>
                  <a:pt x="1825" y="183"/>
                </a:lnTo>
                <a:lnTo>
                  <a:pt x="1899" y="137"/>
                </a:lnTo>
                <a:lnTo>
                  <a:pt x="1963" y="101"/>
                </a:lnTo>
                <a:lnTo>
                  <a:pt x="2037" y="64"/>
                </a:lnTo>
                <a:lnTo>
                  <a:pt x="2129" y="37"/>
                </a:lnTo>
                <a:lnTo>
                  <a:pt x="2222" y="9"/>
                </a:lnTo>
                <a:lnTo>
                  <a:pt x="2351" y="9"/>
                </a:lnTo>
                <a:lnTo>
                  <a:pt x="2415" y="0"/>
                </a:lnTo>
                <a:lnTo>
                  <a:pt x="2498" y="19"/>
                </a:lnTo>
                <a:lnTo>
                  <a:pt x="2563" y="28"/>
                </a:lnTo>
                <a:lnTo>
                  <a:pt x="2636" y="55"/>
                </a:lnTo>
                <a:lnTo>
                  <a:pt x="2682" y="73"/>
                </a:lnTo>
                <a:lnTo>
                  <a:pt x="2738" y="110"/>
                </a:lnTo>
                <a:lnTo>
                  <a:pt x="2793" y="128"/>
                </a:lnTo>
                <a:lnTo>
                  <a:pt x="2848" y="174"/>
                </a:lnTo>
                <a:lnTo>
                  <a:pt x="2894" y="192"/>
                </a:lnTo>
                <a:lnTo>
                  <a:pt x="2950" y="220"/>
                </a:lnTo>
                <a:lnTo>
                  <a:pt x="3005" y="247"/>
                </a:lnTo>
                <a:lnTo>
                  <a:pt x="3060" y="284"/>
                </a:lnTo>
                <a:lnTo>
                  <a:pt x="3116" y="293"/>
                </a:lnTo>
                <a:lnTo>
                  <a:pt x="3180" y="311"/>
                </a:lnTo>
                <a:lnTo>
                  <a:pt x="3245" y="329"/>
                </a:lnTo>
                <a:lnTo>
                  <a:pt x="3328" y="329"/>
                </a:lnTo>
                <a:lnTo>
                  <a:pt x="3401" y="320"/>
                </a:lnTo>
                <a:lnTo>
                  <a:pt x="3466" y="311"/>
                </a:lnTo>
                <a:lnTo>
                  <a:pt x="3530" y="293"/>
                </a:lnTo>
                <a:lnTo>
                  <a:pt x="3595" y="275"/>
                </a:lnTo>
                <a:lnTo>
                  <a:pt x="3632" y="247"/>
                </a:lnTo>
                <a:lnTo>
                  <a:pt x="3687" y="220"/>
                </a:lnTo>
                <a:lnTo>
                  <a:pt x="3733" y="192"/>
                </a:lnTo>
                <a:lnTo>
                  <a:pt x="3789" y="174"/>
                </a:lnTo>
                <a:lnTo>
                  <a:pt x="3825" y="137"/>
                </a:lnTo>
                <a:lnTo>
                  <a:pt x="3872" y="110"/>
                </a:lnTo>
                <a:lnTo>
                  <a:pt x="3927" y="83"/>
                </a:lnTo>
                <a:lnTo>
                  <a:pt x="3982" y="64"/>
                </a:lnTo>
                <a:lnTo>
                  <a:pt x="4047" y="46"/>
                </a:lnTo>
                <a:lnTo>
                  <a:pt x="4111" y="28"/>
                </a:lnTo>
                <a:lnTo>
                  <a:pt x="4185" y="19"/>
                </a:lnTo>
                <a:lnTo>
                  <a:pt x="4268" y="19"/>
                </a:lnTo>
                <a:lnTo>
                  <a:pt x="4351" y="19"/>
                </a:lnTo>
                <a:lnTo>
                  <a:pt x="4415" y="37"/>
                </a:lnTo>
                <a:lnTo>
                  <a:pt x="4480" y="46"/>
                </a:lnTo>
                <a:lnTo>
                  <a:pt x="4535" y="73"/>
                </a:lnTo>
                <a:lnTo>
                  <a:pt x="4581" y="92"/>
                </a:lnTo>
                <a:lnTo>
                  <a:pt x="4637" y="128"/>
                </a:lnTo>
                <a:lnTo>
                  <a:pt x="4683" y="156"/>
                </a:lnTo>
                <a:lnTo>
                  <a:pt x="4729" y="192"/>
                </a:lnTo>
                <a:lnTo>
                  <a:pt x="4766" y="220"/>
                </a:lnTo>
                <a:lnTo>
                  <a:pt x="4812" y="256"/>
                </a:lnTo>
                <a:lnTo>
                  <a:pt x="4858" y="284"/>
                </a:lnTo>
                <a:lnTo>
                  <a:pt x="4922" y="302"/>
                </a:lnTo>
                <a:lnTo>
                  <a:pt x="4987" y="320"/>
                </a:lnTo>
                <a:lnTo>
                  <a:pt x="5070" y="339"/>
                </a:lnTo>
                <a:lnTo>
                  <a:pt x="5153" y="348"/>
                </a:lnTo>
                <a:lnTo>
                  <a:pt x="5254" y="357"/>
                </a:lnTo>
                <a:lnTo>
                  <a:pt x="5273" y="713"/>
                </a:lnTo>
                <a:lnTo>
                  <a:pt x="3116" y="1042"/>
                </a:lnTo>
                <a:lnTo>
                  <a:pt x="0" y="1015"/>
                </a:lnTo>
                <a:lnTo>
                  <a:pt x="46" y="211"/>
                </a:lnTo>
                <a:lnTo>
                  <a:pt x="442" y="83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3" name="Freeform 74">
            <a:extLst>
              <a:ext uri="{FF2B5EF4-FFF2-40B4-BE49-F238E27FC236}">
                <a16:creationId xmlns="" xmlns:a16="http://schemas.microsoft.com/office/drawing/2014/main" id="{00000000-0008-0000-0300-00000D000000}"/>
              </a:ext>
            </a:extLst>
          </xdr:cNvPr>
          <xdr:cNvSpPr>
            <a:spLocks/>
          </xdr:cNvSpPr>
        </xdr:nvSpPr>
        <xdr:spPr bwMode="auto">
          <a:xfrm>
            <a:off x="341317" y="133183"/>
            <a:ext cx="422453" cy="67335"/>
          </a:xfrm>
          <a:custGeom>
            <a:avLst/>
            <a:gdLst>
              <a:gd name="T0" fmla="*/ 461 w 5273"/>
              <a:gd name="T1" fmla="*/ 45 h 841"/>
              <a:gd name="T2" fmla="*/ 516 w 5273"/>
              <a:gd name="T3" fmla="*/ 36 h 841"/>
              <a:gd name="T4" fmla="*/ 590 w 5273"/>
              <a:gd name="T5" fmla="*/ 36 h 841"/>
              <a:gd name="T6" fmla="*/ 673 w 5273"/>
              <a:gd name="T7" fmla="*/ 45 h 841"/>
              <a:gd name="T8" fmla="*/ 765 w 5273"/>
              <a:gd name="T9" fmla="*/ 55 h 841"/>
              <a:gd name="T10" fmla="*/ 866 w 5273"/>
              <a:gd name="T11" fmla="*/ 82 h 841"/>
              <a:gd name="T12" fmla="*/ 977 w 5273"/>
              <a:gd name="T13" fmla="*/ 119 h 841"/>
              <a:gd name="T14" fmla="*/ 1161 w 5273"/>
              <a:gd name="T15" fmla="*/ 201 h 841"/>
              <a:gd name="T16" fmla="*/ 1373 w 5273"/>
              <a:gd name="T17" fmla="*/ 256 h 841"/>
              <a:gd name="T18" fmla="*/ 1521 w 5273"/>
              <a:gd name="T19" fmla="*/ 265 h 841"/>
              <a:gd name="T20" fmla="*/ 1650 w 5273"/>
              <a:gd name="T21" fmla="*/ 228 h 841"/>
              <a:gd name="T22" fmla="*/ 1779 w 5273"/>
              <a:gd name="T23" fmla="*/ 173 h 841"/>
              <a:gd name="T24" fmla="*/ 1899 w 5273"/>
              <a:gd name="T25" fmla="*/ 100 h 841"/>
              <a:gd name="T26" fmla="*/ 2046 w 5273"/>
              <a:gd name="T27" fmla="*/ 36 h 841"/>
              <a:gd name="T28" fmla="*/ 2231 w 5273"/>
              <a:gd name="T29" fmla="*/ 0 h 841"/>
              <a:gd name="T30" fmla="*/ 2424 w 5273"/>
              <a:gd name="T31" fmla="*/ 0 h 841"/>
              <a:gd name="T32" fmla="*/ 2572 w 5273"/>
              <a:gd name="T33" fmla="*/ 18 h 841"/>
              <a:gd name="T34" fmla="*/ 2692 w 5273"/>
              <a:gd name="T35" fmla="*/ 55 h 841"/>
              <a:gd name="T36" fmla="*/ 2802 w 5273"/>
              <a:gd name="T37" fmla="*/ 100 h 841"/>
              <a:gd name="T38" fmla="*/ 2904 w 5273"/>
              <a:gd name="T39" fmla="*/ 146 h 841"/>
              <a:gd name="T40" fmla="*/ 3005 w 5273"/>
              <a:gd name="T41" fmla="*/ 192 h 841"/>
              <a:gd name="T42" fmla="*/ 3125 w 5273"/>
              <a:gd name="T43" fmla="*/ 228 h 841"/>
              <a:gd name="T44" fmla="*/ 3254 w 5273"/>
              <a:gd name="T45" fmla="*/ 256 h 841"/>
              <a:gd name="T46" fmla="*/ 3411 w 5273"/>
              <a:gd name="T47" fmla="*/ 247 h 841"/>
              <a:gd name="T48" fmla="*/ 3530 w 5273"/>
              <a:gd name="T49" fmla="*/ 219 h 841"/>
              <a:gd name="T50" fmla="*/ 3641 w 5273"/>
              <a:gd name="T51" fmla="*/ 192 h 841"/>
              <a:gd name="T52" fmla="*/ 3742 w 5273"/>
              <a:gd name="T53" fmla="*/ 146 h 841"/>
              <a:gd name="T54" fmla="*/ 3835 w 5273"/>
              <a:gd name="T55" fmla="*/ 100 h 841"/>
              <a:gd name="T56" fmla="*/ 3936 w 5273"/>
              <a:gd name="T57" fmla="*/ 55 h 841"/>
              <a:gd name="T58" fmla="*/ 4047 w 5273"/>
              <a:gd name="T59" fmla="*/ 18 h 841"/>
              <a:gd name="T60" fmla="*/ 4194 w 5273"/>
              <a:gd name="T61" fmla="*/ 0 h 841"/>
              <a:gd name="T62" fmla="*/ 4351 w 5273"/>
              <a:gd name="T63" fmla="*/ 9 h 841"/>
              <a:gd name="T64" fmla="*/ 4480 w 5273"/>
              <a:gd name="T65" fmla="*/ 27 h 841"/>
              <a:gd name="T66" fmla="*/ 4581 w 5273"/>
              <a:gd name="T67" fmla="*/ 64 h 841"/>
              <a:gd name="T68" fmla="*/ 4683 w 5273"/>
              <a:gd name="T69" fmla="*/ 119 h 841"/>
              <a:gd name="T70" fmla="*/ 4766 w 5273"/>
              <a:gd name="T71" fmla="*/ 173 h 841"/>
              <a:gd name="T72" fmla="*/ 4858 w 5273"/>
              <a:gd name="T73" fmla="*/ 210 h 841"/>
              <a:gd name="T74" fmla="*/ 4987 w 5273"/>
              <a:gd name="T75" fmla="*/ 256 h 841"/>
              <a:gd name="T76" fmla="*/ 5153 w 5273"/>
              <a:gd name="T77" fmla="*/ 274 h 841"/>
              <a:gd name="T78" fmla="*/ 5273 w 5273"/>
              <a:gd name="T79" fmla="*/ 585 h 841"/>
              <a:gd name="T80" fmla="*/ 0 w 5273"/>
              <a:gd name="T81" fmla="*/ 822 h 841"/>
              <a:gd name="T82" fmla="*/ 452 w 5273"/>
              <a:gd name="T83" fmla="*/ 55 h 8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841">
                <a:moveTo>
                  <a:pt x="452" y="55"/>
                </a:moveTo>
                <a:lnTo>
                  <a:pt x="461" y="45"/>
                </a:lnTo>
                <a:lnTo>
                  <a:pt x="498" y="45"/>
                </a:lnTo>
                <a:lnTo>
                  <a:pt x="516" y="36"/>
                </a:lnTo>
                <a:lnTo>
                  <a:pt x="553" y="36"/>
                </a:lnTo>
                <a:lnTo>
                  <a:pt x="590" y="36"/>
                </a:lnTo>
                <a:lnTo>
                  <a:pt x="627" y="45"/>
                </a:lnTo>
                <a:lnTo>
                  <a:pt x="673" y="45"/>
                </a:lnTo>
                <a:lnTo>
                  <a:pt x="719" y="45"/>
                </a:lnTo>
                <a:lnTo>
                  <a:pt x="765" y="55"/>
                </a:lnTo>
                <a:lnTo>
                  <a:pt x="820" y="73"/>
                </a:lnTo>
                <a:lnTo>
                  <a:pt x="866" y="82"/>
                </a:lnTo>
                <a:lnTo>
                  <a:pt x="922" y="100"/>
                </a:lnTo>
                <a:lnTo>
                  <a:pt x="977" y="119"/>
                </a:lnTo>
                <a:lnTo>
                  <a:pt x="1042" y="146"/>
                </a:lnTo>
                <a:lnTo>
                  <a:pt x="1161" y="201"/>
                </a:lnTo>
                <a:lnTo>
                  <a:pt x="1272" y="237"/>
                </a:lnTo>
                <a:lnTo>
                  <a:pt x="1373" y="256"/>
                </a:lnTo>
                <a:lnTo>
                  <a:pt x="1456" y="274"/>
                </a:lnTo>
                <a:lnTo>
                  <a:pt x="1521" y="265"/>
                </a:lnTo>
                <a:lnTo>
                  <a:pt x="1595" y="256"/>
                </a:lnTo>
                <a:lnTo>
                  <a:pt x="1650" y="228"/>
                </a:lnTo>
                <a:lnTo>
                  <a:pt x="1724" y="210"/>
                </a:lnTo>
                <a:lnTo>
                  <a:pt x="1779" y="173"/>
                </a:lnTo>
                <a:lnTo>
                  <a:pt x="1834" y="137"/>
                </a:lnTo>
                <a:lnTo>
                  <a:pt x="1899" y="100"/>
                </a:lnTo>
                <a:lnTo>
                  <a:pt x="1973" y="73"/>
                </a:lnTo>
                <a:lnTo>
                  <a:pt x="2046" y="36"/>
                </a:lnTo>
                <a:lnTo>
                  <a:pt x="2129" y="18"/>
                </a:lnTo>
                <a:lnTo>
                  <a:pt x="2231" y="0"/>
                </a:lnTo>
                <a:lnTo>
                  <a:pt x="2351" y="0"/>
                </a:lnTo>
                <a:lnTo>
                  <a:pt x="2424" y="0"/>
                </a:lnTo>
                <a:lnTo>
                  <a:pt x="2507" y="0"/>
                </a:lnTo>
                <a:lnTo>
                  <a:pt x="2572" y="18"/>
                </a:lnTo>
                <a:lnTo>
                  <a:pt x="2636" y="36"/>
                </a:lnTo>
                <a:lnTo>
                  <a:pt x="2692" y="55"/>
                </a:lnTo>
                <a:lnTo>
                  <a:pt x="2747" y="73"/>
                </a:lnTo>
                <a:lnTo>
                  <a:pt x="2802" y="100"/>
                </a:lnTo>
                <a:lnTo>
                  <a:pt x="2858" y="128"/>
                </a:lnTo>
                <a:lnTo>
                  <a:pt x="2904" y="146"/>
                </a:lnTo>
                <a:lnTo>
                  <a:pt x="2959" y="173"/>
                </a:lnTo>
                <a:lnTo>
                  <a:pt x="3005" y="192"/>
                </a:lnTo>
                <a:lnTo>
                  <a:pt x="3070" y="210"/>
                </a:lnTo>
                <a:lnTo>
                  <a:pt x="3125" y="228"/>
                </a:lnTo>
                <a:lnTo>
                  <a:pt x="3189" y="247"/>
                </a:lnTo>
                <a:lnTo>
                  <a:pt x="3254" y="256"/>
                </a:lnTo>
                <a:lnTo>
                  <a:pt x="3337" y="256"/>
                </a:lnTo>
                <a:lnTo>
                  <a:pt x="3411" y="247"/>
                </a:lnTo>
                <a:lnTo>
                  <a:pt x="3475" y="237"/>
                </a:lnTo>
                <a:lnTo>
                  <a:pt x="3530" y="219"/>
                </a:lnTo>
                <a:lnTo>
                  <a:pt x="3595" y="210"/>
                </a:lnTo>
                <a:lnTo>
                  <a:pt x="3641" y="192"/>
                </a:lnTo>
                <a:lnTo>
                  <a:pt x="3696" y="173"/>
                </a:lnTo>
                <a:lnTo>
                  <a:pt x="3742" y="146"/>
                </a:lnTo>
                <a:lnTo>
                  <a:pt x="3789" y="128"/>
                </a:lnTo>
                <a:lnTo>
                  <a:pt x="3835" y="100"/>
                </a:lnTo>
                <a:lnTo>
                  <a:pt x="3881" y="73"/>
                </a:lnTo>
                <a:lnTo>
                  <a:pt x="3936" y="55"/>
                </a:lnTo>
                <a:lnTo>
                  <a:pt x="3991" y="36"/>
                </a:lnTo>
                <a:lnTo>
                  <a:pt x="4047" y="18"/>
                </a:lnTo>
                <a:lnTo>
                  <a:pt x="4120" y="9"/>
                </a:lnTo>
                <a:lnTo>
                  <a:pt x="4194" y="0"/>
                </a:lnTo>
                <a:lnTo>
                  <a:pt x="4277" y="9"/>
                </a:lnTo>
                <a:lnTo>
                  <a:pt x="4351" y="9"/>
                </a:lnTo>
                <a:lnTo>
                  <a:pt x="4415" y="18"/>
                </a:lnTo>
                <a:lnTo>
                  <a:pt x="4480" y="27"/>
                </a:lnTo>
                <a:lnTo>
                  <a:pt x="4535" y="45"/>
                </a:lnTo>
                <a:lnTo>
                  <a:pt x="4581" y="64"/>
                </a:lnTo>
                <a:lnTo>
                  <a:pt x="4637" y="91"/>
                </a:lnTo>
                <a:lnTo>
                  <a:pt x="4683" y="119"/>
                </a:lnTo>
                <a:lnTo>
                  <a:pt x="4729" y="146"/>
                </a:lnTo>
                <a:lnTo>
                  <a:pt x="4766" y="173"/>
                </a:lnTo>
                <a:lnTo>
                  <a:pt x="4812" y="192"/>
                </a:lnTo>
                <a:lnTo>
                  <a:pt x="4858" y="210"/>
                </a:lnTo>
                <a:lnTo>
                  <a:pt x="4922" y="237"/>
                </a:lnTo>
                <a:lnTo>
                  <a:pt x="4987" y="256"/>
                </a:lnTo>
                <a:lnTo>
                  <a:pt x="5070" y="265"/>
                </a:lnTo>
                <a:lnTo>
                  <a:pt x="5153" y="274"/>
                </a:lnTo>
                <a:lnTo>
                  <a:pt x="5254" y="274"/>
                </a:lnTo>
                <a:lnTo>
                  <a:pt x="5273" y="585"/>
                </a:lnTo>
                <a:lnTo>
                  <a:pt x="3116" y="841"/>
                </a:lnTo>
                <a:lnTo>
                  <a:pt x="0" y="822"/>
                </a:lnTo>
                <a:lnTo>
                  <a:pt x="46" y="164"/>
                </a:lnTo>
                <a:lnTo>
                  <a:pt x="452" y="55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4" name="Freeform 75">
            <a:extLst>
              <a:ext uri="{FF2B5EF4-FFF2-40B4-BE49-F238E27FC236}">
                <a16:creationId xmlns="" xmlns:a16="http://schemas.microsoft.com/office/drawing/2014/main" id="{00000000-0008-0000-0300-00000E000000}"/>
              </a:ext>
            </a:extLst>
          </xdr:cNvPr>
          <xdr:cNvSpPr>
            <a:spLocks/>
          </xdr:cNvSpPr>
        </xdr:nvSpPr>
        <xdr:spPr bwMode="auto">
          <a:xfrm>
            <a:off x="212000" y="94341"/>
            <a:ext cx="176547" cy="184517"/>
          </a:xfrm>
          <a:custGeom>
            <a:avLst/>
            <a:gdLst>
              <a:gd name="T0" fmla="*/ 2203 w 2203"/>
              <a:gd name="T1" fmla="*/ 0 h 2304"/>
              <a:gd name="T2" fmla="*/ 1973 w 2203"/>
              <a:gd name="T3" fmla="*/ 0 h 2304"/>
              <a:gd name="T4" fmla="*/ 1751 w 2203"/>
              <a:gd name="T5" fmla="*/ 37 h 2304"/>
              <a:gd name="T6" fmla="*/ 1539 w 2203"/>
              <a:gd name="T7" fmla="*/ 83 h 2304"/>
              <a:gd name="T8" fmla="*/ 1336 w 2203"/>
              <a:gd name="T9" fmla="*/ 156 h 2304"/>
              <a:gd name="T10" fmla="*/ 1143 w 2203"/>
              <a:gd name="T11" fmla="*/ 220 h 2304"/>
              <a:gd name="T12" fmla="*/ 968 w 2203"/>
              <a:gd name="T13" fmla="*/ 320 h 2304"/>
              <a:gd name="T14" fmla="*/ 802 w 2203"/>
              <a:gd name="T15" fmla="*/ 430 h 2304"/>
              <a:gd name="T16" fmla="*/ 654 w 2203"/>
              <a:gd name="T17" fmla="*/ 549 h 2304"/>
              <a:gd name="T18" fmla="*/ 498 w 2203"/>
              <a:gd name="T19" fmla="*/ 677 h 2304"/>
              <a:gd name="T20" fmla="*/ 378 w 2203"/>
              <a:gd name="T21" fmla="*/ 814 h 2304"/>
              <a:gd name="T22" fmla="*/ 267 w 2203"/>
              <a:gd name="T23" fmla="*/ 960 h 2304"/>
              <a:gd name="T24" fmla="*/ 175 w 2203"/>
              <a:gd name="T25" fmla="*/ 1106 h 2304"/>
              <a:gd name="T26" fmla="*/ 101 w 2203"/>
              <a:gd name="T27" fmla="*/ 1262 h 2304"/>
              <a:gd name="T28" fmla="*/ 46 w 2203"/>
              <a:gd name="T29" fmla="*/ 1426 h 2304"/>
              <a:gd name="T30" fmla="*/ 18 w 2203"/>
              <a:gd name="T31" fmla="*/ 1582 h 2304"/>
              <a:gd name="T32" fmla="*/ 0 w 2203"/>
              <a:gd name="T33" fmla="*/ 1746 h 2304"/>
              <a:gd name="T34" fmla="*/ 18 w 2203"/>
              <a:gd name="T35" fmla="*/ 1746 h 2304"/>
              <a:gd name="T36" fmla="*/ 92 w 2203"/>
              <a:gd name="T37" fmla="*/ 1774 h 2304"/>
              <a:gd name="T38" fmla="*/ 193 w 2203"/>
              <a:gd name="T39" fmla="*/ 1801 h 2304"/>
              <a:gd name="T40" fmla="*/ 341 w 2203"/>
              <a:gd name="T41" fmla="*/ 1838 h 2304"/>
              <a:gd name="T42" fmla="*/ 498 w 2203"/>
              <a:gd name="T43" fmla="*/ 1874 h 2304"/>
              <a:gd name="T44" fmla="*/ 691 w 2203"/>
              <a:gd name="T45" fmla="*/ 1920 h 2304"/>
              <a:gd name="T46" fmla="*/ 885 w 2203"/>
              <a:gd name="T47" fmla="*/ 1975 h 2304"/>
              <a:gd name="T48" fmla="*/ 1097 w 2203"/>
              <a:gd name="T49" fmla="*/ 2030 h 2304"/>
              <a:gd name="T50" fmla="*/ 1300 w 2203"/>
              <a:gd name="T51" fmla="*/ 2075 h 2304"/>
              <a:gd name="T52" fmla="*/ 1502 w 2203"/>
              <a:gd name="T53" fmla="*/ 2130 h 2304"/>
              <a:gd name="T54" fmla="*/ 1678 w 2203"/>
              <a:gd name="T55" fmla="*/ 2176 h 2304"/>
              <a:gd name="T56" fmla="*/ 1853 w 2203"/>
              <a:gd name="T57" fmla="*/ 2212 h 2304"/>
              <a:gd name="T58" fmla="*/ 1982 w 2203"/>
              <a:gd name="T59" fmla="*/ 2249 h 2304"/>
              <a:gd name="T60" fmla="*/ 2102 w 2203"/>
              <a:gd name="T61" fmla="*/ 2276 h 2304"/>
              <a:gd name="T62" fmla="*/ 2166 w 2203"/>
              <a:gd name="T63" fmla="*/ 2295 h 2304"/>
              <a:gd name="T64" fmla="*/ 2203 w 2203"/>
              <a:gd name="T65" fmla="*/ 2304 h 2304"/>
              <a:gd name="T66" fmla="*/ 2203 w 2203"/>
              <a:gd name="T67" fmla="*/ 0 h 2304"/>
              <a:gd name="T68" fmla="*/ 2203 w 2203"/>
              <a:gd name="T69" fmla="*/ 0 h 23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203" h="2304">
                <a:moveTo>
                  <a:pt x="2203" y="0"/>
                </a:moveTo>
                <a:lnTo>
                  <a:pt x="1973" y="0"/>
                </a:lnTo>
                <a:lnTo>
                  <a:pt x="1751" y="37"/>
                </a:lnTo>
                <a:lnTo>
                  <a:pt x="1539" y="83"/>
                </a:lnTo>
                <a:lnTo>
                  <a:pt x="1336" y="156"/>
                </a:lnTo>
                <a:lnTo>
                  <a:pt x="1143" y="220"/>
                </a:lnTo>
                <a:lnTo>
                  <a:pt x="968" y="320"/>
                </a:lnTo>
                <a:lnTo>
                  <a:pt x="802" y="430"/>
                </a:lnTo>
                <a:lnTo>
                  <a:pt x="654" y="549"/>
                </a:lnTo>
                <a:lnTo>
                  <a:pt x="498" y="677"/>
                </a:lnTo>
                <a:lnTo>
                  <a:pt x="378" y="814"/>
                </a:lnTo>
                <a:lnTo>
                  <a:pt x="267" y="960"/>
                </a:lnTo>
                <a:lnTo>
                  <a:pt x="175" y="1106"/>
                </a:lnTo>
                <a:lnTo>
                  <a:pt x="101" y="1262"/>
                </a:lnTo>
                <a:lnTo>
                  <a:pt x="46" y="1426"/>
                </a:lnTo>
                <a:lnTo>
                  <a:pt x="18" y="1582"/>
                </a:lnTo>
                <a:lnTo>
                  <a:pt x="0" y="1746"/>
                </a:lnTo>
                <a:lnTo>
                  <a:pt x="18" y="1746"/>
                </a:lnTo>
                <a:lnTo>
                  <a:pt x="92" y="1774"/>
                </a:lnTo>
                <a:lnTo>
                  <a:pt x="193" y="1801"/>
                </a:lnTo>
                <a:lnTo>
                  <a:pt x="341" y="1838"/>
                </a:lnTo>
                <a:lnTo>
                  <a:pt x="498" y="1874"/>
                </a:lnTo>
                <a:lnTo>
                  <a:pt x="691" y="1920"/>
                </a:lnTo>
                <a:lnTo>
                  <a:pt x="885" y="1975"/>
                </a:lnTo>
                <a:lnTo>
                  <a:pt x="1097" y="2030"/>
                </a:lnTo>
                <a:lnTo>
                  <a:pt x="1300" y="2075"/>
                </a:lnTo>
                <a:lnTo>
                  <a:pt x="1502" y="2130"/>
                </a:lnTo>
                <a:lnTo>
                  <a:pt x="1678" y="2176"/>
                </a:lnTo>
                <a:lnTo>
                  <a:pt x="1853" y="2212"/>
                </a:lnTo>
                <a:lnTo>
                  <a:pt x="1982" y="2249"/>
                </a:lnTo>
                <a:lnTo>
                  <a:pt x="2102" y="2276"/>
                </a:lnTo>
                <a:lnTo>
                  <a:pt x="2166" y="2295"/>
                </a:lnTo>
                <a:lnTo>
                  <a:pt x="2203" y="2304"/>
                </a:lnTo>
                <a:lnTo>
                  <a:pt x="2203" y="0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5" name="Freeform 76">
            <a:extLst>
              <a:ext uri="{FF2B5EF4-FFF2-40B4-BE49-F238E27FC236}">
                <a16:creationId xmlns="" xmlns:a16="http://schemas.microsoft.com/office/drawing/2014/main" id="{00000000-0008-0000-0300-00000F000000}"/>
              </a:ext>
            </a:extLst>
          </xdr:cNvPr>
          <xdr:cNvSpPr>
            <a:spLocks/>
          </xdr:cNvSpPr>
        </xdr:nvSpPr>
        <xdr:spPr bwMode="auto">
          <a:xfrm>
            <a:off x="239422" y="15126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B8B8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6" name="Freeform 77">
            <a:extLst>
              <a:ext uri="{FF2B5EF4-FFF2-40B4-BE49-F238E27FC236}">
                <a16:creationId xmlns="" xmlns:a16="http://schemas.microsoft.com/office/drawing/2014/main" id="{00000000-0008-0000-0300-000010000000}"/>
              </a:ext>
            </a:extLst>
          </xdr:cNvPr>
          <xdr:cNvSpPr>
            <a:spLocks/>
          </xdr:cNvSpPr>
        </xdr:nvSpPr>
        <xdr:spPr bwMode="auto">
          <a:xfrm>
            <a:off x="0" y="163877"/>
            <a:ext cx="762996" cy="236922"/>
          </a:xfrm>
          <a:custGeom>
            <a:avLst/>
            <a:gdLst>
              <a:gd name="T0" fmla="*/ 0 w 9522"/>
              <a:gd name="T1" fmla="*/ 2961 h 2961"/>
              <a:gd name="T2" fmla="*/ 9522 w 9522"/>
              <a:gd name="T3" fmla="*/ 2961 h 2961"/>
              <a:gd name="T4" fmla="*/ 9522 w 9522"/>
              <a:gd name="T5" fmla="*/ 0 h 2961"/>
              <a:gd name="T6" fmla="*/ 0 w 9522"/>
              <a:gd name="T7" fmla="*/ 0 h 2961"/>
              <a:gd name="T8" fmla="*/ 0 w 9522"/>
              <a:gd name="T9" fmla="*/ 2961 h 2961"/>
              <a:gd name="T10" fmla="*/ 0 w 9522"/>
              <a:gd name="T11" fmla="*/ 2961 h 29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9522" h="2961">
                <a:moveTo>
                  <a:pt x="0" y="2961"/>
                </a:moveTo>
                <a:lnTo>
                  <a:pt x="9522" y="2961"/>
                </a:lnTo>
                <a:lnTo>
                  <a:pt x="9522" y="0"/>
                </a:lnTo>
                <a:lnTo>
                  <a:pt x="0" y="0"/>
                </a:lnTo>
                <a:lnTo>
                  <a:pt x="0" y="2961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7" name="Freeform 78">
            <a:extLst>
              <a:ext uri="{FF2B5EF4-FFF2-40B4-BE49-F238E27FC236}">
                <a16:creationId xmlns="" xmlns:a16="http://schemas.microsoft.com/office/drawing/2014/main" id="{00000000-0008-0000-0300-000011000000}"/>
              </a:ext>
            </a:extLst>
          </xdr:cNvPr>
          <xdr:cNvSpPr>
            <a:spLocks/>
          </xdr:cNvSpPr>
        </xdr:nvSpPr>
        <xdr:spPr bwMode="auto">
          <a:xfrm>
            <a:off x="204683" y="140440"/>
            <a:ext cx="92319" cy="124439"/>
          </a:xfrm>
          <a:custGeom>
            <a:avLst/>
            <a:gdLst>
              <a:gd name="T0" fmla="*/ 728 w 1152"/>
              <a:gd name="T1" fmla="*/ 0 h 1554"/>
              <a:gd name="T2" fmla="*/ 709 w 1152"/>
              <a:gd name="T3" fmla="*/ 0 h 1554"/>
              <a:gd name="T4" fmla="*/ 682 w 1152"/>
              <a:gd name="T5" fmla="*/ 28 h 1554"/>
              <a:gd name="T6" fmla="*/ 645 w 1152"/>
              <a:gd name="T7" fmla="*/ 55 h 1554"/>
              <a:gd name="T8" fmla="*/ 608 w 1152"/>
              <a:gd name="T9" fmla="*/ 119 h 1554"/>
              <a:gd name="T10" fmla="*/ 544 w 1152"/>
              <a:gd name="T11" fmla="*/ 174 h 1554"/>
              <a:gd name="T12" fmla="*/ 488 w 1152"/>
              <a:gd name="T13" fmla="*/ 247 h 1554"/>
              <a:gd name="T14" fmla="*/ 415 w 1152"/>
              <a:gd name="T15" fmla="*/ 338 h 1554"/>
              <a:gd name="T16" fmla="*/ 350 w 1152"/>
              <a:gd name="T17" fmla="*/ 448 h 1554"/>
              <a:gd name="T18" fmla="*/ 285 w 1152"/>
              <a:gd name="T19" fmla="*/ 558 h 1554"/>
              <a:gd name="T20" fmla="*/ 221 w 1152"/>
              <a:gd name="T21" fmla="*/ 667 h 1554"/>
              <a:gd name="T22" fmla="*/ 156 w 1152"/>
              <a:gd name="T23" fmla="*/ 795 h 1554"/>
              <a:gd name="T24" fmla="*/ 101 w 1152"/>
              <a:gd name="T25" fmla="*/ 942 h 1554"/>
              <a:gd name="T26" fmla="*/ 46 w 1152"/>
              <a:gd name="T27" fmla="*/ 1070 h 1554"/>
              <a:gd name="T28" fmla="*/ 18 w 1152"/>
              <a:gd name="T29" fmla="*/ 1225 h 1554"/>
              <a:gd name="T30" fmla="*/ 0 w 1152"/>
              <a:gd name="T31" fmla="*/ 1380 h 1554"/>
              <a:gd name="T32" fmla="*/ 0 w 1152"/>
              <a:gd name="T33" fmla="*/ 1554 h 1554"/>
              <a:gd name="T34" fmla="*/ 18 w 1152"/>
              <a:gd name="T35" fmla="*/ 1554 h 1554"/>
              <a:gd name="T36" fmla="*/ 46 w 1152"/>
              <a:gd name="T37" fmla="*/ 1554 h 1554"/>
              <a:gd name="T38" fmla="*/ 92 w 1152"/>
              <a:gd name="T39" fmla="*/ 1554 h 1554"/>
              <a:gd name="T40" fmla="*/ 129 w 1152"/>
              <a:gd name="T41" fmla="*/ 1554 h 1554"/>
              <a:gd name="T42" fmla="*/ 184 w 1152"/>
              <a:gd name="T43" fmla="*/ 1554 h 1554"/>
              <a:gd name="T44" fmla="*/ 239 w 1152"/>
              <a:gd name="T45" fmla="*/ 1554 h 1554"/>
              <a:gd name="T46" fmla="*/ 304 w 1152"/>
              <a:gd name="T47" fmla="*/ 1554 h 1554"/>
              <a:gd name="T48" fmla="*/ 350 w 1152"/>
              <a:gd name="T49" fmla="*/ 1545 h 1554"/>
              <a:gd name="T50" fmla="*/ 415 w 1152"/>
              <a:gd name="T51" fmla="*/ 1536 h 1554"/>
              <a:gd name="T52" fmla="*/ 461 w 1152"/>
              <a:gd name="T53" fmla="*/ 1527 h 1554"/>
              <a:gd name="T54" fmla="*/ 516 w 1152"/>
              <a:gd name="T55" fmla="*/ 1527 h 1554"/>
              <a:gd name="T56" fmla="*/ 553 w 1152"/>
              <a:gd name="T57" fmla="*/ 1527 h 1554"/>
              <a:gd name="T58" fmla="*/ 580 w 1152"/>
              <a:gd name="T59" fmla="*/ 1527 h 1554"/>
              <a:gd name="T60" fmla="*/ 599 w 1152"/>
              <a:gd name="T61" fmla="*/ 1527 h 1554"/>
              <a:gd name="T62" fmla="*/ 617 w 1152"/>
              <a:gd name="T63" fmla="*/ 1527 h 1554"/>
              <a:gd name="T64" fmla="*/ 1152 w 1152"/>
              <a:gd name="T65" fmla="*/ 274 h 1554"/>
              <a:gd name="T66" fmla="*/ 728 w 1152"/>
              <a:gd name="T67" fmla="*/ 274 h 1554"/>
              <a:gd name="T68" fmla="*/ 728 w 1152"/>
              <a:gd name="T69" fmla="*/ 0 h 1554"/>
              <a:gd name="T70" fmla="*/ 728 w 1152"/>
              <a:gd name="T71" fmla="*/ 0 h 15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1152" h="1554">
                <a:moveTo>
                  <a:pt x="728" y="0"/>
                </a:moveTo>
                <a:lnTo>
                  <a:pt x="709" y="0"/>
                </a:lnTo>
                <a:lnTo>
                  <a:pt x="682" y="28"/>
                </a:lnTo>
                <a:lnTo>
                  <a:pt x="645" y="55"/>
                </a:lnTo>
                <a:lnTo>
                  <a:pt x="608" y="119"/>
                </a:lnTo>
                <a:lnTo>
                  <a:pt x="544" y="174"/>
                </a:lnTo>
                <a:lnTo>
                  <a:pt x="488" y="247"/>
                </a:lnTo>
                <a:lnTo>
                  <a:pt x="415" y="338"/>
                </a:lnTo>
                <a:lnTo>
                  <a:pt x="350" y="448"/>
                </a:lnTo>
                <a:lnTo>
                  <a:pt x="285" y="558"/>
                </a:lnTo>
                <a:lnTo>
                  <a:pt x="221" y="667"/>
                </a:lnTo>
                <a:lnTo>
                  <a:pt x="156" y="795"/>
                </a:lnTo>
                <a:lnTo>
                  <a:pt x="101" y="942"/>
                </a:lnTo>
                <a:lnTo>
                  <a:pt x="46" y="1070"/>
                </a:lnTo>
                <a:lnTo>
                  <a:pt x="18" y="1225"/>
                </a:lnTo>
                <a:lnTo>
                  <a:pt x="0" y="1380"/>
                </a:lnTo>
                <a:lnTo>
                  <a:pt x="0" y="1554"/>
                </a:lnTo>
                <a:lnTo>
                  <a:pt x="18" y="1554"/>
                </a:lnTo>
                <a:lnTo>
                  <a:pt x="46" y="1554"/>
                </a:lnTo>
                <a:lnTo>
                  <a:pt x="92" y="1554"/>
                </a:lnTo>
                <a:lnTo>
                  <a:pt x="129" y="1554"/>
                </a:lnTo>
                <a:lnTo>
                  <a:pt x="184" y="1554"/>
                </a:lnTo>
                <a:lnTo>
                  <a:pt x="239" y="1554"/>
                </a:lnTo>
                <a:lnTo>
                  <a:pt x="304" y="1554"/>
                </a:lnTo>
                <a:lnTo>
                  <a:pt x="350" y="1545"/>
                </a:lnTo>
                <a:lnTo>
                  <a:pt x="415" y="1536"/>
                </a:lnTo>
                <a:lnTo>
                  <a:pt x="461" y="1527"/>
                </a:lnTo>
                <a:lnTo>
                  <a:pt x="516" y="1527"/>
                </a:lnTo>
                <a:lnTo>
                  <a:pt x="553" y="1527"/>
                </a:lnTo>
                <a:lnTo>
                  <a:pt x="580" y="1527"/>
                </a:lnTo>
                <a:lnTo>
                  <a:pt x="599" y="1527"/>
                </a:lnTo>
                <a:lnTo>
                  <a:pt x="617" y="1527"/>
                </a:lnTo>
                <a:lnTo>
                  <a:pt x="1152" y="274"/>
                </a:lnTo>
                <a:lnTo>
                  <a:pt x="728" y="274"/>
                </a:lnTo>
                <a:lnTo>
                  <a:pt x="728" y="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8" name="Freeform 79">
            <a:extLst>
              <a:ext uri="{FF2B5EF4-FFF2-40B4-BE49-F238E27FC236}">
                <a16:creationId xmlns="" xmlns:a16="http://schemas.microsoft.com/office/drawing/2014/main" id="{00000000-0008-0000-0300-000012000000}"/>
              </a:ext>
            </a:extLst>
          </xdr:cNvPr>
          <xdr:cNvSpPr>
            <a:spLocks/>
          </xdr:cNvSpPr>
        </xdr:nvSpPr>
        <xdr:spPr bwMode="auto">
          <a:xfrm>
            <a:off x="50383" y="252091"/>
            <a:ext cx="181722" cy="45326"/>
          </a:xfrm>
          <a:custGeom>
            <a:avLst/>
            <a:gdLst>
              <a:gd name="T0" fmla="*/ 2194 w 2268"/>
              <a:gd name="T1" fmla="*/ 64 h 567"/>
              <a:gd name="T2" fmla="*/ 2120 w 2268"/>
              <a:gd name="T3" fmla="*/ 36 h 567"/>
              <a:gd name="T4" fmla="*/ 2028 w 2268"/>
              <a:gd name="T5" fmla="*/ 9 h 567"/>
              <a:gd name="T6" fmla="*/ 1963 w 2268"/>
              <a:gd name="T7" fmla="*/ 9 h 567"/>
              <a:gd name="T8" fmla="*/ 1880 w 2268"/>
              <a:gd name="T9" fmla="*/ 0 h 567"/>
              <a:gd name="T10" fmla="*/ 1807 w 2268"/>
              <a:gd name="T11" fmla="*/ 9 h 567"/>
              <a:gd name="T12" fmla="*/ 1715 w 2268"/>
              <a:gd name="T13" fmla="*/ 36 h 567"/>
              <a:gd name="T14" fmla="*/ 1641 w 2268"/>
              <a:gd name="T15" fmla="*/ 55 h 567"/>
              <a:gd name="T16" fmla="*/ 1576 w 2268"/>
              <a:gd name="T17" fmla="*/ 100 h 567"/>
              <a:gd name="T18" fmla="*/ 1503 w 2268"/>
              <a:gd name="T19" fmla="*/ 164 h 567"/>
              <a:gd name="T20" fmla="*/ 1420 w 2268"/>
              <a:gd name="T21" fmla="*/ 210 h 567"/>
              <a:gd name="T22" fmla="*/ 1318 w 2268"/>
              <a:gd name="T23" fmla="*/ 247 h 567"/>
              <a:gd name="T24" fmla="*/ 1244 w 2268"/>
              <a:gd name="T25" fmla="*/ 256 h 567"/>
              <a:gd name="T26" fmla="*/ 1180 w 2268"/>
              <a:gd name="T27" fmla="*/ 237 h 567"/>
              <a:gd name="T28" fmla="*/ 1106 w 2268"/>
              <a:gd name="T29" fmla="*/ 210 h 567"/>
              <a:gd name="T30" fmla="*/ 1032 w 2268"/>
              <a:gd name="T31" fmla="*/ 183 h 567"/>
              <a:gd name="T32" fmla="*/ 949 w 2268"/>
              <a:gd name="T33" fmla="*/ 155 h 567"/>
              <a:gd name="T34" fmla="*/ 866 w 2268"/>
              <a:gd name="T35" fmla="*/ 128 h 567"/>
              <a:gd name="T36" fmla="*/ 784 w 2268"/>
              <a:gd name="T37" fmla="*/ 119 h 567"/>
              <a:gd name="T38" fmla="*/ 682 w 2268"/>
              <a:gd name="T39" fmla="*/ 119 h 567"/>
              <a:gd name="T40" fmla="*/ 590 w 2268"/>
              <a:gd name="T41" fmla="*/ 137 h 567"/>
              <a:gd name="T42" fmla="*/ 498 w 2268"/>
              <a:gd name="T43" fmla="*/ 164 h 567"/>
              <a:gd name="T44" fmla="*/ 415 w 2268"/>
              <a:gd name="T45" fmla="*/ 210 h 567"/>
              <a:gd name="T46" fmla="*/ 341 w 2268"/>
              <a:gd name="T47" fmla="*/ 237 h 567"/>
              <a:gd name="T48" fmla="*/ 267 w 2268"/>
              <a:gd name="T49" fmla="*/ 274 h 567"/>
              <a:gd name="T50" fmla="*/ 175 w 2268"/>
              <a:gd name="T51" fmla="*/ 329 h 567"/>
              <a:gd name="T52" fmla="*/ 92 w 2268"/>
              <a:gd name="T53" fmla="*/ 347 h 567"/>
              <a:gd name="T54" fmla="*/ 28 w 2268"/>
              <a:gd name="T55" fmla="*/ 356 h 567"/>
              <a:gd name="T56" fmla="*/ 0 w 2268"/>
              <a:gd name="T57" fmla="*/ 356 h 567"/>
              <a:gd name="T58" fmla="*/ 28 w 2268"/>
              <a:gd name="T59" fmla="*/ 365 h 567"/>
              <a:gd name="T60" fmla="*/ 101 w 2268"/>
              <a:gd name="T61" fmla="*/ 384 h 567"/>
              <a:gd name="T62" fmla="*/ 194 w 2268"/>
              <a:gd name="T63" fmla="*/ 402 h 567"/>
              <a:gd name="T64" fmla="*/ 267 w 2268"/>
              <a:gd name="T65" fmla="*/ 402 h 567"/>
              <a:gd name="T66" fmla="*/ 350 w 2268"/>
              <a:gd name="T67" fmla="*/ 402 h 567"/>
              <a:gd name="T68" fmla="*/ 433 w 2268"/>
              <a:gd name="T69" fmla="*/ 384 h 567"/>
              <a:gd name="T70" fmla="*/ 507 w 2268"/>
              <a:gd name="T71" fmla="*/ 356 h 567"/>
              <a:gd name="T72" fmla="*/ 590 w 2268"/>
              <a:gd name="T73" fmla="*/ 338 h 567"/>
              <a:gd name="T74" fmla="*/ 691 w 2268"/>
              <a:gd name="T75" fmla="*/ 329 h 567"/>
              <a:gd name="T76" fmla="*/ 820 w 2268"/>
              <a:gd name="T77" fmla="*/ 356 h 567"/>
              <a:gd name="T78" fmla="*/ 922 w 2268"/>
              <a:gd name="T79" fmla="*/ 402 h 567"/>
              <a:gd name="T80" fmla="*/ 1005 w 2268"/>
              <a:gd name="T81" fmla="*/ 439 h 567"/>
              <a:gd name="T82" fmla="*/ 1078 w 2268"/>
              <a:gd name="T83" fmla="*/ 475 h 567"/>
              <a:gd name="T84" fmla="*/ 1152 w 2268"/>
              <a:gd name="T85" fmla="*/ 512 h 567"/>
              <a:gd name="T86" fmla="*/ 1244 w 2268"/>
              <a:gd name="T87" fmla="*/ 539 h 567"/>
              <a:gd name="T88" fmla="*/ 1364 w 2268"/>
              <a:gd name="T89" fmla="*/ 557 h 567"/>
              <a:gd name="T90" fmla="*/ 1466 w 2268"/>
              <a:gd name="T91" fmla="*/ 539 h 567"/>
              <a:gd name="T92" fmla="*/ 1549 w 2268"/>
              <a:gd name="T93" fmla="*/ 512 h 567"/>
              <a:gd name="T94" fmla="*/ 1650 w 2268"/>
              <a:gd name="T95" fmla="*/ 466 h 567"/>
              <a:gd name="T96" fmla="*/ 1751 w 2268"/>
              <a:gd name="T97" fmla="*/ 429 h 567"/>
              <a:gd name="T98" fmla="*/ 1844 w 2268"/>
              <a:gd name="T99" fmla="*/ 402 h 567"/>
              <a:gd name="T100" fmla="*/ 1963 w 2268"/>
              <a:gd name="T101" fmla="*/ 420 h 567"/>
              <a:gd name="T102" fmla="*/ 2083 w 2268"/>
              <a:gd name="T103" fmla="*/ 457 h 567"/>
              <a:gd name="T104" fmla="*/ 2194 w 2268"/>
              <a:gd name="T105" fmla="*/ 512 h 567"/>
              <a:gd name="T106" fmla="*/ 2258 w 2268"/>
              <a:gd name="T107" fmla="*/ 557 h 567"/>
              <a:gd name="T108" fmla="*/ 2203 w 2268"/>
              <a:gd name="T109" fmla="*/ 73 h 5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268" h="567">
                <a:moveTo>
                  <a:pt x="2203" y="73"/>
                </a:moveTo>
                <a:lnTo>
                  <a:pt x="2194" y="64"/>
                </a:lnTo>
                <a:lnTo>
                  <a:pt x="2166" y="55"/>
                </a:lnTo>
                <a:lnTo>
                  <a:pt x="2120" y="36"/>
                </a:lnTo>
                <a:lnTo>
                  <a:pt x="2074" y="27"/>
                </a:lnTo>
                <a:lnTo>
                  <a:pt x="2028" y="9"/>
                </a:lnTo>
                <a:lnTo>
                  <a:pt x="2000" y="9"/>
                </a:lnTo>
                <a:lnTo>
                  <a:pt x="1963" y="9"/>
                </a:lnTo>
                <a:lnTo>
                  <a:pt x="1927" y="9"/>
                </a:lnTo>
                <a:lnTo>
                  <a:pt x="1880" y="0"/>
                </a:lnTo>
                <a:lnTo>
                  <a:pt x="1844" y="9"/>
                </a:lnTo>
                <a:lnTo>
                  <a:pt x="1807" y="9"/>
                </a:lnTo>
                <a:lnTo>
                  <a:pt x="1770" y="27"/>
                </a:lnTo>
                <a:lnTo>
                  <a:pt x="1715" y="36"/>
                </a:lnTo>
                <a:lnTo>
                  <a:pt x="1678" y="46"/>
                </a:lnTo>
                <a:lnTo>
                  <a:pt x="1641" y="55"/>
                </a:lnTo>
                <a:lnTo>
                  <a:pt x="1622" y="82"/>
                </a:lnTo>
                <a:lnTo>
                  <a:pt x="1576" y="100"/>
                </a:lnTo>
                <a:lnTo>
                  <a:pt x="1539" y="137"/>
                </a:lnTo>
                <a:lnTo>
                  <a:pt x="1503" y="164"/>
                </a:lnTo>
                <a:lnTo>
                  <a:pt x="1466" y="183"/>
                </a:lnTo>
                <a:lnTo>
                  <a:pt x="1420" y="210"/>
                </a:lnTo>
                <a:lnTo>
                  <a:pt x="1355" y="247"/>
                </a:lnTo>
                <a:lnTo>
                  <a:pt x="1318" y="247"/>
                </a:lnTo>
                <a:lnTo>
                  <a:pt x="1281" y="256"/>
                </a:lnTo>
                <a:lnTo>
                  <a:pt x="1244" y="256"/>
                </a:lnTo>
                <a:lnTo>
                  <a:pt x="1217" y="256"/>
                </a:lnTo>
                <a:lnTo>
                  <a:pt x="1180" y="237"/>
                </a:lnTo>
                <a:lnTo>
                  <a:pt x="1134" y="228"/>
                </a:lnTo>
                <a:lnTo>
                  <a:pt x="1106" y="210"/>
                </a:lnTo>
                <a:lnTo>
                  <a:pt x="1069" y="210"/>
                </a:lnTo>
                <a:lnTo>
                  <a:pt x="1032" y="183"/>
                </a:lnTo>
                <a:lnTo>
                  <a:pt x="986" y="174"/>
                </a:lnTo>
                <a:lnTo>
                  <a:pt x="949" y="155"/>
                </a:lnTo>
                <a:lnTo>
                  <a:pt x="913" y="146"/>
                </a:lnTo>
                <a:lnTo>
                  <a:pt x="866" y="128"/>
                </a:lnTo>
                <a:lnTo>
                  <a:pt x="830" y="119"/>
                </a:lnTo>
                <a:lnTo>
                  <a:pt x="784" y="119"/>
                </a:lnTo>
                <a:lnTo>
                  <a:pt x="737" y="119"/>
                </a:lnTo>
                <a:lnTo>
                  <a:pt x="682" y="119"/>
                </a:lnTo>
                <a:lnTo>
                  <a:pt x="636" y="128"/>
                </a:lnTo>
                <a:lnTo>
                  <a:pt x="590" y="137"/>
                </a:lnTo>
                <a:lnTo>
                  <a:pt x="544" y="155"/>
                </a:lnTo>
                <a:lnTo>
                  <a:pt x="498" y="164"/>
                </a:lnTo>
                <a:lnTo>
                  <a:pt x="461" y="183"/>
                </a:lnTo>
                <a:lnTo>
                  <a:pt x="415" y="210"/>
                </a:lnTo>
                <a:lnTo>
                  <a:pt x="378" y="228"/>
                </a:lnTo>
                <a:lnTo>
                  <a:pt x="341" y="237"/>
                </a:lnTo>
                <a:lnTo>
                  <a:pt x="304" y="256"/>
                </a:lnTo>
                <a:lnTo>
                  <a:pt x="267" y="274"/>
                </a:lnTo>
                <a:lnTo>
                  <a:pt x="240" y="292"/>
                </a:lnTo>
                <a:lnTo>
                  <a:pt x="175" y="329"/>
                </a:lnTo>
                <a:lnTo>
                  <a:pt x="138" y="347"/>
                </a:lnTo>
                <a:lnTo>
                  <a:pt x="92" y="347"/>
                </a:lnTo>
                <a:lnTo>
                  <a:pt x="46" y="356"/>
                </a:lnTo>
                <a:lnTo>
                  <a:pt x="28" y="356"/>
                </a:lnTo>
                <a:lnTo>
                  <a:pt x="9" y="356"/>
                </a:lnTo>
                <a:lnTo>
                  <a:pt x="0" y="356"/>
                </a:lnTo>
                <a:lnTo>
                  <a:pt x="9" y="365"/>
                </a:lnTo>
                <a:lnTo>
                  <a:pt x="28" y="365"/>
                </a:lnTo>
                <a:lnTo>
                  <a:pt x="55" y="375"/>
                </a:lnTo>
                <a:lnTo>
                  <a:pt x="101" y="384"/>
                </a:lnTo>
                <a:lnTo>
                  <a:pt x="166" y="402"/>
                </a:lnTo>
                <a:lnTo>
                  <a:pt x="194" y="402"/>
                </a:lnTo>
                <a:lnTo>
                  <a:pt x="230" y="402"/>
                </a:lnTo>
                <a:lnTo>
                  <a:pt x="267" y="402"/>
                </a:lnTo>
                <a:lnTo>
                  <a:pt x="313" y="402"/>
                </a:lnTo>
                <a:lnTo>
                  <a:pt x="350" y="402"/>
                </a:lnTo>
                <a:lnTo>
                  <a:pt x="387" y="402"/>
                </a:lnTo>
                <a:lnTo>
                  <a:pt x="433" y="384"/>
                </a:lnTo>
                <a:lnTo>
                  <a:pt x="479" y="384"/>
                </a:lnTo>
                <a:lnTo>
                  <a:pt x="507" y="356"/>
                </a:lnTo>
                <a:lnTo>
                  <a:pt x="544" y="347"/>
                </a:lnTo>
                <a:lnTo>
                  <a:pt x="590" y="338"/>
                </a:lnTo>
                <a:lnTo>
                  <a:pt x="627" y="338"/>
                </a:lnTo>
                <a:lnTo>
                  <a:pt x="691" y="329"/>
                </a:lnTo>
                <a:lnTo>
                  <a:pt x="765" y="338"/>
                </a:lnTo>
                <a:lnTo>
                  <a:pt x="820" y="356"/>
                </a:lnTo>
                <a:lnTo>
                  <a:pt x="894" y="384"/>
                </a:lnTo>
                <a:lnTo>
                  <a:pt x="922" y="402"/>
                </a:lnTo>
                <a:lnTo>
                  <a:pt x="959" y="420"/>
                </a:lnTo>
                <a:lnTo>
                  <a:pt x="1005" y="439"/>
                </a:lnTo>
                <a:lnTo>
                  <a:pt x="1051" y="466"/>
                </a:lnTo>
                <a:lnTo>
                  <a:pt x="1078" y="475"/>
                </a:lnTo>
                <a:lnTo>
                  <a:pt x="1115" y="493"/>
                </a:lnTo>
                <a:lnTo>
                  <a:pt x="1152" y="512"/>
                </a:lnTo>
                <a:lnTo>
                  <a:pt x="1189" y="521"/>
                </a:lnTo>
                <a:lnTo>
                  <a:pt x="1244" y="539"/>
                </a:lnTo>
                <a:lnTo>
                  <a:pt x="1309" y="557"/>
                </a:lnTo>
                <a:lnTo>
                  <a:pt x="1364" y="557"/>
                </a:lnTo>
                <a:lnTo>
                  <a:pt x="1420" y="557"/>
                </a:lnTo>
                <a:lnTo>
                  <a:pt x="1466" y="539"/>
                </a:lnTo>
                <a:lnTo>
                  <a:pt x="1512" y="539"/>
                </a:lnTo>
                <a:lnTo>
                  <a:pt x="1549" y="512"/>
                </a:lnTo>
                <a:lnTo>
                  <a:pt x="1604" y="484"/>
                </a:lnTo>
                <a:lnTo>
                  <a:pt x="1650" y="466"/>
                </a:lnTo>
                <a:lnTo>
                  <a:pt x="1705" y="448"/>
                </a:lnTo>
                <a:lnTo>
                  <a:pt x="1751" y="429"/>
                </a:lnTo>
                <a:lnTo>
                  <a:pt x="1797" y="420"/>
                </a:lnTo>
                <a:lnTo>
                  <a:pt x="1844" y="402"/>
                </a:lnTo>
                <a:lnTo>
                  <a:pt x="1899" y="411"/>
                </a:lnTo>
                <a:lnTo>
                  <a:pt x="1963" y="420"/>
                </a:lnTo>
                <a:lnTo>
                  <a:pt x="2028" y="439"/>
                </a:lnTo>
                <a:lnTo>
                  <a:pt x="2083" y="457"/>
                </a:lnTo>
                <a:lnTo>
                  <a:pt x="2148" y="484"/>
                </a:lnTo>
                <a:lnTo>
                  <a:pt x="2194" y="512"/>
                </a:lnTo>
                <a:lnTo>
                  <a:pt x="2231" y="539"/>
                </a:lnTo>
                <a:lnTo>
                  <a:pt x="2258" y="557"/>
                </a:lnTo>
                <a:lnTo>
                  <a:pt x="2268" y="567"/>
                </a:lnTo>
                <a:lnTo>
                  <a:pt x="2203" y="73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9" name="Freeform 80">
            <a:extLst>
              <a:ext uri="{FF2B5EF4-FFF2-40B4-BE49-F238E27FC236}">
                <a16:creationId xmlns="" xmlns:a16="http://schemas.microsoft.com/office/drawing/2014/main" id="{00000000-0008-0000-0300-000013000000}"/>
              </a:ext>
            </a:extLst>
          </xdr:cNvPr>
          <xdr:cNvSpPr>
            <a:spLocks/>
          </xdr:cNvSpPr>
        </xdr:nvSpPr>
        <xdr:spPr bwMode="auto">
          <a:xfrm>
            <a:off x="396161" y="267675"/>
            <a:ext cx="172740" cy="170539"/>
          </a:xfrm>
          <a:custGeom>
            <a:avLst/>
            <a:gdLst>
              <a:gd name="T0" fmla="*/ 857 w 2157"/>
              <a:gd name="T1" fmla="*/ 2130 h 2130"/>
              <a:gd name="T2" fmla="*/ 1032 w 2157"/>
              <a:gd name="T3" fmla="*/ 2038 h 2130"/>
              <a:gd name="T4" fmla="*/ 1189 w 2157"/>
              <a:gd name="T5" fmla="*/ 1947 h 2130"/>
              <a:gd name="T6" fmla="*/ 1336 w 2157"/>
              <a:gd name="T7" fmla="*/ 1837 h 2130"/>
              <a:gd name="T8" fmla="*/ 1475 w 2157"/>
              <a:gd name="T9" fmla="*/ 1718 h 2130"/>
              <a:gd name="T10" fmla="*/ 1585 w 2157"/>
              <a:gd name="T11" fmla="*/ 1590 h 2130"/>
              <a:gd name="T12" fmla="*/ 1696 w 2157"/>
              <a:gd name="T13" fmla="*/ 1453 h 2130"/>
              <a:gd name="T14" fmla="*/ 1788 w 2157"/>
              <a:gd name="T15" fmla="*/ 1316 h 2130"/>
              <a:gd name="T16" fmla="*/ 1871 w 2157"/>
              <a:gd name="T17" fmla="*/ 1170 h 2130"/>
              <a:gd name="T18" fmla="*/ 1935 w 2157"/>
              <a:gd name="T19" fmla="*/ 1014 h 2130"/>
              <a:gd name="T20" fmla="*/ 1991 w 2157"/>
              <a:gd name="T21" fmla="*/ 868 h 2130"/>
              <a:gd name="T22" fmla="*/ 2037 w 2157"/>
              <a:gd name="T23" fmla="*/ 713 h 2130"/>
              <a:gd name="T24" fmla="*/ 2083 w 2157"/>
              <a:gd name="T25" fmla="*/ 566 h 2130"/>
              <a:gd name="T26" fmla="*/ 2111 w 2157"/>
              <a:gd name="T27" fmla="*/ 420 h 2130"/>
              <a:gd name="T28" fmla="*/ 2138 w 2157"/>
              <a:gd name="T29" fmla="*/ 274 h 2130"/>
              <a:gd name="T30" fmla="*/ 2147 w 2157"/>
              <a:gd name="T31" fmla="*/ 137 h 2130"/>
              <a:gd name="T32" fmla="*/ 2157 w 2157"/>
              <a:gd name="T33" fmla="*/ 9 h 2130"/>
              <a:gd name="T34" fmla="*/ 2129 w 2157"/>
              <a:gd name="T35" fmla="*/ 0 h 2130"/>
              <a:gd name="T36" fmla="*/ 2064 w 2157"/>
              <a:gd name="T37" fmla="*/ 0 h 2130"/>
              <a:gd name="T38" fmla="*/ 1954 w 2157"/>
              <a:gd name="T39" fmla="*/ 0 h 2130"/>
              <a:gd name="T40" fmla="*/ 1816 w 2157"/>
              <a:gd name="T41" fmla="*/ 0 h 2130"/>
              <a:gd name="T42" fmla="*/ 1650 w 2157"/>
              <a:gd name="T43" fmla="*/ 0 h 2130"/>
              <a:gd name="T44" fmla="*/ 1465 w 2157"/>
              <a:gd name="T45" fmla="*/ 0 h 2130"/>
              <a:gd name="T46" fmla="*/ 1272 w 2157"/>
              <a:gd name="T47" fmla="*/ 0 h 2130"/>
              <a:gd name="T48" fmla="*/ 1078 w 2157"/>
              <a:gd name="T49" fmla="*/ 9 h 2130"/>
              <a:gd name="T50" fmla="*/ 866 w 2157"/>
              <a:gd name="T51" fmla="*/ 9 h 2130"/>
              <a:gd name="T52" fmla="*/ 673 w 2157"/>
              <a:gd name="T53" fmla="*/ 9 h 2130"/>
              <a:gd name="T54" fmla="*/ 497 w 2157"/>
              <a:gd name="T55" fmla="*/ 9 h 2130"/>
              <a:gd name="T56" fmla="*/ 332 w 2157"/>
              <a:gd name="T57" fmla="*/ 18 h 2130"/>
              <a:gd name="T58" fmla="*/ 184 w 2157"/>
              <a:gd name="T59" fmla="*/ 18 h 2130"/>
              <a:gd name="T60" fmla="*/ 83 w 2157"/>
              <a:gd name="T61" fmla="*/ 18 h 2130"/>
              <a:gd name="T62" fmla="*/ 18 w 2157"/>
              <a:gd name="T63" fmla="*/ 18 h 2130"/>
              <a:gd name="T64" fmla="*/ 0 w 2157"/>
              <a:gd name="T65" fmla="*/ 18 h 2130"/>
              <a:gd name="T66" fmla="*/ 857 w 2157"/>
              <a:gd name="T67" fmla="*/ 2130 h 2130"/>
              <a:gd name="T68" fmla="*/ 857 w 2157"/>
              <a:gd name="T69" fmla="*/ 2130 h 21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157" h="2130">
                <a:moveTo>
                  <a:pt x="857" y="2130"/>
                </a:moveTo>
                <a:lnTo>
                  <a:pt x="1032" y="2038"/>
                </a:lnTo>
                <a:lnTo>
                  <a:pt x="1189" y="1947"/>
                </a:lnTo>
                <a:lnTo>
                  <a:pt x="1336" y="1837"/>
                </a:lnTo>
                <a:lnTo>
                  <a:pt x="1475" y="1718"/>
                </a:lnTo>
                <a:lnTo>
                  <a:pt x="1585" y="1590"/>
                </a:lnTo>
                <a:lnTo>
                  <a:pt x="1696" y="1453"/>
                </a:lnTo>
                <a:lnTo>
                  <a:pt x="1788" y="1316"/>
                </a:lnTo>
                <a:lnTo>
                  <a:pt x="1871" y="1170"/>
                </a:lnTo>
                <a:lnTo>
                  <a:pt x="1935" y="1014"/>
                </a:lnTo>
                <a:lnTo>
                  <a:pt x="1991" y="868"/>
                </a:lnTo>
                <a:lnTo>
                  <a:pt x="2037" y="713"/>
                </a:lnTo>
                <a:lnTo>
                  <a:pt x="2083" y="566"/>
                </a:lnTo>
                <a:lnTo>
                  <a:pt x="2111" y="420"/>
                </a:lnTo>
                <a:lnTo>
                  <a:pt x="2138" y="274"/>
                </a:lnTo>
                <a:lnTo>
                  <a:pt x="2147" y="137"/>
                </a:lnTo>
                <a:lnTo>
                  <a:pt x="2157" y="9"/>
                </a:lnTo>
                <a:lnTo>
                  <a:pt x="2129" y="0"/>
                </a:lnTo>
                <a:lnTo>
                  <a:pt x="2064" y="0"/>
                </a:lnTo>
                <a:lnTo>
                  <a:pt x="1954" y="0"/>
                </a:lnTo>
                <a:lnTo>
                  <a:pt x="1816" y="0"/>
                </a:lnTo>
                <a:lnTo>
                  <a:pt x="1650" y="0"/>
                </a:lnTo>
                <a:lnTo>
                  <a:pt x="1465" y="0"/>
                </a:lnTo>
                <a:lnTo>
                  <a:pt x="1272" y="0"/>
                </a:lnTo>
                <a:lnTo>
                  <a:pt x="1078" y="9"/>
                </a:lnTo>
                <a:lnTo>
                  <a:pt x="866" y="9"/>
                </a:lnTo>
                <a:lnTo>
                  <a:pt x="673" y="9"/>
                </a:lnTo>
                <a:lnTo>
                  <a:pt x="497" y="9"/>
                </a:lnTo>
                <a:lnTo>
                  <a:pt x="332" y="18"/>
                </a:lnTo>
                <a:lnTo>
                  <a:pt x="184" y="18"/>
                </a:lnTo>
                <a:lnTo>
                  <a:pt x="83" y="18"/>
                </a:lnTo>
                <a:lnTo>
                  <a:pt x="18" y="18"/>
                </a:lnTo>
                <a:lnTo>
                  <a:pt x="0" y="18"/>
                </a:lnTo>
                <a:lnTo>
                  <a:pt x="857" y="213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0" name="Freeform 81">
            <a:extLst>
              <a:ext uri="{FF2B5EF4-FFF2-40B4-BE49-F238E27FC236}">
                <a16:creationId xmlns="" xmlns:a16="http://schemas.microsoft.com/office/drawing/2014/main" id="{00000000-0008-0000-0300-000014000000}"/>
              </a:ext>
            </a:extLst>
          </xdr:cNvPr>
          <xdr:cNvSpPr>
            <a:spLocks/>
          </xdr:cNvSpPr>
        </xdr:nvSpPr>
        <xdr:spPr bwMode="auto">
          <a:xfrm>
            <a:off x="235555" y="128484"/>
            <a:ext cx="307233" cy="305090"/>
          </a:xfrm>
          <a:custGeom>
            <a:avLst/>
            <a:gdLst>
              <a:gd name="T0" fmla="*/ 2101 w 3834"/>
              <a:gd name="T1" fmla="*/ 3793 h 3812"/>
              <a:gd name="T2" fmla="*/ 2470 w 3834"/>
              <a:gd name="T3" fmla="*/ 3711 h 3812"/>
              <a:gd name="T4" fmla="*/ 2820 w 3834"/>
              <a:gd name="T5" fmla="*/ 3574 h 3812"/>
              <a:gd name="T6" fmla="*/ 3125 w 3834"/>
              <a:gd name="T7" fmla="*/ 3364 h 3812"/>
              <a:gd name="T8" fmla="*/ 3383 w 3834"/>
              <a:gd name="T9" fmla="*/ 3108 h 3812"/>
              <a:gd name="T10" fmla="*/ 3595 w 3834"/>
              <a:gd name="T11" fmla="*/ 2806 h 3812"/>
              <a:gd name="T12" fmla="*/ 3733 w 3834"/>
              <a:gd name="T13" fmla="*/ 2459 h 3812"/>
              <a:gd name="T14" fmla="*/ 3825 w 3834"/>
              <a:gd name="T15" fmla="*/ 2093 h 3812"/>
              <a:gd name="T16" fmla="*/ 3825 w 3834"/>
              <a:gd name="T17" fmla="*/ 1709 h 3812"/>
              <a:gd name="T18" fmla="*/ 3733 w 3834"/>
              <a:gd name="T19" fmla="*/ 1335 h 3812"/>
              <a:gd name="T20" fmla="*/ 3595 w 3834"/>
              <a:gd name="T21" fmla="*/ 987 h 3812"/>
              <a:gd name="T22" fmla="*/ 3383 w 3834"/>
              <a:gd name="T23" fmla="*/ 686 h 3812"/>
              <a:gd name="T24" fmla="*/ 3125 w 3834"/>
              <a:gd name="T25" fmla="*/ 430 h 3812"/>
              <a:gd name="T26" fmla="*/ 2820 w 3834"/>
              <a:gd name="T27" fmla="*/ 229 h 3812"/>
              <a:gd name="T28" fmla="*/ 2470 w 3834"/>
              <a:gd name="T29" fmla="*/ 82 h 3812"/>
              <a:gd name="T30" fmla="*/ 2101 w 3834"/>
              <a:gd name="T31" fmla="*/ 9 h 3812"/>
              <a:gd name="T32" fmla="*/ 1714 w 3834"/>
              <a:gd name="T33" fmla="*/ 9 h 3812"/>
              <a:gd name="T34" fmla="*/ 1336 w 3834"/>
              <a:gd name="T35" fmla="*/ 82 h 3812"/>
              <a:gd name="T36" fmla="*/ 995 w 3834"/>
              <a:gd name="T37" fmla="*/ 229 h 3812"/>
              <a:gd name="T38" fmla="*/ 691 w 3834"/>
              <a:gd name="T39" fmla="*/ 430 h 3812"/>
              <a:gd name="T40" fmla="*/ 424 w 3834"/>
              <a:gd name="T41" fmla="*/ 686 h 3812"/>
              <a:gd name="T42" fmla="*/ 230 w 3834"/>
              <a:gd name="T43" fmla="*/ 987 h 3812"/>
              <a:gd name="T44" fmla="*/ 74 w 3834"/>
              <a:gd name="T45" fmla="*/ 1335 h 3812"/>
              <a:gd name="T46" fmla="*/ 9 w 3834"/>
              <a:gd name="T47" fmla="*/ 1709 h 3812"/>
              <a:gd name="T48" fmla="*/ 9 w 3834"/>
              <a:gd name="T49" fmla="*/ 2093 h 3812"/>
              <a:gd name="T50" fmla="*/ 74 w 3834"/>
              <a:gd name="T51" fmla="*/ 2459 h 3812"/>
              <a:gd name="T52" fmla="*/ 230 w 3834"/>
              <a:gd name="T53" fmla="*/ 2806 h 3812"/>
              <a:gd name="T54" fmla="*/ 424 w 3834"/>
              <a:gd name="T55" fmla="*/ 3108 h 3812"/>
              <a:gd name="T56" fmla="*/ 691 w 3834"/>
              <a:gd name="T57" fmla="*/ 3364 h 3812"/>
              <a:gd name="T58" fmla="*/ 995 w 3834"/>
              <a:gd name="T59" fmla="*/ 3574 h 3812"/>
              <a:gd name="T60" fmla="*/ 1336 w 3834"/>
              <a:gd name="T61" fmla="*/ 3711 h 3812"/>
              <a:gd name="T62" fmla="*/ 1714 w 3834"/>
              <a:gd name="T63" fmla="*/ 3793 h 3812"/>
              <a:gd name="T64" fmla="*/ 1917 w 3834"/>
              <a:gd name="T65" fmla="*/ 3812 h 38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834" h="3812">
                <a:moveTo>
                  <a:pt x="1917" y="3812"/>
                </a:moveTo>
                <a:lnTo>
                  <a:pt x="2101" y="3793"/>
                </a:lnTo>
                <a:lnTo>
                  <a:pt x="2295" y="3766"/>
                </a:lnTo>
                <a:lnTo>
                  <a:pt x="2470" y="3711"/>
                </a:lnTo>
                <a:lnTo>
                  <a:pt x="2655" y="3656"/>
                </a:lnTo>
                <a:lnTo>
                  <a:pt x="2820" y="3574"/>
                </a:lnTo>
                <a:lnTo>
                  <a:pt x="2977" y="3474"/>
                </a:lnTo>
                <a:lnTo>
                  <a:pt x="3125" y="3364"/>
                </a:lnTo>
                <a:lnTo>
                  <a:pt x="3272" y="3245"/>
                </a:lnTo>
                <a:lnTo>
                  <a:pt x="3383" y="3108"/>
                </a:lnTo>
                <a:lnTo>
                  <a:pt x="3493" y="2962"/>
                </a:lnTo>
                <a:lnTo>
                  <a:pt x="3595" y="2806"/>
                </a:lnTo>
                <a:lnTo>
                  <a:pt x="3678" y="2642"/>
                </a:lnTo>
                <a:lnTo>
                  <a:pt x="3733" y="2459"/>
                </a:lnTo>
                <a:lnTo>
                  <a:pt x="3788" y="2276"/>
                </a:lnTo>
                <a:lnTo>
                  <a:pt x="3825" y="2093"/>
                </a:lnTo>
                <a:lnTo>
                  <a:pt x="3834" y="1901"/>
                </a:lnTo>
                <a:lnTo>
                  <a:pt x="3825" y="1709"/>
                </a:lnTo>
                <a:lnTo>
                  <a:pt x="3788" y="1517"/>
                </a:lnTo>
                <a:lnTo>
                  <a:pt x="3733" y="1335"/>
                </a:lnTo>
                <a:lnTo>
                  <a:pt x="3678" y="1161"/>
                </a:lnTo>
                <a:lnTo>
                  <a:pt x="3595" y="987"/>
                </a:lnTo>
                <a:lnTo>
                  <a:pt x="3493" y="841"/>
                </a:lnTo>
                <a:lnTo>
                  <a:pt x="3383" y="686"/>
                </a:lnTo>
                <a:lnTo>
                  <a:pt x="3272" y="558"/>
                </a:lnTo>
                <a:lnTo>
                  <a:pt x="3125" y="430"/>
                </a:lnTo>
                <a:lnTo>
                  <a:pt x="2977" y="320"/>
                </a:lnTo>
                <a:lnTo>
                  <a:pt x="2820" y="229"/>
                </a:lnTo>
                <a:lnTo>
                  <a:pt x="2655" y="146"/>
                </a:lnTo>
                <a:lnTo>
                  <a:pt x="2470" y="82"/>
                </a:lnTo>
                <a:lnTo>
                  <a:pt x="2295" y="37"/>
                </a:lnTo>
                <a:lnTo>
                  <a:pt x="2101" y="9"/>
                </a:lnTo>
                <a:lnTo>
                  <a:pt x="1917" y="0"/>
                </a:lnTo>
                <a:lnTo>
                  <a:pt x="1714" y="9"/>
                </a:lnTo>
                <a:lnTo>
                  <a:pt x="1530" y="37"/>
                </a:lnTo>
                <a:lnTo>
                  <a:pt x="1336" y="82"/>
                </a:lnTo>
                <a:lnTo>
                  <a:pt x="1161" y="146"/>
                </a:lnTo>
                <a:lnTo>
                  <a:pt x="995" y="229"/>
                </a:lnTo>
                <a:lnTo>
                  <a:pt x="839" y="320"/>
                </a:lnTo>
                <a:lnTo>
                  <a:pt x="691" y="430"/>
                </a:lnTo>
                <a:lnTo>
                  <a:pt x="553" y="558"/>
                </a:lnTo>
                <a:lnTo>
                  <a:pt x="424" y="686"/>
                </a:lnTo>
                <a:lnTo>
                  <a:pt x="322" y="841"/>
                </a:lnTo>
                <a:lnTo>
                  <a:pt x="230" y="987"/>
                </a:lnTo>
                <a:lnTo>
                  <a:pt x="147" y="1161"/>
                </a:lnTo>
                <a:lnTo>
                  <a:pt x="74" y="1335"/>
                </a:lnTo>
                <a:lnTo>
                  <a:pt x="37" y="1517"/>
                </a:lnTo>
                <a:lnTo>
                  <a:pt x="9" y="1709"/>
                </a:lnTo>
                <a:lnTo>
                  <a:pt x="0" y="1901"/>
                </a:lnTo>
                <a:lnTo>
                  <a:pt x="9" y="2093"/>
                </a:lnTo>
                <a:lnTo>
                  <a:pt x="37" y="2276"/>
                </a:lnTo>
                <a:lnTo>
                  <a:pt x="74" y="2459"/>
                </a:lnTo>
                <a:lnTo>
                  <a:pt x="147" y="2642"/>
                </a:lnTo>
                <a:lnTo>
                  <a:pt x="230" y="2806"/>
                </a:lnTo>
                <a:lnTo>
                  <a:pt x="322" y="2962"/>
                </a:lnTo>
                <a:lnTo>
                  <a:pt x="424" y="3108"/>
                </a:lnTo>
                <a:lnTo>
                  <a:pt x="553" y="3245"/>
                </a:lnTo>
                <a:lnTo>
                  <a:pt x="691" y="3364"/>
                </a:lnTo>
                <a:lnTo>
                  <a:pt x="839" y="3474"/>
                </a:lnTo>
                <a:lnTo>
                  <a:pt x="995" y="3574"/>
                </a:lnTo>
                <a:lnTo>
                  <a:pt x="1161" y="3656"/>
                </a:lnTo>
                <a:lnTo>
                  <a:pt x="1336" y="3711"/>
                </a:lnTo>
                <a:lnTo>
                  <a:pt x="1530" y="3766"/>
                </a:lnTo>
                <a:lnTo>
                  <a:pt x="1714" y="3793"/>
                </a:lnTo>
                <a:lnTo>
                  <a:pt x="1917" y="3812"/>
                </a:lnTo>
                <a:close/>
              </a:path>
            </a:pathLst>
          </a:custGeom>
          <a:solidFill>
            <a:srgbClr val="E6FF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1" name="Freeform 82">
            <a:extLst>
              <a:ext uri="{FF2B5EF4-FFF2-40B4-BE49-F238E27FC236}">
                <a16:creationId xmlns="" xmlns:a16="http://schemas.microsoft.com/office/drawing/2014/main" id="{00000000-0008-0000-0300-000015000000}"/>
              </a:ext>
            </a:extLst>
          </xdr:cNvPr>
          <xdr:cNvSpPr>
            <a:spLocks/>
          </xdr:cNvSpPr>
        </xdr:nvSpPr>
        <xdr:spPr bwMode="auto">
          <a:xfrm>
            <a:off x="234722" y="128068"/>
            <a:ext cx="258575" cy="256790"/>
          </a:xfrm>
          <a:custGeom>
            <a:avLst/>
            <a:gdLst>
              <a:gd name="T0" fmla="*/ 1779 w 3227"/>
              <a:gd name="T1" fmla="*/ 3190 h 3208"/>
              <a:gd name="T2" fmla="*/ 2083 w 3227"/>
              <a:gd name="T3" fmla="*/ 3126 h 3208"/>
              <a:gd name="T4" fmla="*/ 2369 w 3227"/>
              <a:gd name="T5" fmla="*/ 2998 h 3208"/>
              <a:gd name="T6" fmla="*/ 2627 w 3227"/>
              <a:gd name="T7" fmla="*/ 2825 h 3208"/>
              <a:gd name="T8" fmla="*/ 2849 w 3227"/>
              <a:gd name="T9" fmla="*/ 2605 h 3208"/>
              <a:gd name="T10" fmla="*/ 3024 w 3227"/>
              <a:gd name="T11" fmla="*/ 2349 h 3208"/>
              <a:gd name="T12" fmla="*/ 3153 w 3227"/>
              <a:gd name="T13" fmla="*/ 2066 h 3208"/>
              <a:gd name="T14" fmla="*/ 3217 w 3227"/>
              <a:gd name="T15" fmla="*/ 1755 h 3208"/>
              <a:gd name="T16" fmla="*/ 3217 w 3227"/>
              <a:gd name="T17" fmla="*/ 1426 h 3208"/>
              <a:gd name="T18" fmla="*/ 3153 w 3227"/>
              <a:gd name="T19" fmla="*/ 1124 h 3208"/>
              <a:gd name="T20" fmla="*/ 3024 w 3227"/>
              <a:gd name="T21" fmla="*/ 832 h 3208"/>
              <a:gd name="T22" fmla="*/ 2849 w 3227"/>
              <a:gd name="T23" fmla="*/ 585 h 3208"/>
              <a:gd name="T24" fmla="*/ 2627 w 3227"/>
              <a:gd name="T25" fmla="*/ 366 h 3208"/>
              <a:gd name="T26" fmla="*/ 2369 w 3227"/>
              <a:gd name="T27" fmla="*/ 192 h 3208"/>
              <a:gd name="T28" fmla="*/ 2083 w 3227"/>
              <a:gd name="T29" fmla="*/ 64 h 3208"/>
              <a:gd name="T30" fmla="*/ 1779 w 3227"/>
              <a:gd name="T31" fmla="*/ 9 h 3208"/>
              <a:gd name="T32" fmla="*/ 1438 w 3227"/>
              <a:gd name="T33" fmla="*/ 9 h 3208"/>
              <a:gd name="T34" fmla="*/ 1125 w 3227"/>
              <a:gd name="T35" fmla="*/ 64 h 3208"/>
              <a:gd name="T36" fmla="*/ 839 w 3227"/>
              <a:gd name="T37" fmla="*/ 192 h 3208"/>
              <a:gd name="T38" fmla="*/ 581 w 3227"/>
              <a:gd name="T39" fmla="*/ 366 h 3208"/>
              <a:gd name="T40" fmla="*/ 369 w 3227"/>
              <a:gd name="T41" fmla="*/ 585 h 3208"/>
              <a:gd name="T42" fmla="*/ 194 w 3227"/>
              <a:gd name="T43" fmla="*/ 832 h 3208"/>
              <a:gd name="T44" fmla="*/ 65 w 3227"/>
              <a:gd name="T45" fmla="*/ 1124 h 3208"/>
              <a:gd name="T46" fmla="*/ 9 w 3227"/>
              <a:gd name="T47" fmla="*/ 1426 h 3208"/>
              <a:gd name="T48" fmla="*/ 9 w 3227"/>
              <a:gd name="T49" fmla="*/ 1755 h 3208"/>
              <a:gd name="T50" fmla="*/ 65 w 3227"/>
              <a:gd name="T51" fmla="*/ 2066 h 3208"/>
              <a:gd name="T52" fmla="*/ 194 w 3227"/>
              <a:gd name="T53" fmla="*/ 2349 h 3208"/>
              <a:gd name="T54" fmla="*/ 369 w 3227"/>
              <a:gd name="T55" fmla="*/ 2605 h 3208"/>
              <a:gd name="T56" fmla="*/ 581 w 3227"/>
              <a:gd name="T57" fmla="*/ 2825 h 3208"/>
              <a:gd name="T58" fmla="*/ 839 w 3227"/>
              <a:gd name="T59" fmla="*/ 2998 h 3208"/>
              <a:gd name="T60" fmla="*/ 1125 w 3227"/>
              <a:gd name="T61" fmla="*/ 3126 h 3208"/>
              <a:gd name="T62" fmla="*/ 1438 w 3227"/>
              <a:gd name="T63" fmla="*/ 3190 h 3208"/>
              <a:gd name="T64" fmla="*/ 1613 w 3227"/>
              <a:gd name="T65" fmla="*/ 3208 h 3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227" h="3208">
                <a:moveTo>
                  <a:pt x="1613" y="3208"/>
                </a:moveTo>
                <a:lnTo>
                  <a:pt x="1779" y="3190"/>
                </a:lnTo>
                <a:lnTo>
                  <a:pt x="1936" y="3163"/>
                </a:lnTo>
                <a:lnTo>
                  <a:pt x="2083" y="3126"/>
                </a:lnTo>
                <a:lnTo>
                  <a:pt x="2240" y="3080"/>
                </a:lnTo>
                <a:lnTo>
                  <a:pt x="2369" y="2998"/>
                </a:lnTo>
                <a:lnTo>
                  <a:pt x="2508" y="2925"/>
                </a:lnTo>
                <a:lnTo>
                  <a:pt x="2627" y="2825"/>
                </a:lnTo>
                <a:lnTo>
                  <a:pt x="2756" y="2733"/>
                </a:lnTo>
                <a:lnTo>
                  <a:pt x="2849" y="2605"/>
                </a:lnTo>
                <a:lnTo>
                  <a:pt x="2941" y="2486"/>
                </a:lnTo>
                <a:lnTo>
                  <a:pt x="3024" y="2349"/>
                </a:lnTo>
                <a:lnTo>
                  <a:pt x="3097" y="2221"/>
                </a:lnTo>
                <a:lnTo>
                  <a:pt x="3153" y="2066"/>
                </a:lnTo>
                <a:lnTo>
                  <a:pt x="3190" y="1920"/>
                </a:lnTo>
                <a:lnTo>
                  <a:pt x="3217" y="1755"/>
                </a:lnTo>
                <a:lnTo>
                  <a:pt x="3227" y="1600"/>
                </a:lnTo>
                <a:lnTo>
                  <a:pt x="3217" y="1426"/>
                </a:lnTo>
                <a:lnTo>
                  <a:pt x="3190" y="1280"/>
                </a:lnTo>
                <a:lnTo>
                  <a:pt x="3153" y="1124"/>
                </a:lnTo>
                <a:lnTo>
                  <a:pt x="3097" y="978"/>
                </a:lnTo>
                <a:lnTo>
                  <a:pt x="3024" y="832"/>
                </a:lnTo>
                <a:lnTo>
                  <a:pt x="2941" y="704"/>
                </a:lnTo>
                <a:lnTo>
                  <a:pt x="2849" y="585"/>
                </a:lnTo>
                <a:lnTo>
                  <a:pt x="2756" y="475"/>
                </a:lnTo>
                <a:lnTo>
                  <a:pt x="2627" y="366"/>
                </a:lnTo>
                <a:lnTo>
                  <a:pt x="2508" y="274"/>
                </a:lnTo>
                <a:lnTo>
                  <a:pt x="2369" y="192"/>
                </a:lnTo>
                <a:lnTo>
                  <a:pt x="2240" y="128"/>
                </a:lnTo>
                <a:lnTo>
                  <a:pt x="2083" y="64"/>
                </a:lnTo>
                <a:lnTo>
                  <a:pt x="1936" y="37"/>
                </a:lnTo>
                <a:lnTo>
                  <a:pt x="1779" y="9"/>
                </a:lnTo>
                <a:lnTo>
                  <a:pt x="1613" y="0"/>
                </a:lnTo>
                <a:lnTo>
                  <a:pt x="1438" y="9"/>
                </a:lnTo>
                <a:lnTo>
                  <a:pt x="1282" y="37"/>
                </a:lnTo>
                <a:lnTo>
                  <a:pt x="1125" y="64"/>
                </a:lnTo>
                <a:lnTo>
                  <a:pt x="987" y="128"/>
                </a:lnTo>
                <a:lnTo>
                  <a:pt x="839" y="192"/>
                </a:lnTo>
                <a:lnTo>
                  <a:pt x="710" y="274"/>
                </a:lnTo>
                <a:lnTo>
                  <a:pt x="581" y="366"/>
                </a:lnTo>
                <a:lnTo>
                  <a:pt x="470" y="475"/>
                </a:lnTo>
                <a:lnTo>
                  <a:pt x="369" y="585"/>
                </a:lnTo>
                <a:lnTo>
                  <a:pt x="277" y="704"/>
                </a:lnTo>
                <a:lnTo>
                  <a:pt x="194" y="832"/>
                </a:lnTo>
                <a:lnTo>
                  <a:pt x="129" y="978"/>
                </a:lnTo>
                <a:lnTo>
                  <a:pt x="65" y="1124"/>
                </a:lnTo>
                <a:lnTo>
                  <a:pt x="37" y="1280"/>
                </a:lnTo>
                <a:lnTo>
                  <a:pt x="9" y="1426"/>
                </a:lnTo>
                <a:lnTo>
                  <a:pt x="0" y="1600"/>
                </a:lnTo>
                <a:lnTo>
                  <a:pt x="9" y="1755"/>
                </a:lnTo>
                <a:lnTo>
                  <a:pt x="37" y="1920"/>
                </a:lnTo>
                <a:lnTo>
                  <a:pt x="65" y="2066"/>
                </a:lnTo>
                <a:lnTo>
                  <a:pt x="129" y="2221"/>
                </a:lnTo>
                <a:lnTo>
                  <a:pt x="194" y="2349"/>
                </a:lnTo>
                <a:lnTo>
                  <a:pt x="277" y="2486"/>
                </a:lnTo>
                <a:lnTo>
                  <a:pt x="369" y="2605"/>
                </a:lnTo>
                <a:lnTo>
                  <a:pt x="470" y="2733"/>
                </a:lnTo>
                <a:lnTo>
                  <a:pt x="581" y="2825"/>
                </a:lnTo>
                <a:lnTo>
                  <a:pt x="710" y="2925"/>
                </a:lnTo>
                <a:lnTo>
                  <a:pt x="839" y="2998"/>
                </a:lnTo>
                <a:lnTo>
                  <a:pt x="987" y="3080"/>
                </a:lnTo>
                <a:lnTo>
                  <a:pt x="1125" y="3126"/>
                </a:lnTo>
                <a:lnTo>
                  <a:pt x="1282" y="3163"/>
                </a:lnTo>
                <a:lnTo>
                  <a:pt x="1438" y="3190"/>
                </a:lnTo>
                <a:lnTo>
                  <a:pt x="1613" y="3208"/>
                </a:lnTo>
                <a:close/>
              </a:path>
            </a:pathLst>
          </a:custGeom>
          <a:solidFill>
            <a:srgbClr val="EDFF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2" name="Freeform 83">
            <a:extLst>
              <a:ext uri="{FF2B5EF4-FFF2-40B4-BE49-F238E27FC236}">
                <a16:creationId xmlns="" xmlns:a16="http://schemas.microsoft.com/office/drawing/2014/main" id="{00000000-0008-0000-0300-000016000000}"/>
              </a:ext>
            </a:extLst>
          </xdr:cNvPr>
          <xdr:cNvSpPr>
            <a:spLocks/>
          </xdr:cNvSpPr>
        </xdr:nvSpPr>
        <xdr:spPr bwMode="auto">
          <a:xfrm>
            <a:off x="256315" y="144901"/>
            <a:ext cx="209799" cy="208489"/>
          </a:xfrm>
          <a:custGeom>
            <a:avLst/>
            <a:gdLst>
              <a:gd name="T0" fmla="*/ 1438 w 2618"/>
              <a:gd name="T1" fmla="*/ 2587 h 2605"/>
              <a:gd name="T2" fmla="*/ 1687 w 2618"/>
              <a:gd name="T3" fmla="*/ 2532 h 2605"/>
              <a:gd name="T4" fmla="*/ 1926 w 2618"/>
              <a:gd name="T5" fmla="*/ 2431 h 2605"/>
              <a:gd name="T6" fmla="*/ 2129 w 2618"/>
              <a:gd name="T7" fmla="*/ 2294 h 2605"/>
              <a:gd name="T8" fmla="*/ 2304 w 2618"/>
              <a:gd name="T9" fmla="*/ 2121 h 2605"/>
              <a:gd name="T10" fmla="*/ 2452 w 2618"/>
              <a:gd name="T11" fmla="*/ 1910 h 2605"/>
              <a:gd name="T12" fmla="*/ 2544 w 2618"/>
              <a:gd name="T13" fmla="*/ 1682 h 2605"/>
              <a:gd name="T14" fmla="*/ 2609 w 2618"/>
              <a:gd name="T15" fmla="*/ 1435 h 2605"/>
              <a:gd name="T16" fmla="*/ 2609 w 2618"/>
              <a:gd name="T17" fmla="*/ 1170 h 2605"/>
              <a:gd name="T18" fmla="*/ 2544 w 2618"/>
              <a:gd name="T19" fmla="*/ 914 h 2605"/>
              <a:gd name="T20" fmla="*/ 2452 w 2618"/>
              <a:gd name="T21" fmla="*/ 676 h 2605"/>
              <a:gd name="T22" fmla="*/ 2304 w 2618"/>
              <a:gd name="T23" fmla="*/ 466 h 2605"/>
              <a:gd name="T24" fmla="*/ 2129 w 2618"/>
              <a:gd name="T25" fmla="*/ 292 h 2605"/>
              <a:gd name="T26" fmla="*/ 1926 w 2618"/>
              <a:gd name="T27" fmla="*/ 155 h 2605"/>
              <a:gd name="T28" fmla="*/ 1687 w 2618"/>
              <a:gd name="T29" fmla="*/ 55 h 2605"/>
              <a:gd name="T30" fmla="*/ 1438 w 2618"/>
              <a:gd name="T31" fmla="*/ 0 h 2605"/>
              <a:gd name="T32" fmla="*/ 1171 w 2618"/>
              <a:gd name="T33" fmla="*/ 0 h 2605"/>
              <a:gd name="T34" fmla="*/ 913 w 2618"/>
              <a:gd name="T35" fmla="*/ 55 h 2605"/>
              <a:gd name="T36" fmla="*/ 673 w 2618"/>
              <a:gd name="T37" fmla="*/ 155 h 2605"/>
              <a:gd name="T38" fmla="*/ 470 w 2618"/>
              <a:gd name="T39" fmla="*/ 292 h 2605"/>
              <a:gd name="T40" fmla="*/ 295 w 2618"/>
              <a:gd name="T41" fmla="*/ 466 h 2605"/>
              <a:gd name="T42" fmla="*/ 147 w 2618"/>
              <a:gd name="T43" fmla="*/ 676 h 2605"/>
              <a:gd name="T44" fmla="*/ 55 w 2618"/>
              <a:gd name="T45" fmla="*/ 914 h 2605"/>
              <a:gd name="T46" fmla="*/ 0 w 2618"/>
              <a:gd name="T47" fmla="*/ 1170 h 2605"/>
              <a:gd name="T48" fmla="*/ 0 w 2618"/>
              <a:gd name="T49" fmla="*/ 1435 h 2605"/>
              <a:gd name="T50" fmla="*/ 55 w 2618"/>
              <a:gd name="T51" fmla="*/ 1682 h 2605"/>
              <a:gd name="T52" fmla="*/ 147 w 2618"/>
              <a:gd name="T53" fmla="*/ 1910 h 2605"/>
              <a:gd name="T54" fmla="*/ 295 w 2618"/>
              <a:gd name="T55" fmla="*/ 2121 h 2605"/>
              <a:gd name="T56" fmla="*/ 470 w 2618"/>
              <a:gd name="T57" fmla="*/ 2294 h 2605"/>
              <a:gd name="T58" fmla="*/ 673 w 2618"/>
              <a:gd name="T59" fmla="*/ 2431 h 2605"/>
              <a:gd name="T60" fmla="*/ 913 w 2618"/>
              <a:gd name="T61" fmla="*/ 2532 h 2605"/>
              <a:gd name="T62" fmla="*/ 1171 w 2618"/>
              <a:gd name="T63" fmla="*/ 2587 h 2605"/>
              <a:gd name="T64" fmla="*/ 1309 w 2618"/>
              <a:gd name="T65" fmla="*/ 2605 h 26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618" h="2605">
                <a:moveTo>
                  <a:pt x="1309" y="2605"/>
                </a:moveTo>
                <a:lnTo>
                  <a:pt x="1438" y="2587"/>
                </a:lnTo>
                <a:lnTo>
                  <a:pt x="1567" y="2569"/>
                </a:lnTo>
                <a:lnTo>
                  <a:pt x="1687" y="2532"/>
                </a:lnTo>
                <a:lnTo>
                  <a:pt x="1816" y="2495"/>
                </a:lnTo>
                <a:lnTo>
                  <a:pt x="1926" y="2431"/>
                </a:lnTo>
                <a:lnTo>
                  <a:pt x="2037" y="2367"/>
                </a:lnTo>
                <a:lnTo>
                  <a:pt x="2129" y="2294"/>
                </a:lnTo>
                <a:lnTo>
                  <a:pt x="2231" y="2212"/>
                </a:lnTo>
                <a:lnTo>
                  <a:pt x="2304" y="2121"/>
                </a:lnTo>
                <a:lnTo>
                  <a:pt x="2387" y="2020"/>
                </a:lnTo>
                <a:lnTo>
                  <a:pt x="2452" y="1910"/>
                </a:lnTo>
                <a:lnTo>
                  <a:pt x="2507" y="1801"/>
                </a:lnTo>
                <a:lnTo>
                  <a:pt x="2544" y="1682"/>
                </a:lnTo>
                <a:lnTo>
                  <a:pt x="2581" y="1563"/>
                </a:lnTo>
                <a:lnTo>
                  <a:pt x="2609" y="1435"/>
                </a:lnTo>
                <a:lnTo>
                  <a:pt x="2618" y="1298"/>
                </a:lnTo>
                <a:lnTo>
                  <a:pt x="2609" y="1170"/>
                </a:lnTo>
                <a:lnTo>
                  <a:pt x="2581" y="1042"/>
                </a:lnTo>
                <a:lnTo>
                  <a:pt x="2544" y="914"/>
                </a:lnTo>
                <a:lnTo>
                  <a:pt x="2507" y="795"/>
                </a:lnTo>
                <a:lnTo>
                  <a:pt x="2452" y="676"/>
                </a:lnTo>
                <a:lnTo>
                  <a:pt x="2387" y="567"/>
                </a:lnTo>
                <a:lnTo>
                  <a:pt x="2304" y="466"/>
                </a:lnTo>
                <a:lnTo>
                  <a:pt x="2231" y="384"/>
                </a:lnTo>
                <a:lnTo>
                  <a:pt x="2129" y="292"/>
                </a:lnTo>
                <a:lnTo>
                  <a:pt x="2037" y="219"/>
                </a:lnTo>
                <a:lnTo>
                  <a:pt x="1926" y="155"/>
                </a:lnTo>
                <a:lnTo>
                  <a:pt x="1816" y="101"/>
                </a:lnTo>
                <a:lnTo>
                  <a:pt x="1687" y="55"/>
                </a:lnTo>
                <a:lnTo>
                  <a:pt x="1567" y="27"/>
                </a:lnTo>
                <a:lnTo>
                  <a:pt x="1438" y="0"/>
                </a:lnTo>
                <a:lnTo>
                  <a:pt x="1309" y="0"/>
                </a:lnTo>
                <a:lnTo>
                  <a:pt x="1171" y="0"/>
                </a:lnTo>
                <a:lnTo>
                  <a:pt x="1042" y="27"/>
                </a:lnTo>
                <a:lnTo>
                  <a:pt x="913" y="55"/>
                </a:lnTo>
                <a:lnTo>
                  <a:pt x="802" y="101"/>
                </a:lnTo>
                <a:lnTo>
                  <a:pt x="673" y="155"/>
                </a:lnTo>
                <a:lnTo>
                  <a:pt x="571" y="219"/>
                </a:lnTo>
                <a:lnTo>
                  <a:pt x="470" y="292"/>
                </a:lnTo>
                <a:lnTo>
                  <a:pt x="387" y="384"/>
                </a:lnTo>
                <a:lnTo>
                  <a:pt x="295" y="466"/>
                </a:lnTo>
                <a:lnTo>
                  <a:pt x="212" y="567"/>
                </a:lnTo>
                <a:lnTo>
                  <a:pt x="147" y="676"/>
                </a:lnTo>
                <a:lnTo>
                  <a:pt x="101" y="795"/>
                </a:lnTo>
                <a:lnTo>
                  <a:pt x="55" y="914"/>
                </a:lnTo>
                <a:lnTo>
                  <a:pt x="18" y="1042"/>
                </a:lnTo>
                <a:lnTo>
                  <a:pt x="0" y="1170"/>
                </a:lnTo>
                <a:lnTo>
                  <a:pt x="0" y="1298"/>
                </a:lnTo>
                <a:lnTo>
                  <a:pt x="0" y="1435"/>
                </a:lnTo>
                <a:lnTo>
                  <a:pt x="18" y="1563"/>
                </a:lnTo>
                <a:lnTo>
                  <a:pt x="55" y="1682"/>
                </a:lnTo>
                <a:lnTo>
                  <a:pt x="101" y="1801"/>
                </a:lnTo>
                <a:lnTo>
                  <a:pt x="147" y="1910"/>
                </a:lnTo>
                <a:lnTo>
                  <a:pt x="212" y="2020"/>
                </a:lnTo>
                <a:lnTo>
                  <a:pt x="295" y="2121"/>
                </a:lnTo>
                <a:lnTo>
                  <a:pt x="387" y="2212"/>
                </a:lnTo>
                <a:lnTo>
                  <a:pt x="470" y="2294"/>
                </a:lnTo>
                <a:lnTo>
                  <a:pt x="571" y="2367"/>
                </a:lnTo>
                <a:lnTo>
                  <a:pt x="673" y="2431"/>
                </a:lnTo>
                <a:lnTo>
                  <a:pt x="802" y="2495"/>
                </a:lnTo>
                <a:lnTo>
                  <a:pt x="913" y="2532"/>
                </a:lnTo>
                <a:lnTo>
                  <a:pt x="1042" y="2569"/>
                </a:lnTo>
                <a:lnTo>
                  <a:pt x="1171" y="2587"/>
                </a:lnTo>
                <a:lnTo>
                  <a:pt x="1309" y="2605"/>
                </a:lnTo>
                <a:close/>
              </a:path>
            </a:pathLst>
          </a:custGeom>
          <a:solidFill>
            <a:srgbClr val="F0FCD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3" name="Freeform 84">
            <a:extLst>
              <a:ext uri="{FF2B5EF4-FFF2-40B4-BE49-F238E27FC236}">
                <a16:creationId xmlns="" xmlns:a16="http://schemas.microsoft.com/office/drawing/2014/main" id="{00000000-0008-0000-0300-000017000000}"/>
              </a:ext>
            </a:extLst>
          </xdr:cNvPr>
          <xdr:cNvSpPr>
            <a:spLocks/>
          </xdr:cNvSpPr>
        </xdr:nvSpPr>
        <xdr:spPr bwMode="auto">
          <a:xfrm>
            <a:off x="268093" y="155073"/>
            <a:ext cx="161082" cy="159534"/>
          </a:xfrm>
          <a:custGeom>
            <a:avLst/>
            <a:gdLst>
              <a:gd name="T0" fmla="*/ 1107 w 2010"/>
              <a:gd name="T1" fmla="*/ 1974 h 1993"/>
              <a:gd name="T2" fmla="*/ 1291 w 2010"/>
              <a:gd name="T3" fmla="*/ 1938 h 1993"/>
              <a:gd name="T4" fmla="*/ 1475 w 2010"/>
              <a:gd name="T5" fmla="*/ 1865 h 1993"/>
              <a:gd name="T6" fmla="*/ 1632 w 2010"/>
              <a:gd name="T7" fmla="*/ 1755 h 1993"/>
              <a:gd name="T8" fmla="*/ 1770 w 2010"/>
              <a:gd name="T9" fmla="*/ 1618 h 1993"/>
              <a:gd name="T10" fmla="*/ 1881 w 2010"/>
              <a:gd name="T11" fmla="*/ 1462 h 1993"/>
              <a:gd name="T12" fmla="*/ 1955 w 2010"/>
              <a:gd name="T13" fmla="*/ 1280 h 1993"/>
              <a:gd name="T14" fmla="*/ 2001 w 2010"/>
              <a:gd name="T15" fmla="*/ 1097 h 1993"/>
              <a:gd name="T16" fmla="*/ 2001 w 2010"/>
              <a:gd name="T17" fmla="*/ 887 h 1993"/>
              <a:gd name="T18" fmla="*/ 1955 w 2010"/>
              <a:gd name="T19" fmla="*/ 695 h 1993"/>
              <a:gd name="T20" fmla="*/ 1881 w 2010"/>
              <a:gd name="T21" fmla="*/ 512 h 1993"/>
              <a:gd name="T22" fmla="*/ 1770 w 2010"/>
              <a:gd name="T23" fmla="*/ 356 h 1993"/>
              <a:gd name="T24" fmla="*/ 1632 w 2010"/>
              <a:gd name="T25" fmla="*/ 219 h 1993"/>
              <a:gd name="T26" fmla="*/ 1475 w 2010"/>
              <a:gd name="T27" fmla="*/ 110 h 1993"/>
              <a:gd name="T28" fmla="*/ 1291 w 2010"/>
              <a:gd name="T29" fmla="*/ 46 h 1993"/>
              <a:gd name="T30" fmla="*/ 1107 w 2010"/>
              <a:gd name="T31" fmla="*/ 0 h 1993"/>
              <a:gd name="T32" fmla="*/ 895 w 2010"/>
              <a:gd name="T33" fmla="*/ 0 h 1993"/>
              <a:gd name="T34" fmla="*/ 701 w 2010"/>
              <a:gd name="T35" fmla="*/ 46 h 1993"/>
              <a:gd name="T36" fmla="*/ 517 w 2010"/>
              <a:gd name="T37" fmla="*/ 110 h 1993"/>
              <a:gd name="T38" fmla="*/ 360 w 2010"/>
              <a:gd name="T39" fmla="*/ 219 h 1993"/>
              <a:gd name="T40" fmla="*/ 222 w 2010"/>
              <a:gd name="T41" fmla="*/ 356 h 1993"/>
              <a:gd name="T42" fmla="*/ 111 w 2010"/>
              <a:gd name="T43" fmla="*/ 512 h 1993"/>
              <a:gd name="T44" fmla="*/ 47 w 2010"/>
              <a:gd name="T45" fmla="*/ 695 h 1993"/>
              <a:gd name="T46" fmla="*/ 0 w 2010"/>
              <a:gd name="T47" fmla="*/ 887 h 1993"/>
              <a:gd name="T48" fmla="*/ 0 w 2010"/>
              <a:gd name="T49" fmla="*/ 1097 h 1993"/>
              <a:gd name="T50" fmla="*/ 47 w 2010"/>
              <a:gd name="T51" fmla="*/ 1280 h 1993"/>
              <a:gd name="T52" fmla="*/ 111 w 2010"/>
              <a:gd name="T53" fmla="*/ 1462 h 1993"/>
              <a:gd name="T54" fmla="*/ 222 w 2010"/>
              <a:gd name="T55" fmla="*/ 1618 h 1993"/>
              <a:gd name="T56" fmla="*/ 360 w 2010"/>
              <a:gd name="T57" fmla="*/ 1755 h 1993"/>
              <a:gd name="T58" fmla="*/ 517 w 2010"/>
              <a:gd name="T59" fmla="*/ 1865 h 1993"/>
              <a:gd name="T60" fmla="*/ 701 w 2010"/>
              <a:gd name="T61" fmla="*/ 1938 h 1993"/>
              <a:gd name="T62" fmla="*/ 895 w 2010"/>
              <a:gd name="T63" fmla="*/ 1974 h 1993"/>
              <a:gd name="T64" fmla="*/ 1005 w 2010"/>
              <a:gd name="T65" fmla="*/ 1993 h 19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0" h="1993">
                <a:moveTo>
                  <a:pt x="1005" y="1993"/>
                </a:moveTo>
                <a:lnTo>
                  <a:pt x="1107" y="1974"/>
                </a:lnTo>
                <a:lnTo>
                  <a:pt x="1199" y="1965"/>
                </a:lnTo>
                <a:lnTo>
                  <a:pt x="1291" y="1938"/>
                </a:lnTo>
                <a:lnTo>
                  <a:pt x="1392" y="1910"/>
                </a:lnTo>
                <a:lnTo>
                  <a:pt x="1475" y="1865"/>
                </a:lnTo>
                <a:lnTo>
                  <a:pt x="1558" y="1810"/>
                </a:lnTo>
                <a:lnTo>
                  <a:pt x="1632" y="1755"/>
                </a:lnTo>
                <a:lnTo>
                  <a:pt x="1715" y="1700"/>
                </a:lnTo>
                <a:lnTo>
                  <a:pt x="1770" y="1618"/>
                </a:lnTo>
                <a:lnTo>
                  <a:pt x="1826" y="1545"/>
                </a:lnTo>
                <a:lnTo>
                  <a:pt x="1881" y="1462"/>
                </a:lnTo>
                <a:lnTo>
                  <a:pt x="1927" y="1380"/>
                </a:lnTo>
                <a:lnTo>
                  <a:pt x="1955" y="1280"/>
                </a:lnTo>
                <a:lnTo>
                  <a:pt x="1982" y="1197"/>
                </a:lnTo>
                <a:lnTo>
                  <a:pt x="2001" y="1097"/>
                </a:lnTo>
                <a:lnTo>
                  <a:pt x="2010" y="996"/>
                </a:lnTo>
                <a:lnTo>
                  <a:pt x="2001" y="887"/>
                </a:lnTo>
                <a:lnTo>
                  <a:pt x="1982" y="795"/>
                </a:lnTo>
                <a:lnTo>
                  <a:pt x="1955" y="695"/>
                </a:lnTo>
                <a:lnTo>
                  <a:pt x="1927" y="612"/>
                </a:lnTo>
                <a:lnTo>
                  <a:pt x="1881" y="512"/>
                </a:lnTo>
                <a:lnTo>
                  <a:pt x="1826" y="439"/>
                </a:lnTo>
                <a:lnTo>
                  <a:pt x="1770" y="356"/>
                </a:lnTo>
                <a:lnTo>
                  <a:pt x="1715" y="292"/>
                </a:lnTo>
                <a:lnTo>
                  <a:pt x="1632" y="219"/>
                </a:lnTo>
                <a:lnTo>
                  <a:pt x="1558" y="164"/>
                </a:lnTo>
                <a:lnTo>
                  <a:pt x="1475" y="110"/>
                </a:lnTo>
                <a:lnTo>
                  <a:pt x="1392" y="82"/>
                </a:lnTo>
                <a:lnTo>
                  <a:pt x="1291" y="46"/>
                </a:lnTo>
                <a:lnTo>
                  <a:pt x="1199" y="27"/>
                </a:lnTo>
                <a:lnTo>
                  <a:pt x="1107" y="0"/>
                </a:lnTo>
                <a:lnTo>
                  <a:pt x="1005" y="0"/>
                </a:lnTo>
                <a:lnTo>
                  <a:pt x="895" y="0"/>
                </a:lnTo>
                <a:lnTo>
                  <a:pt x="802" y="27"/>
                </a:lnTo>
                <a:lnTo>
                  <a:pt x="701" y="46"/>
                </a:lnTo>
                <a:lnTo>
                  <a:pt x="609" y="82"/>
                </a:lnTo>
                <a:lnTo>
                  <a:pt x="517" y="110"/>
                </a:lnTo>
                <a:lnTo>
                  <a:pt x="434" y="164"/>
                </a:lnTo>
                <a:lnTo>
                  <a:pt x="360" y="219"/>
                </a:lnTo>
                <a:lnTo>
                  <a:pt x="295" y="292"/>
                </a:lnTo>
                <a:lnTo>
                  <a:pt x="222" y="356"/>
                </a:lnTo>
                <a:lnTo>
                  <a:pt x="166" y="439"/>
                </a:lnTo>
                <a:lnTo>
                  <a:pt x="111" y="512"/>
                </a:lnTo>
                <a:lnTo>
                  <a:pt x="83" y="612"/>
                </a:lnTo>
                <a:lnTo>
                  <a:pt x="47" y="695"/>
                </a:lnTo>
                <a:lnTo>
                  <a:pt x="19" y="795"/>
                </a:lnTo>
                <a:lnTo>
                  <a:pt x="0" y="887"/>
                </a:lnTo>
                <a:lnTo>
                  <a:pt x="0" y="996"/>
                </a:lnTo>
                <a:lnTo>
                  <a:pt x="0" y="1097"/>
                </a:lnTo>
                <a:lnTo>
                  <a:pt x="19" y="1197"/>
                </a:lnTo>
                <a:lnTo>
                  <a:pt x="47" y="1280"/>
                </a:lnTo>
                <a:lnTo>
                  <a:pt x="83" y="1380"/>
                </a:lnTo>
                <a:lnTo>
                  <a:pt x="111" y="1462"/>
                </a:lnTo>
                <a:lnTo>
                  <a:pt x="166" y="1545"/>
                </a:lnTo>
                <a:lnTo>
                  <a:pt x="222" y="1618"/>
                </a:lnTo>
                <a:lnTo>
                  <a:pt x="295" y="1700"/>
                </a:lnTo>
                <a:lnTo>
                  <a:pt x="360" y="1755"/>
                </a:lnTo>
                <a:lnTo>
                  <a:pt x="434" y="1810"/>
                </a:lnTo>
                <a:lnTo>
                  <a:pt x="517" y="1865"/>
                </a:lnTo>
                <a:lnTo>
                  <a:pt x="609" y="1910"/>
                </a:lnTo>
                <a:lnTo>
                  <a:pt x="701" y="1938"/>
                </a:lnTo>
                <a:lnTo>
                  <a:pt x="802" y="1965"/>
                </a:lnTo>
                <a:lnTo>
                  <a:pt x="895" y="1974"/>
                </a:lnTo>
                <a:lnTo>
                  <a:pt x="1005" y="1993"/>
                </a:lnTo>
                <a:close/>
              </a:path>
            </a:pathLst>
          </a:custGeom>
          <a:solidFill>
            <a:srgbClr val="F5FA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4" name="Freeform 85">
            <a:extLst>
              <a:ext uri="{FF2B5EF4-FFF2-40B4-BE49-F238E27FC236}">
                <a16:creationId xmlns="" xmlns:a16="http://schemas.microsoft.com/office/drawing/2014/main" id="{00000000-0008-0000-0300-000018000000}"/>
              </a:ext>
            </a:extLst>
          </xdr:cNvPr>
          <xdr:cNvSpPr>
            <a:spLocks/>
          </xdr:cNvSpPr>
        </xdr:nvSpPr>
        <xdr:spPr bwMode="auto">
          <a:xfrm>
            <a:off x="524467" y="232758"/>
            <a:ext cx="239303" cy="8744"/>
          </a:xfrm>
          <a:custGeom>
            <a:avLst/>
            <a:gdLst>
              <a:gd name="T0" fmla="*/ 0 w 2987"/>
              <a:gd name="T1" fmla="*/ 110 h 110"/>
              <a:gd name="T2" fmla="*/ 2987 w 2987"/>
              <a:gd name="T3" fmla="*/ 110 h 110"/>
              <a:gd name="T4" fmla="*/ 2987 w 2987"/>
              <a:gd name="T5" fmla="*/ 0 h 110"/>
              <a:gd name="T6" fmla="*/ 0 w 2987"/>
              <a:gd name="T7" fmla="*/ 0 h 110"/>
              <a:gd name="T8" fmla="*/ 0 w 2987"/>
              <a:gd name="T9" fmla="*/ 110 h 110"/>
              <a:gd name="T10" fmla="*/ 0 w 2987"/>
              <a:gd name="T11" fmla="*/ 110 h 1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987" h="110">
                <a:moveTo>
                  <a:pt x="0" y="110"/>
                </a:moveTo>
                <a:lnTo>
                  <a:pt x="2987" y="110"/>
                </a:lnTo>
                <a:lnTo>
                  <a:pt x="2987" y="0"/>
                </a:lnTo>
                <a:lnTo>
                  <a:pt x="0" y="0"/>
                </a:lnTo>
                <a:lnTo>
                  <a:pt x="0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5" name="Freeform 86">
            <a:extLst>
              <a:ext uri="{FF2B5EF4-FFF2-40B4-BE49-F238E27FC236}">
                <a16:creationId xmlns="" xmlns:a16="http://schemas.microsoft.com/office/drawing/2014/main" id="{00000000-0008-0000-0300-000019000000}"/>
              </a:ext>
            </a:extLst>
          </xdr:cNvPr>
          <xdr:cNvSpPr>
            <a:spLocks/>
          </xdr:cNvSpPr>
        </xdr:nvSpPr>
        <xdr:spPr bwMode="auto">
          <a:xfrm>
            <a:off x="288139" y="167029"/>
            <a:ext cx="111532" cy="111234"/>
          </a:xfrm>
          <a:custGeom>
            <a:avLst/>
            <a:gdLst>
              <a:gd name="T0" fmla="*/ 756 w 1392"/>
              <a:gd name="T1" fmla="*/ 1380 h 1389"/>
              <a:gd name="T2" fmla="*/ 894 w 1392"/>
              <a:gd name="T3" fmla="*/ 1353 h 1389"/>
              <a:gd name="T4" fmla="*/ 1023 w 1392"/>
              <a:gd name="T5" fmla="*/ 1298 h 1389"/>
              <a:gd name="T6" fmla="*/ 1134 w 1392"/>
              <a:gd name="T7" fmla="*/ 1216 h 1389"/>
              <a:gd name="T8" fmla="*/ 1226 w 1392"/>
              <a:gd name="T9" fmla="*/ 1133 h 1389"/>
              <a:gd name="T10" fmla="*/ 1300 w 1392"/>
              <a:gd name="T11" fmla="*/ 1024 h 1389"/>
              <a:gd name="T12" fmla="*/ 1355 w 1392"/>
              <a:gd name="T13" fmla="*/ 896 h 1389"/>
              <a:gd name="T14" fmla="*/ 1383 w 1392"/>
              <a:gd name="T15" fmla="*/ 759 h 1389"/>
              <a:gd name="T16" fmla="*/ 1383 w 1392"/>
              <a:gd name="T17" fmla="*/ 612 h 1389"/>
              <a:gd name="T18" fmla="*/ 1355 w 1392"/>
              <a:gd name="T19" fmla="*/ 475 h 1389"/>
              <a:gd name="T20" fmla="*/ 1300 w 1392"/>
              <a:gd name="T21" fmla="*/ 356 h 1389"/>
              <a:gd name="T22" fmla="*/ 1226 w 1392"/>
              <a:gd name="T23" fmla="*/ 247 h 1389"/>
              <a:gd name="T24" fmla="*/ 1134 w 1392"/>
              <a:gd name="T25" fmla="*/ 155 h 1389"/>
              <a:gd name="T26" fmla="*/ 1023 w 1392"/>
              <a:gd name="T27" fmla="*/ 73 h 1389"/>
              <a:gd name="T28" fmla="*/ 894 w 1392"/>
              <a:gd name="T29" fmla="*/ 27 h 1389"/>
              <a:gd name="T30" fmla="*/ 756 w 1392"/>
              <a:gd name="T31" fmla="*/ 0 h 1389"/>
              <a:gd name="T32" fmla="*/ 618 w 1392"/>
              <a:gd name="T33" fmla="*/ 0 h 1389"/>
              <a:gd name="T34" fmla="*/ 470 w 1392"/>
              <a:gd name="T35" fmla="*/ 27 h 1389"/>
              <a:gd name="T36" fmla="*/ 360 w 1392"/>
              <a:gd name="T37" fmla="*/ 73 h 1389"/>
              <a:gd name="T38" fmla="*/ 240 w 1392"/>
              <a:gd name="T39" fmla="*/ 155 h 1389"/>
              <a:gd name="T40" fmla="*/ 148 w 1392"/>
              <a:gd name="T41" fmla="*/ 247 h 1389"/>
              <a:gd name="T42" fmla="*/ 74 w 1392"/>
              <a:gd name="T43" fmla="*/ 356 h 1389"/>
              <a:gd name="T44" fmla="*/ 28 w 1392"/>
              <a:gd name="T45" fmla="*/ 475 h 1389"/>
              <a:gd name="T46" fmla="*/ 0 w 1392"/>
              <a:gd name="T47" fmla="*/ 612 h 1389"/>
              <a:gd name="T48" fmla="*/ 0 w 1392"/>
              <a:gd name="T49" fmla="*/ 759 h 1389"/>
              <a:gd name="T50" fmla="*/ 28 w 1392"/>
              <a:gd name="T51" fmla="*/ 896 h 1389"/>
              <a:gd name="T52" fmla="*/ 74 w 1392"/>
              <a:gd name="T53" fmla="*/ 1024 h 1389"/>
              <a:gd name="T54" fmla="*/ 148 w 1392"/>
              <a:gd name="T55" fmla="*/ 1133 h 1389"/>
              <a:gd name="T56" fmla="*/ 240 w 1392"/>
              <a:gd name="T57" fmla="*/ 1216 h 1389"/>
              <a:gd name="T58" fmla="*/ 360 w 1392"/>
              <a:gd name="T59" fmla="*/ 1298 h 1389"/>
              <a:gd name="T60" fmla="*/ 470 w 1392"/>
              <a:gd name="T61" fmla="*/ 1353 h 1389"/>
              <a:gd name="T62" fmla="*/ 618 w 1392"/>
              <a:gd name="T63" fmla="*/ 1380 h 1389"/>
              <a:gd name="T64" fmla="*/ 691 w 1392"/>
              <a:gd name="T65" fmla="*/ 1389 h 13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392" h="1389">
                <a:moveTo>
                  <a:pt x="691" y="1389"/>
                </a:moveTo>
                <a:lnTo>
                  <a:pt x="756" y="1380"/>
                </a:lnTo>
                <a:lnTo>
                  <a:pt x="830" y="1371"/>
                </a:lnTo>
                <a:lnTo>
                  <a:pt x="894" y="1353"/>
                </a:lnTo>
                <a:lnTo>
                  <a:pt x="968" y="1325"/>
                </a:lnTo>
                <a:lnTo>
                  <a:pt x="1023" y="1298"/>
                </a:lnTo>
                <a:lnTo>
                  <a:pt x="1079" y="1261"/>
                </a:lnTo>
                <a:lnTo>
                  <a:pt x="1134" y="1216"/>
                </a:lnTo>
                <a:lnTo>
                  <a:pt x="1189" y="1179"/>
                </a:lnTo>
                <a:lnTo>
                  <a:pt x="1226" y="1133"/>
                </a:lnTo>
                <a:lnTo>
                  <a:pt x="1272" y="1079"/>
                </a:lnTo>
                <a:lnTo>
                  <a:pt x="1300" y="1024"/>
                </a:lnTo>
                <a:lnTo>
                  <a:pt x="1337" y="960"/>
                </a:lnTo>
                <a:lnTo>
                  <a:pt x="1355" y="896"/>
                </a:lnTo>
                <a:lnTo>
                  <a:pt x="1374" y="832"/>
                </a:lnTo>
                <a:lnTo>
                  <a:pt x="1383" y="759"/>
                </a:lnTo>
                <a:lnTo>
                  <a:pt x="1392" y="695"/>
                </a:lnTo>
                <a:lnTo>
                  <a:pt x="1383" y="612"/>
                </a:lnTo>
                <a:lnTo>
                  <a:pt x="1374" y="548"/>
                </a:lnTo>
                <a:lnTo>
                  <a:pt x="1355" y="475"/>
                </a:lnTo>
                <a:lnTo>
                  <a:pt x="1337" y="420"/>
                </a:lnTo>
                <a:lnTo>
                  <a:pt x="1300" y="356"/>
                </a:lnTo>
                <a:lnTo>
                  <a:pt x="1272" y="302"/>
                </a:lnTo>
                <a:lnTo>
                  <a:pt x="1226" y="247"/>
                </a:lnTo>
                <a:lnTo>
                  <a:pt x="1189" y="201"/>
                </a:lnTo>
                <a:lnTo>
                  <a:pt x="1134" y="155"/>
                </a:lnTo>
                <a:lnTo>
                  <a:pt x="1079" y="110"/>
                </a:lnTo>
                <a:lnTo>
                  <a:pt x="1023" y="73"/>
                </a:lnTo>
                <a:lnTo>
                  <a:pt x="968" y="55"/>
                </a:lnTo>
                <a:lnTo>
                  <a:pt x="894" y="27"/>
                </a:lnTo>
                <a:lnTo>
                  <a:pt x="830" y="18"/>
                </a:lnTo>
                <a:lnTo>
                  <a:pt x="756" y="0"/>
                </a:lnTo>
                <a:lnTo>
                  <a:pt x="691" y="0"/>
                </a:lnTo>
                <a:lnTo>
                  <a:pt x="618" y="0"/>
                </a:lnTo>
                <a:lnTo>
                  <a:pt x="544" y="18"/>
                </a:lnTo>
                <a:lnTo>
                  <a:pt x="470" y="27"/>
                </a:lnTo>
                <a:lnTo>
                  <a:pt x="415" y="55"/>
                </a:lnTo>
                <a:lnTo>
                  <a:pt x="360" y="73"/>
                </a:lnTo>
                <a:lnTo>
                  <a:pt x="295" y="110"/>
                </a:lnTo>
                <a:lnTo>
                  <a:pt x="240" y="155"/>
                </a:lnTo>
                <a:lnTo>
                  <a:pt x="203" y="201"/>
                </a:lnTo>
                <a:lnTo>
                  <a:pt x="148" y="247"/>
                </a:lnTo>
                <a:lnTo>
                  <a:pt x="111" y="302"/>
                </a:lnTo>
                <a:lnTo>
                  <a:pt x="74" y="356"/>
                </a:lnTo>
                <a:lnTo>
                  <a:pt x="55" y="420"/>
                </a:lnTo>
                <a:lnTo>
                  <a:pt x="28" y="475"/>
                </a:lnTo>
                <a:lnTo>
                  <a:pt x="9" y="548"/>
                </a:lnTo>
                <a:lnTo>
                  <a:pt x="0" y="612"/>
                </a:lnTo>
                <a:lnTo>
                  <a:pt x="0" y="695"/>
                </a:lnTo>
                <a:lnTo>
                  <a:pt x="0" y="759"/>
                </a:lnTo>
                <a:lnTo>
                  <a:pt x="9" y="832"/>
                </a:lnTo>
                <a:lnTo>
                  <a:pt x="28" y="896"/>
                </a:lnTo>
                <a:lnTo>
                  <a:pt x="55" y="960"/>
                </a:lnTo>
                <a:lnTo>
                  <a:pt x="74" y="1024"/>
                </a:lnTo>
                <a:lnTo>
                  <a:pt x="111" y="1079"/>
                </a:lnTo>
                <a:lnTo>
                  <a:pt x="148" y="1133"/>
                </a:lnTo>
                <a:lnTo>
                  <a:pt x="203" y="1179"/>
                </a:lnTo>
                <a:lnTo>
                  <a:pt x="240" y="1216"/>
                </a:lnTo>
                <a:lnTo>
                  <a:pt x="295" y="1261"/>
                </a:lnTo>
                <a:lnTo>
                  <a:pt x="360" y="1298"/>
                </a:lnTo>
                <a:lnTo>
                  <a:pt x="415" y="1325"/>
                </a:lnTo>
                <a:lnTo>
                  <a:pt x="470" y="1353"/>
                </a:lnTo>
                <a:lnTo>
                  <a:pt x="544" y="1371"/>
                </a:lnTo>
                <a:lnTo>
                  <a:pt x="618" y="1380"/>
                </a:lnTo>
                <a:lnTo>
                  <a:pt x="691" y="1389"/>
                </a:lnTo>
                <a:close/>
              </a:path>
            </a:pathLst>
          </a:custGeom>
          <a:solidFill>
            <a:srgbClr val="FAFA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6" name="Freeform 87">
            <a:extLst>
              <a:ext uri="{FF2B5EF4-FFF2-40B4-BE49-F238E27FC236}">
                <a16:creationId xmlns="" xmlns:a16="http://schemas.microsoft.com/office/drawing/2014/main" id="{00000000-0008-0000-0300-00001A000000}"/>
              </a:ext>
            </a:extLst>
          </xdr:cNvPr>
          <xdr:cNvSpPr>
            <a:spLocks/>
          </xdr:cNvSpPr>
        </xdr:nvSpPr>
        <xdr:spPr bwMode="auto">
          <a:xfrm>
            <a:off x="535472" y="252507"/>
            <a:ext cx="228298" cy="7911"/>
          </a:xfrm>
          <a:custGeom>
            <a:avLst/>
            <a:gdLst>
              <a:gd name="T0" fmla="*/ 0 w 2849"/>
              <a:gd name="T1" fmla="*/ 100 h 100"/>
              <a:gd name="T2" fmla="*/ 2849 w 2849"/>
              <a:gd name="T3" fmla="*/ 100 h 100"/>
              <a:gd name="T4" fmla="*/ 2849 w 2849"/>
              <a:gd name="T5" fmla="*/ 0 h 100"/>
              <a:gd name="T6" fmla="*/ 0 w 2849"/>
              <a:gd name="T7" fmla="*/ 0 h 100"/>
              <a:gd name="T8" fmla="*/ 0 w 2849"/>
              <a:gd name="T9" fmla="*/ 100 h 100"/>
              <a:gd name="T10" fmla="*/ 0 w 2849"/>
              <a:gd name="T11" fmla="*/ 100 h 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49" h="100">
                <a:moveTo>
                  <a:pt x="0" y="100"/>
                </a:moveTo>
                <a:lnTo>
                  <a:pt x="2849" y="100"/>
                </a:lnTo>
                <a:lnTo>
                  <a:pt x="2849" y="0"/>
                </a:lnTo>
                <a:lnTo>
                  <a:pt x="0" y="0"/>
                </a:lnTo>
                <a:lnTo>
                  <a:pt x="0" y="10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7" name="Freeform 88">
            <a:extLst>
              <a:ext uri="{FF2B5EF4-FFF2-40B4-BE49-F238E27FC236}">
                <a16:creationId xmlns="" xmlns:a16="http://schemas.microsoft.com/office/drawing/2014/main" id="{00000000-0008-0000-0300-00001B000000}"/>
              </a:ext>
            </a:extLst>
          </xdr:cNvPr>
          <xdr:cNvSpPr>
            <a:spLocks/>
          </xdr:cNvSpPr>
        </xdr:nvSpPr>
        <xdr:spPr bwMode="auto">
          <a:xfrm>
            <a:off x="244894" y="167029"/>
            <a:ext cx="199389" cy="265653"/>
          </a:xfrm>
          <a:custGeom>
            <a:avLst/>
            <a:gdLst>
              <a:gd name="T0" fmla="*/ 2046 w 2488"/>
              <a:gd name="T1" fmla="*/ 2842 h 3318"/>
              <a:gd name="T2" fmla="*/ 2138 w 2488"/>
              <a:gd name="T3" fmla="*/ 2733 h 3318"/>
              <a:gd name="T4" fmla="*/ 2193 w 2488"/>
              <a:gd name="T5" fmla="*/ 2678 h 3318"/>
              <a:gd name="T6" fmla="*/ 2488 w 2488"/>
              <a:gd name="T7" fmla="*/ 2312 h 3318"/>
              <a:gd name="T8" fmla="*/ 1576 w 2488"/>
              <a:gd name="T9" fmla="*/ 1873 h 3318"/>
              <a:gd name="T10" fmla="*/ 1152 w 2488"/>
              <a:gd name="T11" fmla="*/ 2047 h 3318"/>
              <a:gd name="T12" fmla="*/ 940 w 2488"/>
              <a:gd name="T13" fmla="*/ 1718 h 3318"/>
              <a:gd name="T14" fmla="*/ 617 w 2488"/>
              <a:gd name="T15" fmla="*/ 1718 h 3318"/>
              <a:gd name="T16" fmla="*/ 1336 w 2488"/>
              <a:gd name="T17" fmla="*/ 1764 h 3318"/>
              <a:gd name="T18" fmla="*/ 1419 w 2488"/>
              <a:gd name="T19" fmla="*/ 1425 h 3318"/>
              <a:gd name="T20" fmla="*/ 1447 w 2488"/>
              <a:gd name="T21" fmla="*/ 968 h 3318"/>
              <a:gd name="T22" fmla="*/ 1742 w 2488"/>
              <a:gd name="T23" fmla="*/ 685 h 3318"/>
              <a:gd name="T24" fmla="*/ 1779 w 2488"/>
              <a:gd name="T25" fmla="*/ 292 h 3318"/>
              <a:gd name="T26" fmla="*/ 1309 w 2488"/>
              <a:gd name="T27" fmla="*/ 466 h 3318"/>
              <a:gd name="T28" fmla="*/ 1170 w 2488"/>
              <a:gd name="T29" fmla="*/ 685 h 3318"/>
              <a:gd name="T30" fmla="*/ 1133 w 2488"/>
              <a:gd name="T31" fmla="*/ 338 h 3318"/>
              <a:gd name="T32" fmla="*/ 931 w 2488"/>
              <a:gd name="T33" fmla="*/ 173 h 3318"/>
              <a:gd name="T34" fmla="*/ 1336 w 2488"/>
              <a:gd name="T35" fmla="*/ 173 h 3318"/>
              <a:gd name="T36" fmla="*/ 1115 w 2488"/>
              <a:gd name="T37" fmla="*/ 63 h 3318"/>
              <a:gd name="T38" fmla="*/ 700 w 2488"/>
              <a:gd name="T39" fmla="*/ 109 h 3318"/>
              <a:gd name="T40" fmla="*/ 350 w 2488"/>
              <a:gd name="T41" fmla="*/ 210 h 3318"/>
              <a:gd name="T42" fmla="*/ 230 w 2488"/>
              <a:gd name="T43" fmla="*/ 338 h 3318"/>
              <a:gd name="T44" fmla="*/ 110 w 2488"/>
              <a:gd name="T45" fmla="*/ 511 h 3318"/>
              <a:gd name="T46" fmla="*/ 64 w 2488"/>
              <a:gd name="T47" fmla="*/ 612 h 3318"/>
              <a:gd name="T48" fmla="*/ 46 w 2488"/>
              <a:gd name="T49" fmla="*/ 722 h 3318"/>
              <a:gd name="T50" fmla="*/ 92 w 2488"/>
              <a:gd name="T51" fmla="*/ 886 h 3318"/>
              <a:gd name="T52" fmla="*/ 119 w 2488"/>
              <a:gd name="T53" fmla="*/ 987 h 3318"/>
              <a:gd name="T54" fmla="*/ 18 w 2488"/>
              <a:gd name="T55" fmla="*/ 1206 h 3318"/>
              <a:gd name="T56" fmla="*/ 27 w 2488"/>
              <a:gd name="T57" fmla="*/ 1307 h 3318"/>
              <a:gd name="T58" fmla="*/ 110 w 2488"/>
              <a:gd name="T59" fmla="*/ 1416 h 3318"/>
              <a:gd name="T60" fmla="*/ 175 w 2488"/>
              <a:gd name="T61" fmla="*/ 1526 h 3318"/>
              <a:gd name="T62" fmla="*/ 239 w 2488"/>
              <a:gd name="T63" fmla="*/ 1636 h 3318"/>
              <a:gd name="T64" fmla="*/ 322 w 2488"/>
              <a:gd name="T65" fmla="*/ 1672 h 3318"/>
              <a:gd name="T66" fmla="*/ 442 w 2488"/>
              <a:gd name="T67" fmla="*/ 1709 h 3318"/>
              <a:gd name="T68" fmla="*/ 1087 w 2488"/>
              <a:gd name="T69" fmla="*/ 2047 h 3318"/>
              <a:gd name="T70" fmla="*/ 1179 w 2488"/>
              <a:gd name="T71" fmla="*/ 2221 h 3318"/>
              <a:gd name="T72" fmla="*/ 1281 w 2488"/>
              <a:gd name="T73" fmla="*/ 2449 h 3318"/>
              <a:gd name="T74" fmla="*/ 1364 w 2488"/>
              <a:gd name="T75" fmla="*/ 2513 h 3318"/>
              <a:gd name="T76" fmla="*/ 1465 w 2488"/>
              <a:gd name="T77" fmla="*/ 2531 h 3318"/>
              <a:gd name="T78" fmla="*/ 1567 w 2488"/>
              <a:gd name="T79" fmla="*/ 2605 h 3318"/>
              <a:gd name="T80" fmla="*/ 1484 w 2488"/>
              <a:gd name="T81" fmla="*/ 2769 h 3318"/>
              <a:gd name="T82" fmla="*/ 1484 w 2488"/>
              <a:gd name="T83" fmla="*/ 2861 h 3318"/>
              <a:gd name="T84" fmla="*/ 1493 w 2488"/>
              <a:gd name="T85" fmla="*/ 2961 h 3318"/>
              <a:gd name="T86" fmla="*/ 1521 w 2488"/>
              <a:gd name="T87" fmla="*/ 3043 h 3318"/>
              <a:gd name="T88" fmla="*/ 1521 w 2488"/>
              <a:gd name="T89" fmla="*/ 3180 h 3318"/>
              <a:gd name="T90" fmla="*/ 1521 w 2488"/>
              <a:gd name="T91" fmla="*/ 3281 h 3318"/>
              <a:gd name="T92" fmla="*/ 1557 w 2488"/>
              <a:gd name="T93" fmla="*/ 3308 h 3318"/>
              <a:gd name="T94" fmla="*/ 1668 w 2488"/>
              <a:gd name="T95" fmla="*/ 3263 h 3318"/>
              <a:gd name="T96" fmla="*/ 1760 w 2488"/>
              <a:gd name="T97" fmla="*/ 3180 h 3318"/>
              <a:gd name="T98" fmla="*/ 1871 w 2488"/>
              <a:gd name="T99" fmla="*/ 3089 h 3318"/>
              <a:gd name="T100" fmla="*/ 1981 w 2488"/>
              <a:gd name="T101" fmla="*/ 2952 h 33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2488" h="3318">
                <a:moveTo>
                  <a:pt x="2009" y="2897"/>
                </a:moveTo>
                <a:lnTo>
                  <a:pt x="2018" y="2870"/>
                </a:lnTo>
                <a:lnTo>
                  <a:pt x="2046" y="2842"/>
                </a:lnTo>
                <a:lnTo>
                  <a:pt x="2074" y="2806"/>
                </a:lnTo>
                <a:lnTo>
                  <a:pt x="2110" y="2769"/>
                </a:lnTo>
                <a:lnTo>
                  <a:pt x="2138" y="2733"/>
                </a:lnTo>
                <a:lnTo>
                  <a:pt x="2157" y="2705"/>
                </a:lnTo>
                <a:lnTo>
                  <a:pt x="2175" y="2678"/>
                </a:lnTo>
                <a:lnTo>
                  <a:pt x="2193" y="2678"/>
                </a:lnTo>
                <a:lnTo>
                  <a:pt x="2258" y="2504"/>
                </a:lnTo>
                <a:lnTo>
                  <a:pt x="2424" y="2404"/>
                </a:lnTo>
                <a:lnTo>
                  <a:pt x="2488" y="2312"/>
                </a:lnTo>
                <a:lnTo>
                  <a:pt x="2313" y="2230"/>
                </a:lnTo>
                <a:lnTo>
                  <a:pt x="2000" y="1956"/>
                </a:lnTo>
                <a:lnTo>
                  <a:pt x="1576" y="1873"/>
                </a:lnTo>
                <a:lnTo>
                  <a:pt x="1336" y="1992"/>
                </a:lnTo>
                <a:lnTo>
                  <a:pt x="1281" y="2111"/>
                </a:lnTo>
                <a:lnTo>
                  <a:pt x="1152" y="2047"/>
                </a:lnTo>
                <a:lnTo>
                  <a:pt x="1032" y="1974"/>
                </a:lnTo>
                <a:lnTo>
                  <a:pt x="1004" y="1764"/>
                </a:lnTo>
                <a:lnTo>
                  <a:pt x="940" y="1718"/>
                </a:lnTo>
                <a:lnTo>
                  <a:pt x="875" y="1773"/>
                </a:lnTo>
                <a:lnTo>
                  <a:pt x="746" y="1819"/>
                </a:lnTo>
                <a:lnTo>
                  <a:pt x="617" y="1718"/>
                </a:lnTo>
                <a:lnTo>
                  <a:pt x="765" y="1489"/>
                </a:lnTo>
                <a:lnTo>
                  <a:pt x="1179" y="1599"/>
                </a:lnTo>
                <a:lnTo>
                  <a:pt x="1336" y="1764"/>
                </a:lnTo>
                <a:lnTo>
                  <a:pt x="1392" y="1745"/>
                </a:lnTo>
                <a:lnTo>
                  <a:pt x="1272" y="1553"/>
                </a:lnTo>
                <a:lnTo>
                  <a:pt x="1419" y="1425"/>
                </a:lnTo>
                <a:lnTo>
                  <a:pt x="1392" y="1224"/>
                </a:lnTo>
                <a:lnTo>
                  <a:pt x="1309" y="1060"/>
                </a:lnTo>
                <a:lnTo>
                  <a:pt x="1447" y="968"/>
                </a:lnTo>
                <a:lnTo>
                  <a:pt x="1631" y="895"/>
                </a:lnTo>
                <a:lnTo>
                  <a:pt x="1585" y="776"/>
                </a:lnTo>
                <a:lnTo>
                  <a:pt x="1742" y="685"/>
                </a:lnTo>
                <a:lnTo>
                  <a:pt x="1945" y="630"/>
                </a:lnTo>
                <a:lnTo>
                  <a:pt x="1917" y="521"/>
                </a:lnTo>
                <a:lnTo>
                  <a:pt x="1779" y="292"/>
                </a:lnTo>
                <a:lnTo>
                  <a:pt x="1576" y="356"/>
                </a:lnTo>
                <a:lnTo>
                  <a:pt x="1373" y="402"/>
                </a:lnTo>
                <a:lnTo>
                  <a:pt x="1309" y="466"/>
                </a:lnTo>
                <a:lnTo>
                  <a:pt x="1392" y="722"/>
                </a:lnTo>
                <a:lnTo>
                  <a:pt x="1299" y="722"/>
                </a:lnTo>
                <a:lnTo>
                  <a:pt x="1170" y="685"/>
                </a:lnTo>
                <a:lnTo>
                  <a:pt x="1004" y="621"/>
                </a:lnTo>
                <a:lnTo>
                  <a:pt x="977" y="420"/>
                </a:lnTo>
                <a:lnTo>
                  <a:pt x="1133" y="338"/>
                </a:lnTo>
                <a:lnTo>
                  <a:pt x="1060" y="292"/>
                </a:lnTo>
                <a:lnTo>
                  <a:pt x="1041" y="210"/>
                </a:lnTo>
                <a:lnTo>
                  <a:pt x="931" y="173"/>
                </a:lnTo>
                <a:lnTo>
                  <a:pt x="958" y="100"/>
                </a:lnTo>
                <a:lnTo>
                  <a:pt x="1133" y="137"/>
                </a:lnTo>
                <a:lnTo>
                  <a:pt x="1336" y="173"/>
                </a:lnTo>
                <a:lnTo>
                  <a:pt x="1419" y="109"/>
                </a:lnTo>
                <a:lnTo>
                  <a:pt x="1244" y="36"/>
                </a:lnTo>
                <a:lnTo>
                  <a:pt x="1115" y="63"/>
                </a:lnTo>
                <a:lnTo>
                  <a:pt x="1041" y="0"/>
                </a:lnTo>
                <a:lnTo>
                  <a:pt x="811" y="27"/>
                </a:lnTo>
                <a:lnTo>
                  <a:pt x="700" y="109"/>
                </a:lnTo>
                <a:lnTo>
                  <a:pt x="516" y="118"/>
                </a:lnTo>
                <a:lnTo>
                  <a:pt x="405" y="201"/>
                </a:lnTo>
                <a:lnTo>
                  <a:pt x="350" y="210"/>
                </a:lnTo>
                <a:lnTo>
                  <a:pt x="304" y="246"/>
                </a:lnTo>
                <a:lnTo>
                  <a:pt x="267" y="292"/>
                </a:lnTo>
                <a:lnTo>
                  <a:pt x="230" y="338"/>
                </a:lnTo>
                <a:lnTo>
                  <a:pt x="193" y="393"/>
                </a:lnTo>
                <a:lnTo>
                  <a:pt x="156" y="447"/>
                </a:lnTo>
                <a:lnTo>
                  <a:pt x="110" y="511"/>
                </a:lnTo>
                <a:lnTo>
                  <a:pt x="92" y="539"/>
                </a:lnTo>
                <a:lnTo>
                  <a:pt x="73" y="575"/>
                </a:lnTo>
                <a:lnTo>
                  <a:pt x="64" y="612"/>
                </a:lnTo>
                <a:lnTo>
                  <a:pt x="46" y="658"/>
                </a:lnTo>
                <a:lnTo>
                  <a:pt x="46" y="676"/>
                </a:lnTo>
                <a:lnTo>
                  <a:pt x="46" y="722"/>
                </a:lnTo>
                <a:lnTo>
                  <a:pt x="55" y="767"/>
                </a:lnTo>
                <a:lnTo>
                  <a:pt x="73" y="831"/>
                </a:lnTo>
                <a:lnTo>
                  <a:pt x="92" y="886"/>
                </a:lnTo>
                <a:lnTo>
                  <a:pt x="101" y="941"/>
                </a:lnTo>
                <a:lnTo>
                  <a:pt x="110" y="968"/>
                </a:lnTo>
                <a:lnTo>
                  <a:pt x="119" y="987"/>
                </a:lnTo>
                <a:lnTo>
                  <a:pt x="46" y="1142"/>
                </a:lnTo>
                <a:lnTo>
                  <a:pt x="27" y="1151"/>
                </a:lnTo>
                <a:lnTo>
                  <a:pt x="18" y="1206"/>
                </a:lnTo>
                <a:lnTo>
                  <a:pt x="0" y="1243"/>
                </a:lnTo>
                <a:lnTo>
                  <a:pt x="18" y="1288"/>
                </a:lnTo>
                <a:lnTo>
                  <a:pt x="27" y="1307"/>
                </a:lnTo>
                <a:lnTo>
                  <a:pt x="64" y="1352"/>
                </a:lnTo>
                <a:lnTo>
                  <a:pt x="92" y="1380"/>
                </a:lnTo>
                <a:lnTo>
                  <a:pt x="110" y="1416"/>
                </a:lnTo>
                <a:lnTo>
                  <a:pt x="129" y="1462"/>
                </a:lnTo>
                <a:lnTo>
                  <a:pt x="156" y="1499"/>
                </a:lnTo>
                <a:lnTo>
                  <a:pt x="175" y="1526"/>
                </a:lnTo>
                <a:lnTo>
                  <a:pt x="202" y="1572"/>
                </a:lnTo>
                <a:lnTo>
                  <a:pt x="221" y="1599"/>
                </a:lnTo>
                <a:lnTo>
                  <a:pt x="239" y="1636"/>
                </a:lnTo>
                <a:lnTo>
                  <a:pt x="267" y="1681"/>
                </a:lnTo>
                <a:lnTo>
                  <a:pt x="285" y="1700"/>
                </a:lnTo>
                <a:lnTo>
                  <a:pt x="322" y="1672"/>
                </a:lnTo>
                <a:lnTo>
                  <a:pt x="175" y="1471"/>
                </a:lnTo>
                <a:lnTo>
                  <a:pt x="285" y="1517"/>
                </a:lnTo>
                <a:lnTo>
                  <a:pt x="442" y="1709"/>
                </a:lnTo>
                <a:lnTo>
                  <a:pt x="525" y="1855"/>
                </a:lnTo>
                <a:lnTo>
                  <a:pt x="811" y="1937"/>
                </a:lnTo>
                <a:lnTo>
                  <a:pt x="1087" y="2047"/>
                </a:lnTo>
                <a:lnTo>
                  <a:pt x="1143" y="2102"/>
                </a:lnTo>
                <a:lnTo>
                  <a:pt x="1244" y="2184"/>
                </a:lnTo>
                <a:lnTo>
                  <a:pt x="1179" y="2221"/>
                </a:lnTo>
                <a:lnTo>
                  <a:pt x="1143" y="2321"/>
                </a:lnTo>
                <a:lnTo>
                  <a:pt x="1290" y="2440"/>
                </a:lnTo>
                <a:lnTo>
                  <a:pt x="1281" y="2449"/>
                </a:lnTo>
                <a:lnTo>
                  <a:pt x="1299" y="2486"/>
                </a:lnTo>
                <a:lnTo>
                  <a:pt x="1318" y="2495"/>
                </a:lnTo>
                <a:lnTo>
                  <a:pt x="1364" y="2513"/>
                </a:lnTo>
                <a:lnTo>
                  <a:pt x="1392" y="2522"/>
                </a:lnTo>
                <a:lnTo>
                  <a:pt x="1428" y="2531"/>
                </a:lnTo>
                <a:lnTo>
                  <a:pt x="1465" y="2531"/>
                </a:lnTo>
                <a:lnTo>
                  <a:pt x="1521" y="2550"/>
                </a:lnTo>
                <a:lnTo>
                  <a:pt x="1548" y="2559"/>
                </a:lnTo>
                <a:lnTo>
                  <a:pt x="1567" y="2605"/>
                </a:lnTo>
                <a:lnTo>
                  <a:pt x="1548" y="2659"/>
                </a:lnTo>
                <a:lnTo>
                  <a:pt x="1521" y="2723"/>
                </a:lnTo>
                <a:lnTo>
                  <a:pt x="1484" y="2769"/>
                </a:lnTo>
                <a:lnTo>
                  <a:pt x="1465" y="2833"/>
                </a:lnTo>
                <a:lnTo>
                  <a:pt x="1456" y="2851"/>
                </a:lnTo>
                <a:lnTo>
                  <a:pt x="1484" y="2861"/>
                </a:lnTo>
                <a:lnTo>
                  <a:pt x="1484" y="2897"/>
                </a:lnTo>
                <a:lnTo>
                  <a:pt x="1493" y="2934"/>
                </a:lnTo>
                <a:lnTo>
                  <a:pt x="1493" y="2961"/>
                </a:lnTo>
                <a:lnTo>
                  <a:pt x="1502" y="2989"/>
                </a:lnTo>
                <a:lnTo>
                  <a:pt x="1511" y="3007"/>
                </a:lnTo>
                <a:lnTo>
                  <a:pt x="1521" y="3043"/>
                </a:lnTo>
                <a:lnTo>
                  <a:pt x="1530" y="3080"/>
                </a:lnTo>
                <a:lnTo>
                  <a:pt x="1530" y="3126"/>
                </a:lnTo>
                <a:lnTo>
                  <a:pt x="1521" y="3180"/>
                </a:lnTo>
                <a:lnTo>
                  <a:pt x="1521" y="3217"/>
                </a:lnTo>
                <a:lnTo>
                  <a:pt x="1511" y="3254"/>
                </a:lnTo>
                <a:lnTo>
                  <a:pt x="1521" y="3281"/>
                </a:lnTo>
                <a:lnTo>
                  <a:pt x="1521" y="3290"/>
                </a:lnTo>
                <a:lnTo>
                  <a:pt x="1539" y="3308"/>
                </a:lnTo>
                <a:lnTo>
                  <a:pt x="1557" y="3308"/>
                </a:lnTo>
                <a:lnTo>
                  <a:pt x="1594" y="3318"/>
                </a:lnTo>
                <a:lnTo>
                  <a:pt x="1613" y="3299"/>
                </a:lnTo>
                <a:lnTo>
                  <a:pt x="1668" y="3263"/>
                </a:lnTo>
                <a:lnTo>
                  <a:pt x="1696" y="3244"/>
                </a:lnTo>
                <a:lnTo>
                  <a:pt x="1723" y="3217"/>
                </a:lnTo>
                <a:lnTo>
                  <a:pt x="1760" y="3180"/>
                </a:lnTo>
                <a:lnTo>
                  <a:pt x="1806" y="3153"/>
                </a:lnTo>
                <a:lnTo>
                  <a:pt x="1834" y="3116"/>
                </a:lnTo>
                <a:lnTo>
                  <a:pt x="1871" y="3089"/>
                </a:lnTo>
                <a:lnTo>
                  <a:pt x="1898" y="3043"/>
                </a:lnTo>
                <a:lnTo>
                  <a:pt x="1926" y="3016"/>
                </a:lnTo>
                <a:lnTo>
                  <a:pt x="1981" y="2952"/>
                </a:lnTo>
                <a:lnTo>
                  <a:pt x="2009" y="2897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8" name="Freeform 89">
            <a:extLst>
              <a:ext uri="{FF2B5EF4-FFF2-40B4-BE49-F238E27FC236}">
                <a16:creationId xmlns="" xmlns:a16="http://schemas.microsoft.com/office/drawing/2014/main" id="{00000000-0008-0000-0300-00001C000000}"/>
              </a:ext>
            </a:extLst>
          </xdr:cNvPr>
          <xdr:cNvSpPr>
            <a:spLocks/>
          </xdr:cNvSpPr>
        </xdr:nvSpPr>
        <xdr:spPr bwMode="auto">
          <a:xfrm>
            <a:off x="472716" y="191001"/>
            <a:ext cx="65729" cy="133064"/>
          </a:xfrm>
          <a:custGeom>
            <a:avLst/>
            <a:gdLst>
              <a:gd name="T0" fmla="*/ 239 w 820"/>
              <a:gd name="T1" fmla="*/ 210 h 1663"/>
              <a:gd name="T2" fmla="*/ 166 w 820"/>
              <a:gd name="T3" fmla="*/ 375 h 1663"/>
              <a:gd name="T4" fmla="*/ 64 w 820"/>
              <a:gd name="T5" fmla="*/ 439 h 1663"/>
              <a:gd name="T6" fmla="*/ 0 w 820"/>
              <a:gd name="T7" fmla="*/ 713 h 1663"/>
              <a:gd name="T8" fmla="*/ 83 w 820"/>
              <a:gd name="T9" fmla="*/ 813 h 1663"/>
              <a:gd name="T10" fmla="*/ 184 w 820"/>
              <a:gd name="T11" fmla="*/ 859 h 1663"/>
              <a:gd name="T12" fmla="*/ 378 w 820"/>
              <a:gd name="T13" fmla="*/ 969 h 1663"/>
              <a:gd name="T14" fmla="*/ 534 w 820"/>
              <a:gd name="T15" fmla="*/ 923 h 1663"/>
              <a:gd name="T16" fmla="*/ 608 w 820"/>
              <a:gd name="T17" fmla="*/ 950 h 1663"/>
              <a:gd name="T18" fmla="*/ 645 w 820"/>
              <a:gd name="T19" fmla="*/ 1042 h 1663"/>
              <a:gd name="T20" fmla="*/ 691 w 820"/>
              <a:gd name="T21" fmla="*/ 1142 h 1663"/>
              <a:gd name="T22" fmla="*/ 710 w 820"/>
              <a:gd name="T23" fmla="*/ 1261 h 1663"/>
              <a:gd name="T24" fmla="*/ 728 w 820"/>
              <a:gd name="T25" fmla="*/ 1663 h 1663"/>
              <a:gd name="T26" fmla="*/ 756 w 820"/>
              <a:gd name="T27" fmla="*/ 1572 h 1663"/>
              <a:gd name="T28" fmla="*/ 774 w 820"/>
              <a:gd name="T29" fmla="*/ 1481 h 1663"/>
              <a:gd name="T30" fmla="*/ 793 w 820"/>
              <a:gd name="T31" fmla="*/ 1389 h 1663"/>
              <a:gd name="T32" fmla="*/ 811 w 820"/>
              <a:gd name="T33" fmla="*/ 1289 h 1663"/>
              <a:gd name="T34" fmla="*/ 820 w 820"/>
              <a:gd name="T35" fmla="*/ 1179 h 1663"/>
              <a:gd name="T36" fmla="*/ 820 w 820"/>
              <a:gd name="T37" fmla="*/ 1078 h 1663"/>
              <a:gd name="T38" fmla="*/ 820 w 820"/>
              <a:gd name="T39" fmla="*/ 969 h 1663"/>
              <a:gd name="T40" fmla="*/ 820 w 820"/>
              <a:gd name="T41" fmla="*/ 859 h 1663"/>
              <a:gd name="T42" fmla="*/ 802 w 820"/>
              <a:gd name="T43" fmla="*/ 749 h 1663"/>
              <a:gd name="T44" fmla="*/ 774 w 820"/>
              <a:gd name="T45" fmla="*/ 640 h 1663"/>
              <a:gd name="T46" fmla="*/ 756 w 820"/>
              <a:gd name="T47" fmla="*/ 521 h 1663"/>
              <a:gd name="T48" fmla="*/ 719 w 820"/>
              <a:gd name="T49" fmla="*/ 420 h 1663"/>
              <a:gd name="T50" fmla="*/ 673 w 820"/>
              <a:gd name="T51" fmla="*/ 311 h 1663"/>
              <a:gd name="T52" fmla="*/ 627 w 820"/>
              <a:gd name="T53" fmla="*/ 219 h 1663"/>
              <a:gd name="T54" fmla="*/ 562 w 820"/>
              <a:gd name="T55" fmla="*/ 119 h 1663"/>
              <a:gd name="T56" fmla="*/ 507 w 820"/>
              <a:gd name="T57" fmla="*/ 36 h 1663"/>
              <a:gd name="T58" fmla="*/ 286 w 820"/>
              <a:gd name="T59" fmla="*/ 0 h 1663"/>
              <a:gd name="T60" fmla="*/ 212 w 820"/>
              <a:gd name="T61" fmla="*/ 128 h 1663"/>
              <a:gd name="T62" fmla="*/ 239 w 820"/>
              <a:gd name="T63" fmla="*/ 210 h 1663"/>
              <a:gd name="T64" fmla="*/ 239 w 820"/>
              <a:gd name="T65" fmla="*/ 210 h 16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820" h="1663">
                <a:moveTo>
                  <a:pt x="239" y="210"/>
                </a:moveTo>
                <a:lnTo>
                  <a:pt x="166" y="375"/>
                </a:lnTo>
                <a:lnTo>
                  <a:pt x="64" y="439"/>
                </a:lnTo>
                <a:lnTo>
                  <a:pt x="0" y="713"/>
                </a:lnTo>
                <a:lnTo>
                  <a:pt x="83" y="813"/>
                </a:lnTo>
                <a:lnTo>
                  <a:pt x="184" y="859"/>
                </a:lnTo>
                <a:lnTo>
                  <a:pt x="378" y="969"/>
                </a:lnTo>
                <a:lnTo>
                  <a:pt x="534" y="923"/>
                </a:lnTo>
                <a:lnTo>
                  <a:pt x="608" y="950"/>
                </a:lnTo>
                <a:lnTo>
                  <a:pt x="645" y="1042"/>
                </a:lnTo>
                <a:lnTo>
                  <a:pt x="691" y="1142"/>
                </a:lnTo>
                <a:lnTo>
                  <a:pt x="710" y="1261"/>
                </a:lnTo>
                <a:lnTo>
                  <a:pt x="728" y="1663"/>
                </a:lnTo>
                <a:lnTo>
                  <a:pt x="756" y="1572"/>
                </a:lnTo>
                <a:lnTo>
                  <a:pt x="774" y="1481"/>
                </a:lnTo>
                <a:lnTo>
                  <a:pt x="793" y="1389"/>
                </a:lnTo>
                <a:lnTo>
                  <a:pt x="811" y="1289"/>
                </a:lnTo>
                <a:lnTo>
                  <a:pt x="820" y="1179"/>
                </a:lnTo>
                <a:lnTo>
                  <a:pt x="820" y="1078"/>
                </a:lnTo>
                <a:lnTo>
                  <a:pt x="820" y="969"/>
                </a:lnTo>
                <a:lnTo>
                  <a:pt x="820" y="859"/>
                </a:lnTo>
                <a:lnTo>
                  <a:pt x="802" y="749"/>
                </a:lnTo>
                <a:lnTo>
                  <a:pt x="774" y="640"/>
                </a:lnTo>
                <a:lnTo>
                  <a:pt x="756" y="521"/>
                </a:lnTo>
                <a:lnTo>
                  <a:pt x="719" y="420"/>
                </a:lnTo>
                <a:lnTo>
                  <a:pt x="673" y="311"/>
                </a:lnTo>
                <a:lnTo>
                  <a:pt x="627" y="219"/>
                </a:lnTo>
                <a:lnTo>
                  <a:pt x="562" y="119"/>
                </a:lnTo>
                <a:lnTo>
                  <a:pt x="507" y="36"/>
                </a:lnTo>
                <a:lnTo>
                  <a:pt x="286" y="0"/>
                </a:lnTo>
                <a:lnTo>
                  <a:pt x="212" y="128"/>
                </a:lnTo>
                <a:lnTo>
                  <a:pt x="239" y="21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9" name="Freeform 90">
            <a:extLst>
              <a:ext uri="{FF2B5EF4-FFF2-40B4-BE49-F238E27FC236}">
                <a16:creationId xmlns="" xmlns:a16="http://schemas.microsoft.com/office/drawing/2014/main" id="{00000000-0008-0000-0300-00001D000000}"/>
              </a:ext>
            </a:extLst>
          </xdr:cNvPr>
          <xdr:cNvSpPr>
            <a:spLocks/>
          </xdr:cNvSpPr>
        </xdr:nvSpPr>
        <xdr:spPr bwMode="auto">
          <a:xfrm>
            <a:off x="224848" y="267675"/>
            <a:ext cx="532497" cy="9577"/>
          </a:xfrm>
          <a:custGeom>
            <a:avLst/>
            <a:gdLst>
              <a:gd name="T0" fmla="*/ 0 w 6646"/>
              <a:gd name="T1" fmla="*/ 119 h 119"/>
              <a:gd name="T2" fmla="*/ 6646 w 6646"/>
              <a:gd name="T3" fmla="*/ 119 h 119"/>
              <a:gd name="T4" fmla="*/ 6646 w 6646"/>
              <a:gd name="T5" fmla="*/ 0 h 119"/>
              <a:gd name="T6" fmla="*/ 0 w 6646"/>
              <a:gd name="T7" fmla="*/ 0 h 119"/>
              <a:gd name="T8" fmla="*/ 0 w 6646"/>
              <a:gd name="T9" fmla="*/ 119 h 119"/>
              <a:gd name="T10" fmla="*/ 0 w 6646"/>
              <a:gd name="T11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6646" h="119">
                <a:moveTo>
                  <a:pt x="0" y="119"/>
                </a:moveTo>
                <a:lnTo>
                  <a:pt x="6646" y="119"/>
                </a:lnTo>
                <a:lnTo>
                  <a:pt x="6646" y="0"/>
                </a:lnTo>
                <a:lnTo>
                  <a:pt x="0" y="0"/>
                </a:lnTo>
                <a:lnTo>
                  <a:pt x="0" y="119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" name="Freeform 91">
            <a:extLst>
              <a:ext uri="{FF2B5EF4-FFF2-40B4-BE49-F238E27FC236}">
                <a16:creationId xmlns="" xmlns:a16="http://schemas.microsoft.com/office/drawing/2014/main" id="{00000000-0008-0000-0300-00001E000000}"/>
              </a:ext>
            </a:extLst>
          </xdr:cNvPr>
          <xdr:cNvSpPr>
            <a:spLocks/>
          </xdr:cNvSpPr>
        </xdr:nvSpPr>
        <xdr:spPr bwMode="auto">
          <a:xfrm>
            <a:off x="0" y="276538"/>
            <a:ext cx="292540" cy="123666"/>
          </a:xfrm>
          <a:custGeom>
            <a:avLst/>
            <a:gdLst>
              <a:gd name="T0" fmla="*/ 0 w 3651"/>
              <a:gd name="T1" fmla="*/ 1545 h 1545"/>
              <a:gd name="T2" fmla="*/ 673 w 3651"/>
              <a:gd name="T3" fmla="*/ 530 h 1545"/>
              <a:gd name="T4" fmla="*/ 2959 w 3651"/>
              <a:gd name="T5" fmla="*/ 530 h 1545"/>
              <a:gd name="T6" fmla="*/ 3485 w 3651"/>
              <a:gd name="T7" fmla="*/ 0 h 1545"/>
              <a:gd name="T8" fmla="*/ 3651 w 3651"/>
              <a:gd name="T9" fmla="*/ 0 h 1545"/>
              <a:gd name="T10" fmla="*/ 3005 w 3651"/>
              <a:gd name="T11" fmla="*/ 640 h 1545"/>
              <a:gd name="T12" fmla="*/ 775 w 3651"/>
              <a:gd name="T13" fmla="*/ 640 h 1545"/>
              <a:gd name="T14" fmla="*/ 166 w 3651"/>
              <a:gd name="T15" fmla="*/ 1545 h 1545"/>
              <a:gd name="T16" fmla="*/ 0 w 3651"/>
              <a:gd name="T17" fmla="*/ 1545 h 1545"/>
              <a:gd name="T18" fmla="*/ 0 w 3651"/>
              <a:gd name="T19" fmla="*/ 1545 h 15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651" h="1545">
                <a:moveTo>
                  <a:pt x="0" y="1545"/>
                </a:moveTo>
                <a:lnTo>
                  <a:pt x="673" y="530"/>
                </a:lnTo>
                <a:lnTo>
                  <a:pt x="2959" y="530"/>
                </a:lnTo>
                <a:lnTo>
                  <a:pt x="3485" y="0"/>
                </a:lnTo>
                <a:lnTo>
                  <a:pt x="3651" y="0"/>
                </a:lnTo>
                <a:lnTo>
                  <a:pt x="3005" y="640"/>
                </a:lnTo>
                <a:lnTo>
                  <a:pt x="775" y="640"/>
                </a:lnTo>
                <a:lnTo>
                  <a:pt x="166" y="1545"/>
                </a:lnTo>
                <a:lnTo>
                  <a:pt x="0" y="1545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1" name="Freeform 92">
            <a:extLst>
              <a:ext uri="{FF2B5EF4-FFF2-40B4-BE49-F238E27FC236}">
                <a16:creationId xmlns="" xmlns:a16="http://schemas.microsoft.com/office/drawing/2014/main" id="{00000000-0008-0000-0300-00001F000000}"/>
              </a:ext>
            </a:extLst>
          </xdr:cNvPr>
          <xdr:cNvSpPr>
            <a:spLocks/>
          </xdr:cNvSpPr>
        </xdr:nvSpPr>
        <xdr:spPr bwMode="auto">
          <a:xfrm>
            <a:off x="773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2" name="Freeform 93">
            <a:extLst>
              <a:ext uri="{FF2B5EF4-FFF2-40B4-BE49-F238E27FC236}">
                <a16:creationId xmlns="" xmlns:a16="http://schemas.microsoft.com/office/drawing/2014/main" id="{00000000-0008-0000-0300-000020000000}"/>
              </a:ext>
            </a:extLst>
          </xdr:cNvPr>
          <xdr:cNvSpPr>
            <a:spLocks/>
          </xdr:cNvSpPr>
        </xdr:nvSpPr>
        <xdr:spPr bwMode="auto">
          <a:xfrm>
            <a:off x="59127" y="13978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3" name="Freeform 94">
            <a:extLst>
              <a:ext uri="{FF2B5EF4-FFF2-40B4-BE49-F238E27FC236}">
                <a16:creationId xmlns="" xmlns:a16="http://schemas.microsoft.com/office/drawing/2014/main" id="{00000000-0008-0000-0300-000021000000}"/>
              </a:ext>
            </a:extLst>
          </xdr:cNvPr>
          <xdr:cNvSpPr>
            <a:spLocks/>
          </xdr:cNvSpPr>
        </xdr:nvSpPr>
        <xdr:spPr bwMode="auto">
          <a:xfrm>
            <a:off x="117480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4" name="Freeform 95">
            <a:extLst>
              <a:ext uri="{FF2B5EF4-FFF2-40B4-BE49-F238E27FC236}">
                <a16:creationId xmlns="" xmlns:a16="http://schemas.microsoft.com/office/drawing/2014/main" id="{00000000-0008-0000-0300-000022000000}"/>
              </a:ext>
            </a:extLst>
          </xdr:cNvPr>
          <xdr:cNvSpPr>
            <a:spLocks/>
          </xdr:cNvSpPr>
        </xdr:nvSpPr>
        <xdr:spPr bwMode="auto">
          <a:xfrm>
            <a:off x="175774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5" name="Freeform 96">
            <a:extLst>
              <a:ext uri="{FF2B5EF4-FFF2-40B4-BE49-F238E27FC236}">
                <a16:creationId xmlns="" xmlns:a16="http://schemas.microsoft.com/office/drawing/2014/main" id="{00000000-0008-0000-0300-000023000000}"/>
              </a:ext>
            </a:extLst>
          </xdr:cNvPr>
          <xdr:cNvSpPr>
            <a:spLocks/>
          </xdr:cNvSpPr>
        </xdr:nvSpPr>
        <xdr:spPr bwMode="auto">
          <a:xfrm>
            <a:off x="501566" y="372485"/>
            <a:ext cx="28790" cy="27719"/>
          </a:xfrm>
          <a:custGeom>
            <a:avLst/>
            <a:gdLst>
              <a:gd name="T0" fmla="*/ 0 w 360"/>
              <a:gd name="T1" fmla="*/ 347 h 347"/>
              <a:gd name="T2" fmla="*/ 360 w 360"/>
              <a:gd name="T3" fmla="*/ 347 h 347"/>
              <a:gd name="T4" fmla="*/ 360 w 360"/>
              <a:gd name="T5" fmla="*/ 0 h 347"/>
              <a:gd name="T6" fmla="*/ 0 w 360"/>
              <a:gd name="T7" fmla="*/ 0 h 347"/>
              <a:gd name="T8" fmla="*/ 0 w 360"/>
              <a:gd name="T9" fmla="*/ 347 h 347"/>
              <a:gd name="T10" fmla="*/ 0 w 36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60" h="347">
                <a:moveTo>
                  <a:pt x="0" y="347"/>
                </a:moveTo>
                <a:lnTo>
                  <a:pt x="360" y="347"/>
                </a:lnTo>
                <a:lnTo>
                  <a:pt x="36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6" name="Freeform 97">
            <a:extLst>
              <a:ext uri="{FF2B5EF4-FFF2-40B4-BE49-F238E27FC236}">
                <a16:creationId xmlns="" xmlns:a16="http://schemas.microsoft.com/office/drawing/2014/main" id="{00000000-0008-0000-0300-000024000000}"/>
              </a:ext>
            </a:extLst>
          </xdr:cNvPr>
          <xdr:cNvSpPr>
            <a:spLocks/>
          </xdr:cNvSpPr>
        </xdr:nvSpPr>
        <xdr:spPr bwMode="auto">
          <a:xfrm>
            <a:off x="560633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7" name="Freeform 98">
            <a:extLst>
              <a:ext uri="{FF2B5EF4-FFF2-40B4-BE49-F238E27FC236}">
                <a16:creationId xmlns="" xmlns:a16="http://schemas.microsoft.com/office/drawing/2014/main" id="{00000000-0008-0000-0300-000025000000}"/>
              </a:ext>
            </a:extLst>
          </xdr:cNvPr>
          <xdr:cNvSpPr>
            <a:spLocks/>
          </xdr:cNvSpPr>
        </xdr:nvSpPr>
        <xdr:spPr bwMode="auto">
          <a:xfrm>
            <a:off x="618987" y="372485"/>
            <a:ext cx="28076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8" name="Freeform 99">
            <a:extLst>
              <a:ext uri="{FF2B5EF4-FFF2-40B4-BE49-F238E27FC236}">
                <a16:creationId xmlns="" xmlns:a16="http://schemas.microsoft.com/office/drawing/2014/main" id="{00000000-0008-0000-0300-000026000000}"/>
              </a:ext>
            </a:extLst>
          </xdr:cNvPr>
          <xdr:cNvSpPr>
            <a:spLocks/>
          </xdr:cNvSpPr>
        </xdr:nvSpPr>
        <xdr:spPr bwMode="auto">
          <a:xfrm>
            <a:off x="677340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9" name="Freeform 100">
            <a:extLst>
              <a:ext uri="{FF2B5EF4-FFF2-40B4-BE49-F238E27FC236}">
                <a16:creationId xmlns="" xmlns:a16="http://schemas.microsoft.com/office/drawing/2014/main" id="{00000000-0008-0000-0300-000027000000}"/>
              </a:ext>
            </a:extLst>
          </xdr:cNvPr>
          <xdr:cNvSpPr>
            <a:spLocks/>
          </xdr:cNvSpPr>
        </xdr:nvSpPr>
        <xdr:spPr bwMode="auto">
          <a:xfrm>
            <a:off x="735634" y="372485"/>
            <a:ext cx="28136" cy="27719"/>
          </a:xfrm>
          <a:custGeom>
            <a:avLst/>
            <a:gdLst>
              <a:gd name="T0" fmla="*/ 0 w 351"/>
              <a:gd name="T1" fmla="*/ 347 h 347"/>
              <a:gd name="T2" fmla="*/ 351 w 351"/>
              <a:gd name="T3" fmla="*/ 347 h 347"/>
              <a:gd name="T4" fmla="*/ 351 w 351"/>
              <a:gd name="T5" fmla="*/ 0 h 347"/>
              <a:gd name="T6" fmla="*/ 0 w 351"/>
              <a:gd name="T7" fmla="*/ 0 h 347"/>
              <a:gd name="T8" fmla="*/ 0 w 351"/>
              <a:gd name="T9" fmla="*/ 347 h 347"/>
              <a:gd name="T10" fmla="*/ 0 w 351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47">
                <a:moveTo>
                  <a:pt x="0" y="347"/>
                </a:moveTo>
                <a:lnTo>
                  <a:pt x="351" y="347"/>
                </a:lnTo>
                <a:lnTo>
                  <a:pt x="351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0" name="Freeform 102">
            <a:extLst>
              <a:ext uri="{FF2B5EF4-FFF2-40B4-BE49-F238E27FC236}">
                <a16:creationId xmlns="" xmlns:a16="http://schemas.microsoft.com/office/drawing/2014/main" id="{00000000-0008-0000-0300-000028000000}"/>
              </a:ext>
            </a:extLst>
          </xdr:cNvPr>
          <xdr:cNvSpPr>
            <a:spLocks/>
          </xdr:cNvSpPr>
        </xdr:nvSpPr>
        <xdr:spPr bwMode="auto">
          <a:xfrm>
            <a:off x="735634" y="316095"/>
            <a:ext cx="28136" cy="28552"/>
          </a:xfrm>
          <a:custGeom>
            <a:avLst/>
            <a:gdLst>
              <a:gd name="T0" fmla="*/ 0 w 351"/>
              <a:gd name="T1" fmla="*/ 356 h 356"/>
              <a:gd name="T2" fmla="*/ 351 w 351"/>
              <a:gd name="T3" fmla="*/ 356 h 356"/>
              <a:gd name="T4" fmla="*/ 351 w 351"/>
              <a:gd name="T5" fmla="*/ 0 h 356"/>
              <a:gd name="T6" fmla="*/ 0 w 351"/>
              <a:gd name="T7" fmla="*/ 0 h 356"/>
              <a:gd name="T8" fmla="*/ 0 w 351"/>
              <a:gd name="T9" fmla="*/ 356 h 356"/>
              <a:gd name="T10" fmla="*/ 0 w 351"/>
              <a:gd name="T11" fmla="*/ 356 h 3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56">
                <a:moveTo>
                  <a:pt x="0" y="356"/>
                </a:moveTo>
                <a:lnTo>
                  <a:pt x="351" y="356"/>
                </a:lnTo>
                <a:lnTo>
                  <a:pt x="351" y="0"/>
                </a:lnTo>
                <a:lnTo>
                  <a:pt x="0" y="0"/>
                </a:lnTo>
                <a:lnTo>
                  <a:pt x="0" y="35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1" name="Freeform 103">
            <a:extLst>
              <a:ext uri="{FF2B5EF4-FFF2-40B4-BE49-F238E27FC236}">
                <a16:creationId xmlns="" xmlns:a16="http://schemas.microsoft.com/office/drawing/2014/main" id="{00000000-0008-0000-0300-000029000000}"/>
              </a:ext>
            </a:extLst>
          </xdr:cNvPr>
          <xdr:cNvSpPr>
            <a:spLocks/>
          </xdr:cNvSpPr>
        </xdr:nvSpPr>
        <xdr:spPr bwMode="auto">
          <a:xfrm>
            <a:off x="274755" y="262738"/>
            <a:ext cx="20760" cy="21236"/>
          </a:xfrm>
          <a:custGeom>
            <a:avLst/>
            <a:gdLst>
              <a:gd name="T0" fmla="*/ 129 w 259"/>
              <a:gd name="T1" fmla="*/ 265 h 265"/>
              <a:gd name="T2" fmla="*/ 176 w 259"/>
              <a:gd name="T3" fmla="*/ 246 h 265"/>
              <a:gd name="T4" fmla="*/ 222 w 259"/>
              <a:gd name="T5" fmla="*/ 219 h 265"/>
              <a:gd name="T6" fmla="*/ 249 w 259"/>
              <a:gd name="T7" fmla="*/ 173 h 265"/>
              <a:gd name="T8" fmla="*/ 259 w 259"/>
              <a:gd name="T9" fmla="*/ 128 h 265"/>
              <a:gd name="T10" fmla="*/ 249 w 259"/>
              <a:gd name="T11" fmla="*/ 73 h 265"/>
              <a:gd name="T12" fmla="*/ 222 w 259"/>
              <a:gd name="T13" fmla="*/ 27 h 265"/>
              <a:gd name="T14" fmla="*/ 176 w 259"/>
              <a:gd name="T15" fmla="*/ 0 h 265"/>
              <a:gd name="T16" fmla="*/ 129 w 259"/>
              <a:gd name="T17" fmla="*/ 0 h 265"/>
              <a:gd name="T18" fmla="*/ 65 w 259"/>
              <a:gd name="T19" fmla="*/ 0 h 265"/>
              <a:gd name="T20" fmla="*/ 28 w 259"/>
              <a:gd name="T21" fmla="*/ 27 h 265"/>
              <a:gd name="T22" fmla="*/ 0 w 259"/>
              <a:gd name="T23" fmla="*/ 73 h 265"/>
              <a:gd name="T24" fmla="*/ 0 w 259"/>
              <a:gd name="T25" fmla="*/ 128 h 265"/>
              <a:gd name="T26" fmla="*/ 0 w 259"/>
              <a:gd name="T27" fmla="*/ 173 h 265"/>
              <a:gd name="T28" fmla="*/ 28 w 259"/>
              <a:gd name="T29" fmla="*/ 219 h 265"/>
              <a:gd name="T30" fmla="*/ 65 w 259"/>
              <a:gd name="T31" fmla="*/ 246 h 265"/>
              <a:gd name="T32" fmla="*/ 129 w 259"/>
              <a:gd name="T33" fmla="*/ 265 h 265"/>
              <a:gd name="T34" fmla="*/ 129 w 259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59" h="265">
                <a:moveTo>
                  <a:pt x="129" y="265"/>
                </a:moveTo>
                <a:lnTo>
                  <a:pt x="176" y="246"/>
                </a:lnTo>
                <a:lnTo>
                  <a:pt x="222" y="219"/>
                </a:lnTo>
                <a:lnTo>
                  <a:pt x="249" y="173"/>
                </a:lnTo>
                <a:lnTo>
                  <a:pt x="259" y="128"/>
                </a:lnTo>
                <a:lnTo>
                  <a:pt x="249" y="73"/>
                </a:lnTo>
                <a:lnTo>
                  <a:pt x="222" y="27"/>
                </a:lnTo>
                <a:lnTo>
                  <a:pt x="176" y="0"/>
                </a:lnTo>
                <a:lnTo>
                  <a:pt x="129" y="0"/>
                </a:lnTo>
                <a:lnTo>
                  <a:pt x="65" y="0"/>
                </a:lnTo>
                <a:lnTo>
                  <a:pt x="28" y="27"/>
                </a:lnTo>
                <a:lnTo>
                  <a:pt x="0" y="73"/>
                </a:lnTo>
                <a:lnTo>
                  <a:pt x="0" y="128"/>
                </a:lnTo>
                <a:lnTo>
                  <a:pt x="0" y="173"/>
                </a:lnTo>
                <a:lnTo>
                  <a:pt x="28" y="219"/>
                </a:lnTo>
                <a:lnTo>
                  <a:pt x="65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2" name="Freeform 104">
            <a:extLst>
              <a:ext uri="{FF2B5EF4-FFF2-40B4-BE49-F238E27FC236}">
                <a16:creationId xmlns="" xmlns:a16="http://schemas.microsoft.com/office/drawing/2014/main" id="{00000000-0008-0000-0300-00002A000000}"/>
              </a:ext>
            </a:extLst>
          </xdr:cNvPr>
          <xdr:cNvSpPr>
            <a:spLocks/>
          </xdr:cNvSpPr>
        </xdr:nvSpPr>
        <xdr:spPr bwMode="auto">
          <a:xfrm>
            <a:off x="313955" y="262738"/>
            <a:ext cx="21355" cy="21236"/>
          </a:xfrm>
          <a:custGeom>
            <a:avLst/>
            <a:gdLst>
              <a:gd name="T0" fmla="*/ 129 w 267"/>
              <a:gd name="T1" fmla="*/ 265 h 265"/>
              <a:gd name="T2" fmla="*/ 184 w 267"/>
              <a:gd name="T3" fmla="*/ 246 h 265"/>
              <a:gd name="T4" fmla="*/ 230 w 267"/>
              <a:gd name="T5" fmla="*/ 219 h 265"/>
              <a:gd name="T6" fmla="*/ 249 w 267"/>
              <a:gd name="T7" fmla="*/ 173 h 265"/>
              <a:gd name="T8" fmla="*/ 267 w 267"/>
              <a:gd name="T9" fmla="*/ 137 h 265"/>
              <a:gd name="T10" fmla="*/ 249 w 267"/>
              <a:gd name="T11" fmla="*/ 73 h 265"/>
              <a:gd name="T12" fmla="*/ 230 w 267"/>
              <a:gd name="T13" fmla="*/ 36 h 265"/>
              <a:gd name="T14" fmla="*/ 184 w 267"/>
              <a:gd name="T15" fmla="*/ 0 h 265"/>
              <a:gd name="T16" fmla="*/ 129 w 267"/>
              <a:gd name="T17" fmla="*/ 0 h 265"/>
              <a:gd name="T18" fmla="*/ 74 w 267"/>
              <a:gd name="T19" fmla="*/ 0 h 265"/>
              <a:gd name="T20" fmla="*/ 37 w 267"/>
              <a:gd name="T21" fmla="*/ 36 h 265"/>
              <a:gd name="T22" fmla="*/ 9 w 267"/>
              <a:gd name="T23" fmla="*/ 73 h 265"/>
              <a:gd name="T24" fmla="*/ 0 w 267"/>
              <a:gd name="T25" fmla="*/ 137 h 265"/>
              <a:gd name="T26" fmla="*/ 9 w 267"/>
              <a:gd name="T27" fmla="*/ 173 h 265"/>
              <a:gd name="T28" fmla="*/ 37 w 267"/>
              <a:gd name="T29" fmla="*/ 219 h 265"/>
              <a:gd name="T30" fmla="*/ 74 w 267"/>
              <a:gd name="T31" fmla="*/ 246 h 265"/>
              <a:gd name="T32" fmla="*/ 129 w 267"/>
              <a:gd name="T33" fmla="*/ 265 h 265"/>
              <a:gd name="T34" fmla="*/ 129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29" y="265"/>
                </a:moveTo>
                <a:lnTo>
                  <a:pt x="184" y="246"/>
                </a:lnTo>
                <a:lnTo>
                  <a:pt x="230" y="219"/>
                </a:lnTo>
                <a:lnTo>
                  <a:pt x="249" y="173"/>
                </a:lnTo>
                <a:lnTo>
                  <a:pt x="267" y="137"/>
                </a:lnTo>
                <a:lnTo>
                  <a:pt x="249" y="73"/>
                </a:lnTo>
                <a:lnTo>
                  <a:pt x="230" y="36"/>
                </a:lnTo>
                <a:lnTo>
                  <a:pt x="184" y="0"/>
                </a:lnTo>
                <a:lnTo>
                  <a:pt x="129" y="0"/>
                </a:lnTo>
                <a:lnTo>
                  <a:pt x="74" y="0"/>
                </a:lnTo>
                <a:lnTo>
                  <a:pt x="37" y="36"/>
                </a:lnTo>
                <a:lnTo>
                  <a:pt x="9" y="73"/>
                </a:lnTo>
                <a:lnTo>
                  <a:pt x="0" y="137"/>
                </a:lnTo>
                <a:lnTo>
                  <a:pt x="9" y="173"/>
                </a:lnTo>
                <a:lnTo>
                  <a:pt x="37" y="219"/>
                </a:lnTo>
                <a:lnTo>
                  <a:pt x="74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Freeform 105">
            <a:extLst>
              <a:ext uri="{FF2B5EF4-FFF2-40B4-BE49-F238E27FC236}">
                <a16:creationId xmlns="" xmlns:a16="http://schemas.microsoft.com/office/drawing/2014/main" id="{00000000-0008-0000-0300-00002B000000}"/>
              </a:ext>
            </a:extLst>
          </xdr:cNvPr>
          <xdr:cNvSpPr>
            <a:spLocks/>
          </xdr:cNvSpPr>
        </xdr:nvSpPr>
        <xdr:spPr bwMode="auto">
          <a:xfrm>
            <a:off x="345838" y="267913"/>
            <a:ext cx="21355" cy="21236"/>
          </a:xfrm>
          <a:custGeom>
            <a:avLst/>
            <a:gdLst>
              <a:gd name="T0" fmla="*/ 138 w 267"/>
              <a:gd name="T1" fmla="*/ 265 h 265"/>
              <a:gd name="T2" fmla="*/ 184 w 267"/>
              <a:gd name="T3" fmla="*/ 256 h 265"/>
              <a:gd name="T4" fmla="*/ 230 w 267"/>
              <a:gd name="T5" fmla="*/ 228 h 265"/>
              <a:gd name="T6" fmla="*/ 258 w 267"/>
              <a:gd name="T7" fmla="*/ 182 h 265"/>
              <a:gd name="T8" fmla="*/ 267 w 267"/>
              <a:gd name="T9" fmla="*/ 137 h 265"/>
              <a:gd name="T10" fmla="*/ 258 w 267"/>
              <a:gd name="T11" fmla="*/ 82 h 265"/>
              <a:gd name="T12" fmla="*/ 230 w 267"/>
              <a:gd name="T13" fmla="*/ 45 h 265"/>
              <a:gd name="T14" fmla="*/ 184 w 267"/>
              <a:gd name="T15" fmla="*/ 9 h 265"/>
              <a:gd name="T16" fmla="*/ 138 w 267"/>
              <a:gd name="T17" fmla="*/ 0 h 265"/>
              <a:gd name="T18" fmla="*/ 74 w 267"/>
              <a:gd name="T19" fmla="*/ 9 h 265"/>
              <a:gd name="T20" fmla="*/ 37 w 267"/>
              <a:gd name="T21" fmla="*/ 45 h 265"/>
              <a:gd name="T22" fmla="*/ 9 w 267"/>
              <a:gd name="T23" fmla="*/ 82 h 265"/>
              <a:gd name="T24" fmla="*/ 0 w 267"/>
              <a:gd name="T25" fmla="*/ 137 h 265"/>
              <a:gd name="T26" fmla="*/ 9 w 267"/>
              <a:gd name="T27" fmla="*/ 182 h 265"/>
              <a:gd name="T28" fmla="*/ 37 w 267"/>
              <a:gd name="T29" fmla="*/ 228 h 265"/>
              <a:gd name="T30" fmla="*/ 74 w 267"/>
              <a:gd name="T31" fmla="*/ 256 h 265"/>
              <a:gd name="T32" fmla="*/ 138 w 267"/>
              <a:gd name="T33" fmla="*/ 265 h 265"/>
              <a:gd name="T34" fmla="*/ 138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38" y="265"/>
                </a:moveTo>
                <a:lnTo>
                  <a:pt x="184" y="256"/>
                </a:lnTo>
                <a:lnTo>
                  <a:pt x="230" y="228"/>
                </a:lnTo>
                <a:lnTo>
                  <a:pt x="258" y="182"/>
                </a:lnTo>
                <a:lnTo>
                  <a:pt x="267" y="137"/>
                </a:lnTo>
                <a:lnTo>
                  <a:pt x="258" y="82"/>
                </a:lnTo>
                <a:lnTo>
                  <a:pt x="230" y="45"/>
                </a:lnTo>
                <a:lnTo>
                  <a:pt x="184" y="9"/>
                </a:lnTo>
                <a:lnTo>
                  <a:pt x="138" y="0"/>
                </a:lnTo>
                <a:lnTo>
                  <a:pt x="74" y="9"/>
                </a:lnTo>
                <a:lnTo>
                  <a:pt x="37" y="45"/>
                </a:lnTo>
                <a:lnTo>
                  <a:pt x="9" y="82"/>
                </a:lnTo>
                <a:lnTo>
                  <a:pt x="0" y="137"/>
                </a:lnTo>
                <a:lnTo>
                  <a:pt x="9" y="182"/>
                </a:lnTo>
                <a:lnTo>
                  <a:pt x="37" y="228"/>
                </a:lnTo>
                <a:lnTo>
                  <a:pt x="74" y="256"/>
                </a:lnTo>
                <a:lnTo>
                  <a:pt x="138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4" name="Freeform 106">
            <a:extLst>
              <a:ext uri="{FF2B5EF4-FFF2-40B4-BE49-F238E27FC236}">
                <a16:creationId xmlns="" xmlns:a16="http://schemas.microsoft.com/office/drawing/2014/main" id="{00000000-0008-0000-0300-00002C000000}"/>
              </a:ext>
            </a:extLst>
          </xdr:cNvPr>
          <xdr:cNvSpPr>
            <a:spLocks/>
          </xdr:cNvSpPr>
        </xdr:nvSpPr>
        <xdr:spPr bwMode="auto">
          <a:xfrm>
            <a:off x="278502" y="266307"/>
            <a:ext cx="14038" cy="13919"/>
          </a:xfrm>
          <a:custGeom>
            <a:avLst/>
            <a:gdLst>
              <a:gd name="T0" fmla="*/ 83 w 176"/>
              <a:gd name="T1" fmla="*/ 174 h 174"/>
              <a:gd name="T2" fmla="*/ 148 w 176"/>
              <a:gd name="T3" fmla="*/ 147 h 174"/>
              <a:gd name="T4" fmla="*/ 176 w 176"/>
              <a:gd name="T5" fmla="*/ 92 h 174"/>
              <a:gd name="T6" fmla="*/ 148 w 176"/>
              <a:gd name="T7" fmla="*/ 28 h 174"/>
              <a:gd name="T8" fmla="*/ 83 w 176"/>
              <a:gd name="T9" fmla="*/ 0 h 174"/>
              <a:gd name="T10" fmla="*/ 19 w 176"/>
              <a:gd name="T11" fmla="*/ 28 h 174"/>
              <a:gd name="T12" fmla="*/ 0 w 176"/>
              <a:gd name="T13" fmla="*/ 92 h 174"/>
              <a:gd name="T14" fmla="*/ 19 w 176"/>
              <a:gd name="T15" fmla="*/ 147 h 174"/>
              <a:gd name="T16" fmla="*/ 83 w 176"/>
              <a:gd name="T17" fmla="*/ 174 h 174"/>
              <a:gd name="T18" fmla="*/ 83 w 17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76" h="174">
                <a:moveTo>
                  <a:pt x="83" y="174"/>
                </a:moveTo>
                <a:lnTo>
                  <a:pt x="148" y="147"/>
                </a:lnTo>
                <a:lnTo>
                  <a:pt x="176" y="92"/>
                </a:lnTo>
                <a:lnTo>
                  <a:pt x="148" y="28"/>
                </a:lnTo>
                <a:lnTo>
                  <a:pt x="83" y="0"/>
                </a:lnTo>
                <a:lnTo>
                  <a:pt x="19" y="28"/>
                </a:lnTo>
                <a:lnTo>
                  <a:pt x="0" y="92"/>
                </a:lnTo>
                <a:lnTo>
                  <a:pt x="19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5" name="Freeform 107">
            <a:extLst>
              <a:ext uri="{FF2B5EF4-FFF2-40B4-BE49-F238E27FC236}">
                <a16:creationId xmlns="" xmlns:a16="http://schemas.microsoft.com/office/drawing/2014/main" id="{00000000-0008-0000-0300-00002D000000}"/>
              </a:ext>
            </a:extLst>
          </xdr:cNvPr>
          <xdr:cNvSpPr>
            <a:spLocks/>
          </xdr:cNvSpPr>
        </xdr:nvSpPr>
        <xdr:spPr bwMode="auto">
          <a:xfrm>
            <a:off x="101955" y="15347"/>
            <a:ext cx="629991" cy="494604"/>
          </a:xfrm>
          <a:custGeom>
            <a:avLst/>
            <a:gdLst>
              <a:gd name="T0" fmla="*/ 5393 w 7863"/>
              <a:gd name="T1" fmla="*/ 73 h 6179"/>
              <a:gd name="T2" fmla="*/ 5863 w 7863"/>
              <a:gd name="T3" fmla="*/ 9 h 6179"/>
              <a:gd name="T4" fmla="*/ 6352 w 7863"/>
              <a:gd name="T5" fmla="*/ 9 h 6179"/>
              <a:gd name="T6" fmla="*/ 6794 w 7863"/>
              <a:gd name="T7" fmla="*/ 64 h 6179"/>
              <a:gd name="T8" fmla="*/ 7190 w 7863"/>
              <a:gd name="T9" fmla="*/ 229 h 6179"/>
              <a:gd name="T10" fmla="*/ 7587 w 7863"/>
              <a:gd name="T11" fmla="*/ 567 h 6179"/>
              <a:gd name="T12" fmla="*/ 7854 w 7863"/>
              <a:gd name="T13" fmla="*/ 1243 h 6179"/>
              <a:gd name="T14" fmla="*/ 7799 w 7863"/>
              <a:gd name="T15" fmla="*/ 2020 h 6179"/>
              <a:gd name="T16" fmla="*/ 7522 w 7863"/>
              <a:gd name="T17" fmla="*/ 2834 h 6179"/>
              <a:gd name="T18" fmla="*/ 7080 w 7863"/>
              <a:gd name="T19" fmla="*/ 3574 h 6179"/>
              <a:gd name="T20" fmla="*/ 6573 w 7863"/>
              <a:gd name="T21" fmla="*/ 4196 h 6179"/>
              <a:gd name="T22" fmla="*/ 5752 w 7863"/>
              <a:gd name="T23" fmla="*/ 4872 h 6179"/>
              <a:gd name="T24" fmla="*/ 4914 w 7863"/>
              <a:gd name="T25" fmla="*/ 5393 h 6179"/>
              <a:gd name="T26" fmla="*/ 4029 w 7863"/>
              <a:gd name="T27" fmla="*/ 5759 h 6179"/>
              <a:gd name="T28" fmla="*/ 3098 w 7863"/>
              <a:gd name="T29" fmla="*/ 6015 h 6179"/>
              <a:gd name="T30" fmla="*/ 2047 w 7863"/>
              <a:gd name="T31" fmla="*/ 6152 h 6179"/>
              <a:gd name="T32" fmla="*/ 1438 w 7863"/>
              <a:gd name="T33" fmla="*/ 6179 h 6179"/>
              <a:gd name="T34" fmla="*/ 1079 w 7863"/>
              <a:gd name="T35" fmla="*/ 6170 h 6179"/>
              <a:gd name="T36" fmla="*/ 747 w 7863"/>
              <a:gd name="T37" fmla="*/ 6134 h 6179"/>
              <a:gd name="T38" fmla="*/ 443 w 7863"/>
              <a:gd name="T39" fmla="*/ 6042 h 6179"/>
              <a:gd name="T40" fmla="*/ 203 w 7863"/>
              <a:gd name="T41" fmla="*/ 5923 h 6179"/>
              <a:gd name="T42" fmla="*/ 28 w 7863"/>
              <a:gd name="T43" fmla="*/ 5740 h 6179"/>
              <a:gd name="T44" fmla="*/ 10 w 7863"/>
              <a:gd name="T45" fmla="*/ 5503 h 6179"/>
              <a:gd name="T46" fmla="*/ 102 w 7863"/>
              <a:gd name="T47" fmla="*/ 5229 h 6179"/>
              <a:gd name="T48" fmla="*/ 259 w 7863"/>
              <a:gd name="T49" fmla="*/ 4991 h 6179"/>
              <a:gd name="T50" fmla="*/ 397 w 7863"/>
              <a:gd name="T51" fmla="*/ 4808 h 6179"/>
              <a:gd name="T52" fmla="*/ 471 w 7863"/>
              <a:gd name="T53" fmla="*/ 4753 h 6179"/>
              <a:gd name="T54" fmla="*/ 544 w 7863"/>
              <a:gd name="T55" fmla="*/ 5000 h 6179"/>
              <a:gd name="T56" fmla="*/ 480 w 7863"/>
              <a:gd name="T57" fmla="*/ 5110 h 6179"/>
              <a:gd name="T58" fmla="*/ 415 w 7863"/>
              <a:gd name="T59" fmla="*/ 5265 h 6179"/>
              <a:gd name="T60" fmla="*/ 378 w 7863"/>
              <a:gd name="T61" fmla="*/ 5457 h 6179"/>
              <a:gd name="T62" fmla="*/ 415 w 7863"/>
              <a:gd name="T63" fmla="*/ 5658 h 6179"/>
              <a:gd name="T64" fmla="*/ 821 w 7863"/>
              <a:gd name="T65" fmla="*/ 5914 h 6179"/>
              <a:gd name="T66" fmla="*/ 1448 w 7863"/>
              <a:gd name="T67" fmla="*/ 6024 h 6179"/>
              <a:gd name="T68" fmla="*/ 2213 w 7863"/>
              <a:gd name="T69" fmla="*/ 5978 h 6179"/>
              <a:gd name="T70" fmla="*/ 3033 w 7863"/>
              <a:gd name="T71" fmla="*/ 5823 h 6179"/>
              <a:gd name="T72" fmla="*/ 3807 w 7863"/>
              <a:gd name="T73" fmla="*/ 5567 h 6179"/>
              <a:gd name="T74" fmla="*/ 4683 w 7863"/>
              <a:gd name="T75" fmla="*/ 5091 h 6179"/>
              <a:gd name="T76" fmla="*/ 5669 w 7863"/>
              <a:gd name="T77" fmla="*/ 4324 h 6179"/>
              <a:gd name="T78" fmla="*/ 6554 w 7863"/>
              <a:gd name="T79" fmla="*/ 3382 h 6179"/>
              <a:gd name="T80" fmla="*/ 7181 w 7863"/>
              <a:gd name="T81" fmla="*/ 2331 h 6179"/>
              <a:gd name="T82" fmla="*/ 7402 w 7863"/>
              <a:gd name="T83" fmla="*/ 1271 h 6179"/>
              <a:gd name="T84" fmla="*/ 7209 w 7863"/>
              <a:gd name="T85" fmla="*/ 475 h 6179"/>
              <a:gd name="T86" fmla="*/ 6941 w 7863"/>
              <a:gd name="T87" fmla="*/ 247 h 6179"/>
              <a:gd name="T88" fmla="*/ 6564 w 7863"/>
              <a:gd name="T89" fmla="*/ 119 h 6179"/>
              <a:gd name="T90" fmla="*/ 6140 w 7863"/>
              <a:gd name="T91" fmla="*/ 101 h 6179"/>
              <a:gd name="T92" fmla="*/ 5679 w 7863"/>
              <a:gd name="T93" fmla="*/ 146 h 6179"/>
              <a:gd name="T94" fmla="*/ 5236 w 7863"/>
              <a:gd name="T95" fmla="*/ 229 h 6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7863" h="6179">
                <a:moveTo>
                  <a:pt x="5089" y="137"/>
                </a:moveTo>
                <a:lnTo>
                  <a:pt x="5236" y="101"/>
                </a:lnTo>
                <a:lnTo>
                  <a:pt x="5393" y="73"/>
                </a:lnTo>
                <a:lnTo>
                  <a:pt x="5550" y="46"/>
                </a:lnTo>
                <a:lnTo>
                  <a:pt x="5706" y="28"/>
                </a:lnTo>
                <a:lnTo>
                  <a:pt x="5863" y="9"/>
                </a:lnTo>
                <a:lnTo>
                  <a:pt x="6029" y="0"/>
                </a:lnTo>
                <a:lnTo>
                  <a:pt x="6186" y="0"/>
                </a:lnTo>
                <a:lnTo>
                  <a:pt x="6352" y="9"/>
                </a:lnTo>
                <a:lnTo>
                  <a:pt x="6499" y="9"/>
                </a:lnTo>
                <a:lnTo>
                  <a:pt x="6647" y="37"/>
                </a:lnTo>
                <a:lnTo>
                  <a:pt x="6794" y="64"/>
                </a:lnTo>
                <a:lnTo>
                  <a:pt x="6932" y="110"/>
                </a:lnTo>
                <a:lnTo>
                  <a:pt x="7061" y="165"/>
                </a:lnTo>
                <a:lnTo>
                  <a:pt x="7190" y="229"/>
                </a:lnTo>
                <a:lnTo>
                  <a:pt x="7310" y="293"/>
                </a:lnTo>
                <a:lnTo>
                  <a:pt x="7430" y="384"/>
                </a:lnTo>
                <a:lnTo>
                  <a:pt x="7587" y="567"/>
                </a:lnTo>
                <a:lnTo>
                  <a:pt x="7716" y="768"/>
                </a:lnTo>
                <a:lnTo>
                  <a:pt x="7799" y="996"/>
                </a:lnTo>
                <a:lnTo>
                  <a:pt x="7854" y="1243"/>
                </a:lnTo>
                <a:lnTo>
                  <a:pt x="7863" y="1490"/>
                </a:lnTo>
                <a:lnTo>
                  <a:pt x="7845" y="1755"/>
                </a:lnTo>
                <a:lnTo>
                  <a:pt x="7799" y="2020"/>
                </a:lnTo>
                <a:lnTo>
                  <a:pt x="7734" y="2294"/>
                </a:lnTo>
                <a:lnTo>
                  <a:pt x="7642" y="2559"/>
                </a:lnTo>
                <a:lnTo>
                  <a:pt x="7522" y="2834"/>
                </a:lnTo>
                <a:lnTo>
                  <a:pt x="7384" y="3090"/>
                </a:lnTo>
                <a:lnTo>
                  <a:pt x="7246" y="3346"/>
                </a:lnTo>
                <a:lnTo>
                  <a:pt x="7080" y="3574"/>
                </a:lnTo>
                <a:lnTo>
                  <a:pt x="6914" y="3812"/>
                </a:lnTo>
                <a:lnTo>
                  <a:pt x="6739" y="4004"/>
                </a:lnTo>
                <a:lnTo>
                  <a:pt x="6573" y="4196"/>
                </a:lnTo>
                <a:lnTo>
                  <a:pt x="6296" y="4433"/>
                </a:lnTo>
                <a:lnTo>
                  <a:pt x="6020" y="4662"/>
                </a:lnTo>
                <a:lnTo>
                  <a:pt x="5752" y="4872"/>
                </a:lnTo>
                <a:lnTo>
                  <a:pt x="5476" y="5064"/>
                </a:lnTo>
                <a:lnTo>
                  <a:pt x="5190" y="5238"/>
                </a:lnTo>
                <a:lnTo>
                  <a:pt x="4914" y="5393"/>
                </a:lnTo>
                <a:lnTo>
                  <a:pt x="4619" y="5521"/>
                </a:lnTo>
                <a:lnTo>
                  <a:pt x="4333" y="5658"/>
                </a:lnTo>
                <a:lnTo>
                  <a:pt x="4029" y="5759"/>
                </a:lnTo>
                <a:lnTo>
                  <a:pt x="3724" y="5859"/>
                </a:lnTo>
                <a:lnTo>
                  <a:pt x="3411" y="5932"/>
                </a:lnTo>
                <a:lnTo>
                  <a:pt x="3098" y="6015"/>
                </a:lnTo>
                <a:lnTo>
                  <a:pt x="2757" y="6070"/>
                </a:lnTo>
                <a:lnTo>
                  <a:pt x="2406" y="6115"/>
                </a:lnTo>
                <a:lnTo>
                  <a:pt x="2047" y="6152"/>
                </a:lnTo>
                <a:lnTo>
                  <a:pt x="1678" y="6179"/>
                </a:lnTo>
                <a:lnTo>
                  <a:pt x="1558" y="6179"/>
                </a:lnTo>
                <a:lnTo>
                  <a:pt x="1438" y="6179"/>
                </a:lnTo>
                <a:lnTo>
                  <a:pt x="1309" y="6179"/>
                </a:lnTo>
                <a:lnTo>
                  <a:pt x="1199" y="6179"/>
                </a:lnTo>
                <a:lnTo>
                  <a:pt x="1079" y="6170"/>
                </a:lnTo>
                <a:lnTo>
                  <a:pt x="959" y="6161"/>
                </a:lnTo>
                <a:lnTo>
                  <a:pt x="848" y="6152"/>
                </a:lnTo>
                <a:lnTo>
                  <a:pt x="747" y="6134"/>
                </a:lnTo>
                <a:lnTo>
                  <a:pt x="636" y="6106"/>
                </a:lnTo>
                <a:lnTo>
                  <a:pt x="544" y="6088"/>
                </a:lnTo>
                <a:lnTo>
                  <a:pt x="443" y="6042"/>
                </a:lnTo>
                <a:lnTo>
                  <a:pt x="369" y="6015"/>
                </a:lnTo>
                <a:lnTo>
                  <a:pt x="277" y="5969"/>
                </a:lnTo>
                <a:lnTo>
                  <a:pt x="203" y="5923"/>
                </a:lnTo>
                <a:lnTo>
                  <a:pt x="129" y="5868"/>
                </a:lnTo>
                <a:lnTo>
                  <a:pt x="83" y="5814"/>
                </a:lnTo>
                <a:lnTo>
                  <a:pt x="28" y="5740"/>
                </a:lnTo>
                <a:lnTo>
                  <a:pt x="0" y="5667"/>
                </a:lnTo>
                <a:lnTo>
                  <a:pt x="0" y="5585"/>
                </a:lnTo>
                <a:lnTo>
                  <a:pt x="10" y="5503"/>
                </a:lnTo>
                <a:lnTo>
                  <a:pt x="19" y="5411"/>
                </a:lnTo>
                <a:lnTo>
                  <a:pt x="65" y="5320"/>
                </a:lnTo>
                <a:lnTo>
                  <a:pt x="102" y="5229"/>
                </a:lnTo>
                <a:lnTo>
                  <a:pt x="157" y="5155"/>
                </a:lnTo>
                <a:lnTo>
                  <a:pt x="203" y="5064"/>
                </a:lnTo>
                <a:lnTo>
                  <a:pt x="259" y="4991"/>
                </a:lnTo>
                <a:lnTo>
                  <a:pt x="305" y="4918"/>
                </a:lnTo>
                <a:lnTo>
                  <a:pt x="360" y="4863"/>
                </a:lnTo>
                <a:lnTo>
                  <a:pt x="397" y="4808"/>
                </a:lnTo>
                <a:lnTo>
                  <a:pt x="434" y="4781"/>
                </a:lnTo>
                <a:lnTo>
                  <a:pt x="461" y="4753"/>
                </a:lnTo>
                <a:lnTo>
                  <a:pt x="471" y="4753"/>
                </a:lnTo>
                <a:lnTo>
                  <a:pt x="600" y="4936"/>
                </a:lnTo>
                <a:lnTo>
                  <a:pt x="581" y="4954"/>
                </a:lnTo>
                <a:lnTo>
                  <a:pt x="544" y="5000"/>
                </a:lnTo>
                <a:lnTo>
                  <a:pt x="526" y="5027"/>
                </a:lnTo>
                <a:lnTo>
                  <a:pt x="507" y="5064"/>
                </a:lnTo>
                <a:lnTo>
                  <a:pt x="480" y="5110"/>
                </a:lnTo>
                <a:lnTo>
                  <a:pt x="461" y="5165"/>
                </a:lnTo>
                <a:lnTo>
                  <a:pt x="434" y="5210"/>
                </a:lnTo>
                <a:lnTo>
                  <a:pt x="415" y="5265"/>
                </a:lnTo>
                <a:lnTo>
                  <a:pt x="397" y="5329"/>
                </a:lnTo>
                <a:lnTo>
                  <a:pt x="397" y="5393"/>
                </a:lnTo>
                <a:lnTo>
                  <a:pt x="378" y="5457"/>
                </a:lnTo>
                <a:lnTo>
                  <a:pt x="388" y="5521"/>
                </a:lnTo>
                <a:lnTo>
                  <a:pt x="397" y="5585"/>
                </a:lnTo>
                <a:lnTo>
                  <a:pt x="415" y="5658"/>
                </a:lnTo>
                <a:lnTo>
                  <a:pt x="517" y="5759"/>
                </a:lnTo>
                <a:lnTo>
                  <a:pt x="655" y="5850"/>
                </a:lnTo>
                <a:lnTo>
                  <a:pt x="821" y="5914"/>
                </a:lnTo>
                <a:lnTo>
                  <a:pt x="1014" y="5978"/>
                </a:lnTo>
                <a:lnTo>
                  <a:pt x="1226" y="6006"/>
                </a:lnTo>
                <a:lnTo>
                  <a:pt x="1448" y="6024"/>
                </a:lnTo>
                <a:lnTo>
                  <a:pt x="1697" y="6024"/>
                </a:lnTo>
                <a:lnTo>
                  <a:pt x="1955" y="6015"/>
                </a:lnTo>
                <a:lnTo>
                  <a:pt x="2213" y="5978"/>
                </a:lnTo>
                <a:lnTo>
                  <a:pt x="2480" y="5942"/>
                </a:lnTo>
                <a:lnTo>
                  <a:pt x="2747" y="5887"/>
                </a:lnTo>
                <a:lnTo>
                  <a:pt x="3033" y="5823"/>
                </a:lnTo>
                <a:lnTo>
                  <a:pt x="3291" y="5740"/>
                </a:lnTo>
                <a:lnTo>
                  <a:pt x="3549" y="5658"/>
                </a:lnTo>
                <a:lnTo>
                  <a:pt x="3807" y="5567"/>
                </a:lnTo>
                <a:lnTo>
                  <a:pt x="4047" y="5466"/>
                </a:lnTo>
                <a:lnTo>
                  <a:pt x="4360" y="5293"/>
                </a:lnTo>
                <a:lnTo>
                  <a:pt x="4683" y="5091"/>
                </a:lnTo>
                <a:lnTo>
                  <a:pt x="5015" y="4854"/>
                </a:lnTo>
                <a:lnTo>
                  <a:pt x="5347" y="4607"/>
                </a:lnTo>
                <a:lnTo>
                  <a:pt x="5669" y="4324"/>
                </a:lnTo>
                <a:lnTo>
                  <a:pt x="5983" y="4022"/>
                </a:lnTo>
                <a:lnTo>
                  <a:pt x="6278" y="3711"/>
                </a:lnTo>
                <a:lnTo>
                  <a:pt x="6554" y="3382"/>
                </a:lnTo>
                <a:lnTo>
                  <a:pt x="6794" y="3035"/>
                </a:lnTo>
                <a:lnTo>
                  <a:pt x="7015" y="2687"/>
                </a:lnTo>
                <a:lnTo>
                  <a:pt x="7181" y="2331"/>
                </a:lnTo>
                <a:lnTo>
                  <a:pt x="7310" y="1974"/>
                </a:lnTo>
                <a:lnTo>
                  <a:pt x="7384" y="1618"/>
                </a:lnTo>
                <a:lnTo>
                  <a:pt x="7402" y="1271"/>
                </a:lnTo>
                <a:lnTo>
                  <a:pt x="7366" y="923"/>
                </a:lnTo>
                <a:lnTo>
                  <a:pt x="7273" y="594"/>
                </a:lnTo>
                <a:lnTo>
                  <a:pt x="7209" y="475"/>
                </a:lnTo>
                <a:lnTo>
                  <a:pt x="7135" y="384"/>
                </a:lnTo>
                <a:lnTo>
                  <a:pt x="7034" y="302"/>
                </a:lnTo>
                <a:lnTo>
                  <a:pt x="6941" y="247"/>
                </a:lnTo>
                <a:lnTo>
                  <a:pt x="6822" y="183"/>
                </a:lnTo>
                <a:lnTo>
                  <a:pt x="6702" y="146"/>
                </a:lnTo>
                <a:lnTo>
                  <a:pt x="6564" y="119"/>
                </a:lnTo>
                <a:lnTo>
                  <a:pt x="6435" y="110"/>
                </a:lnTo>
                <a:lnTo>
                  <a:pt x="6287" y="101"/>
                </a:lnTo>
                <a:lnTo>
                  <a:pt x="6140" y="101"/>
                </a:lnTo>
                <a:lnTo>
                  <a:pt x="5983" y="101"/>
                </a:lnTo>
                <a:lnTo>
                  <a:pt x="5835" y="119"/>
                </a:lnTo>
                <a:lnTo>
                  <a:pt x="5679" y="146"/>
                </a:lnTo>
                <a:lnTo>
                  <a:pt x="5531" y="165"/>
                </a:lnTo>
                <a:lnTo>
                  <a:pt x="5374" y="192"/>
                </a:lnTo>
                <a:lnTo>
                  <a:pt x="5236" y="229"/>
                </a:lnTo>
                <a:lnTo>
                  <a:pt x="5089" y="13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6" name="Freeform 108">
            <a:extLst>
              <a:ext uri="{FF2B5EF4-FFF2-40B4-BE49-F238E27FC236}">
                <a16:creationId xmlns="" xmlns:a16="http://schemas.microsoft.com/office/drawing/2014/main" id="{00000000-0008-0000-0300-00002E000000}"/>
              </a:ext>
            </a:extLst>
          </xdr:cNvPr>
          <xdr:cNvSpPr>
            <a:spLocks/>
          </xdr:cNvSpPr>
        </xdr:nvSpPr>
        <xdr:spPr bwMode="auto">
          <a:xfrm>
            <a:off x="113019" y="334297"/>
            <a:ext cx="143296" cy="110639"/>
          </a:xfrm>
          <a:custGeom>
            <a:avLst/>
            <a:gdLst>
              <a:gd name="T0" fmla="*/ 92 w 1788"/>
              <a:gd name="T1" fmla="*/ 1079 h 1381"/>
              <a:gd name="T2" fmla="*/ 129 w 1788"/>
              <a:gd name="T3" fmla="*/ 997 h 1381"/>
              <a:gd name="T4" fmla="*/ 175 w 1788"/>
              <a:gd name="T5" fmla="*/ 942 h 1381"/>
              <a:gd name="T6" fmla="*/ 221 w 1788"/>
              <a:gd name="T7" fmla="*/ 878 h 1381"/>
              <a:gd name="T8" fmla="*/ 267 w 1788"/>
              <a:gd name="T9" fmla="*/ 823 h 1381"/>
              <a:gd name="T10" fmla="*/ 304 w 1788"/>
              <a:gd name="T11" fmla="*/ 768 h 1381"/>
              <a:gd name="T12" fmla="*/ 359 w 1788"/>
              <a:gd name="T13" fmla="*/ 713 h 1381"/>
              <a:gd name="T14" fmla="*/ 405 w 1788"/>
              <a:gd name="T15" fmla="*/ 659 h 1381"/>
              <a:gd name="T16" fmla="*/ 451 w 1788"/>
              <a:gd name="T17" fmla="*/ 613 h 1381"/>
              <a:gd name="T18" fmla="*/ 497 w 1788"/>
              <a:gd name="T19" fmla="*/ 558 h 1381"/>
              <a:gd name="T20" fmla="*/ 553 w 1788"/>
              <a:gd name="T21" fmla="*/ 521 h 1381"/>
              <a:gd name="T22" fmla="*/ 599 w 1788"/>
              <a:gd name="T23" fmla="*/ 467 h 1381"/>
              <a:gd name="T24" fmla="*/ 663 w 1788"/>
              <a:gd name="T25" fmla="*/ 430 h 1381"/>
              <a:gd name="T26" fmla="*/ 709 w 1788"/>
              <a:gd name="T27" fmla="*/ 375 h 1381"/>
              <a:gd name="T28" fmla="*/ 774 w 1788"/>
              <a:gd name="T29" fmla="*/ 330 h 1381"/>
              <a:gd name="T30" fmla="*/ 839 w 1788"/>
              <a:gd name="T31" fmla="*/ 284 h 1381"/>
              <a:gd name="T32" fmla="*/ 912 w 1788"/>
              <a:gd name="T33" fmla="*/ 247 h 1381"/>
              <a:gd name="T34" fmla="*/ 958 w 1788"/>
              <a:gd name="T35" fmla="*/ 211 h 1381"/>
              <a:gd name="T36" fmla="*/ 1014 w 1788"/>
              <a:gd name="T37" fmla="*/ 174 h 1381"/>
              <a:gd name="T38" fmla="*/ 1060 w 1788"/>
              <a:gd name="T39" fmla="*/ 147 h 1381"/>
              <a:gd name="T40" fmla="*/ 1115 w 1788"/>
              <a:gd name="T41" fmla="*/ 128 h 1381"/>
              <a:gd name="T42" fmla="*/ 1170 w 1788"/>
              <a:gd name="T43" fmla="*/ 101 h 1381"/>
              <a:gd name="T44" fmla="*/ 1216 w 1788"/>
              <a:gd name="T45" fmla="*/ 83 h 1381"/>
              <a:gd name="T46" fmla="*/ 1272 w 1788"/>
              <a:gd name="T47" fmla="*/ 64 h 1381"/>
              <a:gd name="T48" fmla="*/ 1318 w 1788"/>
              <a:gd name="T49" fmla="*/ 46 h 1381"/>
              <a:gd name="T50" fmla="*/ 1364 w 1788"/>
              <a:gd name="T51" fmla="*/ 28 h 1381"/>
              <a:gd name="T52" fmla="*/ 1410 w 1788"/>
              <a:gd name="T53" fmla="*/ 19 h 1381"/>
              <a:gd name="T54" fmla="*/ 1456 w 1788"/>
              <a:gd name="T55" fmla="*/ 10 h 1381"/>
              <a:gd name="T56" fmla="*/ 1493 w 1788"/>
              <a:gd name="T57" fmla="*/ 10 h 1381"/>
              <a:gd name="T58" fmla="*/ 1530 w 1788"/>
              <a:gd name="T59" fmla="*/ 0 h 1381"/>
              <a:gd name="T60" fmla="*/ 1567 w 1788"/>
              <a:gd name="T61" fmla="*/ 0 h 1381"/>
              <a:gd name="T62" fmla="*/ 1594 w 1788"/>
              <a:gd name="T63" fmla="*/ 0 h 1381"/>
              <a:gd name="T64" fmla="*/ 1631 w 1788"/>
              <a:gd name="T65" fmla="*/ 10 h 1381"/>
              <a:gd name="T66" fmla="*/ 1788 w 1788"/>
              <a:gd name="T67" fmla="*/ 302 h 1381"/>
              <a:gd name="T68" fmla="*/ 1770 w 1788"/>
              <a:gd name="T69" fmla="*/ 302 h 1381"/>
              <a:gd name="T70" fmla="*/ 1733 w 1788"/>
              <a:gd name="T71" fmla="*/ 311 h 1381"/>
              <a:gd name="T72" fmla="*/ 1677 w 1788"/>
              <a:gd name="T73" fmla="*/ 330 h 1381"/>
              <a:gd name="T74" fmla="*/ 1604 w 1788"/>
              <a:gd name="T75" fmla="*/ 357 h 1381"/>
              <a:gd name="T76" fmla="*/ 1511 w 1788"/>
              <a:gd name="T77" fmla="*/ 384 h 1381"/>
              <a:gd name="T78" fmla="*/ 1410 w 1788"/>
              <a:gd name="T79" fmla="*/ 421 h 1381"/>
              <a:gd name="T80" fmla="*/ 1299 w 1788"/>
              <a:gd name="T81" fmla="*/ 467 h 1381"/>
              <a:gd name="T82" fmla="*/ 1180 w 1788"/>
              <a:gd name="T83" fmla="*/ 521 h 1381"/>
              <a:gd name="T84" fmla="*/ 1051 w 1788"/>
              <a:gd name="T85" fmla="*/ 585 h 1381"/>
              <a:gd name="T86" fmla="*/ 921 w 1788"/>
              <a:gd name="T87" fmla="*/ 659 h 1381"/>
              <a:gd name="T88" fmla="*/ 792 w 1788"/>
              <a:gd name="T89" fmla="*/ 732 h 1381"/>
              <a:gd name="T90" fmla="*/ 673 w 1788"/>
              <a:gd name="T91" fmla="*/ 832 h 1381"/>
              <a:gd name="T92" fmla="*/ 544 w 1788"/>
              <a:gd name="T93" fmla="*/ 933 h 1381"/>
              <a:gd name="T94" fmla="*/ 433 w 1788"/>
              <a:gd name="T95" fmla="*/ 1042 h 1381"/>
              <a:gd name="T96" fmla="*/ 332 w 1788"/>
              <a:gd name="T97" fmla="*/ 1170 h 1381"/>
              <a:gd name="T98" fmla="*/ 249 w 1788"/>
              <a:gd name="T99" fmla="*/ 1308 h 1381"/>
              <a:gd name="T100" fmla="*/ 202 w 1788"/>
              <a:gd name="T101" fmla="*/ 1344 h 1381"/>
              <a:gd name="T102" fmla="*/ 156 w 1788"/>
              <a:gd name="T103" fmla="*/ 1362 h 1381"/>
              <a:gd name="T104" fmla="*/ 101 w 1788"/>
              <a:gd name="T105" fmla="*/ 1381 h 1381"/>
              <a:gd name="T106" fmla="*/ 55 w 1788"/>
              <a:gd name="T107" fmla="*/ 1372 h 1381"/>
              <a:gd name="T108" fmla="*/ 9 w 1788"/>
              <a:gd name="T109" fmla="*/ 1335 h 1381"/>
              <a:gd name="T110" fmla="*/ 0 w 1788"/>
              <a:gd name="T111" fmla="*/ 1280 h 1381"/>
              <a:gd name="T112" fmla="*/ 0 w 1788"/>
              <a:gd name="T113" fmla="*/ 1234 h 1381"/>
              <a:gd name="T114" fmla="*/ 18 w 1788"/>
              <a:gd name="T115" fmla="*/ 1189 h 1381"/>
              <a:gd name="T116" fmla="*/ 46 w 1788"/>
              <a:gd name="T117" fmla="*/ 1134 h 1381"/>
              <a:gd name="T118" fmla="*/ 92 w 1788"/>
              <a:gd name="T119" fmla="*/ 1079 h 1381"/>
              <a:gd name="T120" fmla="*/ 92 w 1788"/>
              <a:gd name="T121" fmla="*/ 1079 h 1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88" h="1381">
                <a:moveTo>
                  <a:pt x="92" y="1079"/>
                </a:moveTo>
                <a:lnTo>
                  <a:pt x="129" y="997"/>
                </a:lnTo>
                <a:lnTo>
                  <a:pt x="175" y="942"/>
                </a:lnTo>
                <a:lnTo>
                  <a:pt x="221" y="878"/>
                </a:lnTo>
                <a:lnTo>
                  <a:pt x="267" y="823"/>
                </a:lnTo>
                <a:lnTo>
                  <a:pt x="304" y="768"/>
                </a:lnTo>
                <a:lnTo>
                  <a:pt x="359" y="713"/>
                </a:lnTo>
                <a:lnTo>
                  <a:pt x="405" y="659"/>
                </a:lnTo>
                <a:lnTo>
                  <a:pt x="451" y="613"/>
                </a:lnTo>
                <a:lnTo>
                  <a:pt x="497" y="558"/>
                </a:lnTo>
                <a:lnTo>
                  <a:pt x="553" y="521"/>
                </a:lnTo>
                <a:lnTo>
                  <a:pt x="599" y="467"/>
                </a:lnTo>
                <a:lnTo>
                  <a:pt x="663" y="430"/>
                </a:lnTo>
                <a:lnTo>
                  <a:pt x="709" y="375"/>
                </a:lnTo>
                <a:lnTo>
                  <a:pt x="774" y="330"/>
                </a:lnTo>
                <a:lnTo>
                  <a:pt x="839" y="284"/>
                </a:lnTo>
                <a:lnTo>
                  <a:pt x="912" y="247"/>
                </a:lnTo>
                <a:lnTo>
                  <a:pt x="958" y="211"/>
                </a:lnTo>
                <a:lnTo>
                  <a:pt x="1014" y="174"/>
                </a:lnTo>
                <a:lnTo>
                  <a:pt x="1060" y="147"/>
                </a:lnTo>
                <a:lnTo>
                  <a:pt x="1115" y="128"/>
                </a:lnTo>
                <a:lnTo>
                  <a:pt x="1170" y="101"/>
                </a:lnTo>
                <a:lnTo>
                  <a:pt x="1216" y="83"/>
                </a:lnTo>
                <a:lnTo>
                  <a:pt x="1272" y="64"/>
                </a:lnTo>
                <a:lnTo>
                  <a:pt x="1318" y="46"/>
                </a:lnTo>
                <a:lnTo>
                  <a:pt x="1364" y="28"/>
                </a:lnTo>
                <a:lnTo>
                  <a:pt x="1410" y="19"/>
                </a:lnTo>
                <a:lnTo>
                  <a:pt x="1456" y="10"/>
                </a:lnTo>
                <a:lnTo>
                  <a:pt x="1493" y="10"/>
                </a:lnTo>
                <a:lnTo>
                  <a:pt x="1530" y="0"/>
                </a:lnTo>
                <a:lnTo>
                  <a:pt x="1567" y="0"/>
                </a:lnTo>
                <a:lnTo>
                  <a:pt x="1594" y="0"/>
                </a:lnTo>
                <a:lnTo>
                  <a:pt x="1631" y="10"/>
                </a:lnTo>
                <a:lnTo>
                  <a:pt x="1788" y="302"/>
                </a:lnTo>
                <a:lnTo>
                  <a:pt x="1770" y="302"/>
                </a:lnTo>
                <a:lnTo>
                  <a:pt x="1733" y="311"/>
                </a:lnTo>
                <a:lnTo>
                  <a:pt x="1677" y="330"/>
                </a:lnTo>
                <a:lnTo>
                  <a:pt x="1604" y="357"/>
                </a:lnTo>
                <a:lnTo>
                  <a:pt x="1511" y="384"/>
                </a:lnTo>
                <a:lnTo>
                  <a:pt x="1410" y="421"/>
                </a:lnTo>
                <a:lnTo>
                  <a:pt x="1299" y="467"/>
                </a:lnTo>
                <a:lnTo>
                  <a:pt x="1180" y="521"/>
                </a:lnTo>
                <a:lnTo>
                  <a:pt x="1051" y="585"/>
                </a:lnTo>
                <a:lnTo>
                  <a:pt x="921" y="659"/>
                </a:lnTo>
                <a:lnTo>
                  <a:pt x="792" y="732"/>
                </a:lnTo>
                <a:lnTo>
                  <a:pt x="673" y="832"/>
                </a:lnTo>
                <a:lnTo>
                  <a:pt x="544" y="933"/>
                </a:lnTo>
                <a:lnTo>
                  <a:pt x="433" y="1042"/>
                </a:lnTo>
                <a:lnTo>
                  <a:pt x="332" y="1170"/>
                </a:lnTo>
                <a:lnTo>
                  <a:pt x="249" y="1308"/>
                </a:lnTo>
                <a:lnTo>
                  <a:pt x="202" y="1344"/>
                </a:lnTo>
                <a:lnTo>
                  <a:pt x="156" y="1362"/>
                </a:lnTo>
                <a:lnTo>
                  <a:pt x="101" y="1381"/>
                </a:lnTo>
                <a:lnTo>
                  <a:pt x="55" y="1372"/>
                </a:lnTo>
                <a:lnTo>
                  <a:pt x="9" y="1335"/>
                </a:lnTo>
                <a:lnTo>
                  <a:pt x="0" y="1280"/>
                </a:lnTo>
                <a:lnTo>
                  <a:pt x="0" y="1234"/>
                </a:lnTo>
                <a:lnTo>
                  <a:pt x="18" y="1189"/>
                </a:lnTo>
                <a:lnTo>
                  <a:pt x="46" y="1134"/>
                </a:lnTo>
                <a:lnTo>
                  <a:pt x="92" y="1079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7" name="Freeform 109">
            <a:extLst>
              <a:ext uri="{FF2B5EF4-FFF2-40B4-BE49-F238E27FC236}">
                <a16:creationId xmlns="" xmlns:a16="http://schemas.microsoft.com/office/drawing/2014/main" id="{00000000-0008-0000-0300-00002F000000}"/>
              </a:ext>
            </a:extLst>
          </xdr:cNvPr>
          <xdr:cNvSpPr>
            <a:spLocks/>
          </xdr:cNvSpPr>
        </xdr:nvSpPr>
        <xdr:spPr bwMode="auto">
          <a:xfrm>
            <a:off x="67930" y="269995"/>
            <a:ext cx="308066" cy="129495"/>
          </a:xfrm>
          <a:custGeom>
            <a:avLst/>
            <a:gdLst>
              <a:gd name="T0" fmla="*/ 0 w 3844"/>
              <a:gd name="T1" fmla="*/ 1618 h 1618"/>
              <a:gd name="T2" fmla="*/ 461 w 3844"/>
              <a:gd name="T3" fmla="*/ 932 h 1618"/>
              <a:gd name="T4" fmla="*/ 2747 w 3844"/>
              <a:gd name="T5" fmla="*/ 932 h 1618"/>
              <a:gd name="T6" fmla="*/ 3669 w 3844"/>
              <a:gd name="T7" fmla="*/ 18 h 1618"/>
              <a:gd name="T8" fmla="*/ 3844 w 3844"/>
              <a:gd name="T9" fmla="*/ 0 h 1618"/>
              <a:gd name="T10" fmla="*/ 2793 w 3844"/>
              <a:gd name="T11" fmla="*/ 1042 h 1618"/>
              <a:gd name="T12" fmla="*/ 535 w 3844"/>
              <a:gd name="T13" fmla="*/ 1042 h 1618"/>
              <a:gd name="T14" fmla="*/ 166 w 3844"/>
              <a:gd name="T15" fmla="*/ 1618 h 1618"/>
              <a:gd name="T16" fmla="*/ 0 w 3844"/>
              <a:gd name="T17" fmla="*/ 1618 h 1618"/>
              <a:gd name="T18" fmla="*/ 0 w 3844"/>
              <a:gd name="T19" fmla="*/ 1618 h 16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844" h="1618">
                <a:moveTo>
                  <a:pt x="0" y="1618"/>
                </a:moveTo>
                <a:lnTo>
                  <a:pt x="461" y="932"/>
                </a:lnTo>
                <a:lnTo>
                  <a:pt x="2747" y="932"/>
                </a:lnTo>
                <a:lnTo>
                  <a:pt x="3669" y="18"/>
                </a:lnTo>
                <a:lnTo>
                  <a:pt x="3844" y="0"/>
                </a:lnTo>
                <a:lnTo>
                  <a:pt x="2793" y="1042"/>
                </a:lnTo>
                <a:lnTo>
                  <a:pt x="535" y="1042"/>
                </a:lnTo>
                <a:lnTo>
                  <a:pt x="166" y="1618"/>
                </a:lnTo>
                <a:lnTo>
                  <a:pt x="0" y="1618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Freeform 110">
            <a:extLst>
              <a:ext uri="{FF2B5EF4-FFF2-40B4-BE49-F238E27FC236}">
                <a16:creationId xmlns="" xmlns:a16="http://schemas.microsoft.com/office/drawing/2014/main" id="{00000000-0008-0000-0300-000030000000}"/>
              </a:ext>
            </a:extLst>
          </xdr:cNvPr>
          <xdr:cNvSpPr>
            <a:spLocks/>
          </xdr:cNvSpPr>
        </xdr:nvSpPr>
        <xdr:spPr bwMode="auto">
          <a:xfrm>
            <a:off x="33251" y="271423"/>
            <a:ext cx="301404" cy="128068"/>
          </a:xfrm>
          <a:custGeom>
            <a:avLst/>
            <a:gdLst>
              <a:gd name="T0" fmla="*/ 0 w 3761"/>
              <a:gd name="T1" fmla="*/ 1600 h 1600"/>
              <a:gd name="T2" fmla="*/ 553 w 3761"/>
              <a:gd name="T3" fmla="*/ 759 h 1600"/>
              <a:gd name="T4" fmla="*/ 2839 w 3761"/>
              <a:gd name="T5" fmla="*/ 759 h 1600"/>
              <a:gd name="T6" fmla="*/ 3604 w 3761"/>
              <a:gd name="T7" fmla="*/ 0 h 1600"/>
              <a:gd name="T8" fmla="*/ 3761 w 3761"/>
              <a:gd name="T9" fmla="*/ 0 h 1600"/>
              <a:gd name="T10" fmla="*/ 2885 w 3761"/>
              <a:gd name="T11" fmla="*/ 869 h 1600"/>
              <a:gd name="T12" fmla="*/ 655 w 3761"/>
              <a:gd name="T13" fmla="*/ 869 h 1600"/>
              <a:gd name="T14" fmla="*/ 157 w 3761"/>
              <a:gd name="T15" fmla="*/ 1600 h 1600"/>
              <a:gd name="T16" fmla="*/ 0 w 3761"/>
              <a:gd name="T17" fmla="*/ 1600 h 1600"/>
              <a:gd name="T18" fmla="*/ 0 w 3761"/>
              <a:gd name="T19" fmla="*/ 1600 h 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761" h="1600">
                <a:moveTo>
                  <a:pt x="0" y="1600"/>
                </a:moveTo>
                <a:lnTo>
                  <a:pt x="553" y="759"/>
                </a:lnTo>
                <a:lnTo>
                  <a:pt x="2839" y="759"/>
                </a:lnTo>
                <a:lnTo>
                  <a:pt x="3604" y="0"/>
                </a:lnTo>
                <a:lnTo>
                  <a:pt x="3761" y="0"/>
                </a:lnTo>
                <a:lnTo>
                  <a:pt x="2885" y="869"/>
                </a:lnTo>
                <a:lnTo>
                  <a:pt x="655" y="869"/>
                </a:lnTo>
                <a:lnTo>
                  <a:pt x="157" y="1600"/>
                </a:lnTo>
                <a:lnTo>
                  <a:pt x="0" y="1600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Freeform 111">
            <a:extLst>
              <a:ext uri="{FF2B5EF4-FFF2-40B4-BE49-F238E27FC236}">
                <a16:creationId xmlns="" xmlns:a16="http://schemas.microsoft.com/office/drawing/2014/main" id="{00000000-0008-0000-0300-000031000000}"/>
              </a:ext>
            </a:extLst>
          </xdr:cNvPr>
          <xdr:cNvSpPr>
            <a:spLocks/>
          </xdr:cNvSpPr>
        </xdr:nvSpPr>
        <xdr:spPr bwMode="auto">
          <a:xfrm>
            <a:off x="317583" y="266307"/>
            <a:ext cx="13324" cy="13919"/>
          </a:xfrm>
          <a:custGeom>
            <a:avLst/>
            <a:gdLst>
              <a:gd name="T0" fmla="*/ 83 w 166"/>
              <a:gd name="T1" fmla="*/ 174 h 174"/>
              <a:gd name="T2" fmla="*/ 138 w 166"/>
              <a:gd name="T3" fmla="*/ 147 h 174"/>
              <a:gd name="T4" fmla="*/ 166 w 166"/>
              <a:gd name="T5" fmla="*/ 92 h 174"/>
              <a:gd name="T6" fmla="*/ 138 w 166"/>
              <a:gd name="T7" fmla="*/ 28 h 174"/>
              <a:gd name="T8" fmla="*/ 83 w 166"/>
              <a:gd name="T9" fmla="*/ 0 h 174"/>
              <a:gd name="T10" fmla="*/ 18 w 166"/>
              <a:gd name="T11" fmla="*/ 28 h 174"/>
              <a:gd name="T12" fmla="*/ 0 w 166"/>
              <a:gd name="T13" fmla="*/ 92 h 174"/>
              <a:gd name="T14" fmla="*/ 18 w 166"/>
              <a:gd name="T15" fmla="*/ 147 h 174"/>
              <a:gd name="T16" fmla="*/ 83 w 166"/>
              <a:gd name="T17" fmla="*/ 174 h 174"/>
              <a:gd name="T18" fmla="*/ 83 w 16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66" h="174">
                <a:moveTo>
                  <a:pt x="83" y="174"/>
                </a:moveTo>
                <a:lnTo>
                  <a:pt x="138" y="147"/>
                </a:lnTo>
                <a:lnTo>
                  <a:pt x="166" y="92"/>
                </a:lnTo>
                <a:lnTo>
                  <a:pt x="138" y="28"/>
                </a:lnTo>
                <a:lnTo>
                  <a:pt x="83" y="0"/>
                </a:lnTo>
                <a:lnTo>
                  <a:pt x="18" y="28"/>
                </a:lnTo>
                <a:lnTo>
                  <a:pt x="0" y="92"/>
                </a:lnTo>
                <a:lnTo>
                  <a:pt x="18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0" name="Freeform 112">
            <a:extLst>
              <a:ext uri="{FF2B5EF4-FFF2-40B4-BE49-F238E27FC236}">
                <a16:creationId xmlns="" xmlns:a16="http://schemas.microsoft.com/office/drawing/2014/main" id="{00000000-0008-0000-0300-000032000000}"/>
              </a:ext>
            </a:extLst>
          </xdr:cNvPr>
          <xdr:cNvSpPr>
            <a:spLocks/>
          </xdr:cNvSpPr>
        </xdr:nvSpPr>
        <xdr:spPr bwMode="auto">
          <a:xfrm>
            <a:off x="358924" y="267080"/>
            <a:ext cx="13324" cy="13146"/>
          </a:xfrm>
          <a:custGeom>
            <a:avLst/>
            <a:gdLst>
              <a:gd name="T0" fmla="*/ 83 w 166"/>
              <a:gd name="T1" fmla="*/ 165 h 165"/>
              <a:gd name="T2" fmla="*/ 111 w 166"/>
              <a:gd name="T3" fmla="*/ 156 h 165"/>
              <a:gd name="T4" fmla="*/ 139 w 166"/>
              <a:gd name="T5" fmla="*/ 147 h 165"/>
              <a:gd name="T6" fmla="*/ 148 w 166"/>
              <a:gd name="T7" fmla="*/ 110 h 165"/>
              <a:gd name="T8" fmla="*/ 166 w 166"/>
              <a:gd name="T9" fmla="*/ 83 h 165"/>
              <a:gd name="T10" fmla="*/ 148 w 166"/>
              <a:gd name="T11" fmla="*/ 46 h 165"/>
              <a:gd name="T12" fmla="*/ 139 w 166"/>
              <a:gd name="T13" fmla="*/ 19 h 165"/>
              <a:gd name="T14" fmla="*/ 111 w 166"/>
              <a:gd name="T15" fmla="*/ 0 h 165"/>
              <a:gd name="T16" fmla="*/ 83 w 166"/>
              <a:gd name="T17" fmla="*/ 0 h 165"/>
              <a:gd name="T18" fmla="*/ 37 w 166"/>
              <a:gd name="T19" fmla="*/ 0 h 165"/>
              <a:gd name="T20" fmla="*/ 19 w 166"/>
              <a:gd name="T21" fmla="*/ 19 h 165"/>
              <a:gd name="T22" fmla="*/ 0 w 166"/>
              <a:gd name="T23" fmla="*/ 46 h 165"/>
              <a:gd name="T24" fmla="*/ 0 w 166"/>
              <a:gd name="T25" fmla="*/ 83 h 165"/>
              <a:gd name="T26" fmla="*/ 19 w 166"/>
              <a:gd name="T27" fmla="*/ 147 h 165"/>
              <a:gd name="T28" fmla="*/ 83 w 166"/>
              <a:gd name="T29" fmla="*/ 165 h 165"/>
              <a:gd name="T30" fmla="*/ 83 w 166"/>
              <a:gd name="T31" fmla="*/ 165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66" h="165">
                <a:moveTo>
                  <a:pt x="83" y="165"/>
                </a:moveTo>
                <a:lnTo>
                  <a:pt x="111" y="156"/>
                </a:lnTo>
                <a:lnTo>
                  <a:pt x="139" y="147"/>
                </a:lnTo>
                <a:lnTo>
                  <a:pt x="148" y="110"/>
                </a:lnTo>
                <a:lnTo>
                  <a:pt x="166" y="83"/>
                </a:lnTo>
                <a:lnTo>
                  <a:pt x="148" y="46"/>
                </a:lnTo>
                <a:lnTo>
                  <a:pt x="139" y="19"/>
                </a:lnTo>
                <a:lnTo>
                  <a:pt x="111" y="0"/>
                </a:lnTo>
                <a:lnTo>
                  <a:pt x="83" y="0"/>
                </a:lnTo>
                <a:lnTo>
                  <a:pt x="37" y="0"/>
                </a:lnTo>
                <a:lnTo>
                  <a:pt x="19" y="19"/>
                </a:lnTo>
                <a:lnTo>
                  <a:pt x="0" y="46"/>
                </a:lnTo>
                <a:lnTo>
                  <a:pt x="0" y="83"/>
                </a:lnTo>
                <a:lnTo>
                  <a:pt x="19" y="147"/>
                </a:lnTo>
                <a:lnTo>
                  <a:pt x="83" y="165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51" name="Line 157">
            <a:extLst>
              <a:ext uri="{FF2B5EF4-FFF2-40B4-BE49-F238E27FC236}">
                <a16:creationId xmlns="" xmlns:a16="http://schemas.microsoft.com/office/drawing/2014/main" id="{00000000-0008-0000-0300-000033000000}"/>
              </a:ext>
            </a:extLst>
          </xdr:cNvPr>
          <xdr:cNvCxnSpPr/>
        </xdr:nvCxnSpPr>
        <xdr:spPr bwMode="auto">
          <a:xfrm flipV="1">
            <a:off x="492524" y="139191"/>
            <a:ext cx="149720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2" name="Line 156">
            <a:extLst>
              <a:ext uri="{FF2B5EF4-FFF2-40B4-BE49-F238E27FC236}">
                <a16:creationId xmlns="" xmlns:a16="http://schemas.microsoft.com/office/drawing/2014/main" id="{00000000-0008-0000-0300-000034000000}"/>
              </a:ext>
            </a:extLst>
          </xdr:cNvPr>
          <xdr:cNvCxnSpPr/>
        </xdr:nvCxnSpPr>
        <xdr:spPr bwMode="auto">
          <a:xfrm flipH="1" flipV="1">
            <a:off x="385454" y="235554"/>
            <a:ext cx="107189" cy="28908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3" name="Line 158">
            <a:extLst>
              <a:ext uri="{FF2B5EF4-FFF2-40B4-BE49-F238E27FC236}">
                <a16:creationId xmlns="" xmlns:a16="http://schemas.microsoft.com/office/drawing/2014/main" id="{00000000-0008-0000-0300-000035000000}"/>
              </a:ext>
            </a:extLst>
          </xdr:cNvPr>
          <xdr:cNvCxnSpPr/>
        </xdr:nvCxnSpPr>
        <xdr:spPr bwMode="auto">
          <a:xfrm flipV="1">
            <a:off x="278383" y="235554"/>
            <a:ext cx="107011" cy="28914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4" name="Line 154">
            <a:extLst>
              <a:ext uri="{FF2B5EF4-FFF2-40B4-BE49-F238E27FC236}">
                <a16:creationId xmlns="" xmlns:a16="http://schemas.microsoft.com/office/drawing/2014/main" id="{00000000-0008-0000-0300-000036000000}"/>
              </a:ext>
            </a:extLst>
          </xdr:cNvPr>
          <xdr:cNvCxnSpPr/>
        </xdr:nvCxnSpPr>
        <xdr:spPr bwMode="auto">
          <a:xfrm flipH="1" flipV="1">
            <a:off x="139192" y="139191"/>
            <a:ext cx="139192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5" name="Line 160">
            <a:extLst>
              <a:ext uri="{FF2B5EF4-FFF2-40B4-BE49-F238E27FC236}">
                <a16:creationId xmlns="" xmlns:a16="http://schemas.microsoft.com/office/drawing/2014/main" id="{00000000-0008-0000-0300-000037000000}"/>
              </a:ext>
            </a:extLst>
          </xdr:cNvPr>
          <xdr:cNvCxnSpPr/>
        </xdr:nvCxnSpPr>
        <xdr:spPr bwMode="auto">
          <a:xfrm flipV="1">
            <a:off x="278383" y="139191"/>
            <a:ext cx="10707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" name="Line 159">
            <a:extLst>
              <a:ext uri="{FF2B5EF4-FFF2-40B4-BE49-F238E27FC236}">
                <a16:creationId xmlns="" xmlns:a16="http://schemas.microsoft.com/office/drawing/2014/main" id="{00000000-0008-0000-0300-000038000000}"/>
              </a:ext>
            </a:extLst>
          </xdr:cNvPr>
          <xdr:cNvCxnSpPr/>
        </xdr:nvCxnSpPr>
        <xdr:spPr bwMode="auto">
          <a:xfrm flipH="1" flipV="1">
            <a:off x="171313" y="139191"/>
            <a:ext cx="10701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161">
            <a:extLst>
              <a:ext uri="{FF2B5EF4-FFF2-40B4-BE49-F238E27FC236}">
                <a16:creationId xmlns="" xmlns:a16="http://schemas.microsoft.com/office/drawing/2014/main" id="{00000000-0008-0000-0300-000039000000}"/>
              </a:ext>
            </a:extLst>
          </xdr:cNvPr>
          <xdr:cNvCxnSpPr/>
        </xdr:nvCxnSpPr>
        <xdr:spPr bwMode="auto">
          <a:xfrm>
            <a:off x="139192" y="139191"/>
            <a:ext cx="32121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8" name="Line 142">
            <a:extLst>
              <a:ext uri="{FF2B5EF4-FFF2-40B4-BE49-F238E27FC236}">
                <a16:creationId xmlns="" xmlns:a16="http://schemas.microsoft.com/office/drawing/2014/main" id="{00000000-0008-0000-0300-00003A000000}"/>
              </a:ext>
            </a:extLst>
          </xdr:cNvPr>
          <xdr:cNvCxnSpPr/>
        </xdr:nvCxnSpPr>
        <xdr:spPr bwMode="auto">
          <a:xfrm>
            <a:off x="385454" y="139191"/>
            <a:ext cx="256910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0</xdr:col>
      <xdr:colOff>996950</xdr:colOff>
      <xdr:row>0</xdr:row>
      <xdr:rowOff>400050</xdr:rowOff>
    </xdr:from>
    <xdr:to>
      <xdr:col>0</xdr:col>
      <xdr:colOff>1758950</xdr:colOff>
      <xdr:row>0</xdr:row>
      <xdr:rowOff>422910</xdr:rowOff>
    </xdr:to>
    <xdr:cxnSp macro="">
      <xdr:nvCxnSpPr>
        <xdr:cNvPr id="59" name="Straight Connector 58">
          <a:extLst>
            <a:ext uri="{FF2B5EF4-FFF2-40B4-BE49-F238E27FC236}">
              <a16:creationId xmlns="" xmlns:a16="http://schemas.microsoft.com/office/drawing/2014/main" id="{00000000-0008-0000-0300-00003B000000}"/>
            </a:ext>
          </a:extLst>
        </xdr:cNvPr>
        <xdr:cNvCxnSpPr/>
      </xdr:nvCxnSpPr>
      <xdr:spPr>
        <a:xfrm flipV="1">
          <a:off x="996950" y="40005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1133475</xdr:colOff>
      <xdr:row>0</xdr:row>
      <xdr:rowOff>657225</xdr:rowOff>
    </xdr:from>
    <xdr:to>
      <xdr:col>0</xdr:col>
      <xdr:colOff>1895475</xdr:colOff>
      <xdr:row>0</xdr:row>
      <xdr:rowOff>680085</xdr:rowOff>
    </xdr:to>
    <xdr:cxnSp macro="">
      <xdr:nvCxnSpPr>
        <xdr:cNvPr id="60" name="Straight Connector 59">
          <a:extLst>
            <a:ext uri="{FF2B5EF4-FFF2-40B4-BE49-F238E27FC236}">
              <a16:creationId xmlns="" xmlns:a16="http://schemas.microsoft.com/office/drawing/2014/main" id="{00000000-0008-0000-0300-00003C000000}"/>
            </a:ext>
          </a:extLst>
        </xdr:cNvPr>
        <xdr:cNvCxnSpPr/>
      </xdr:nvCxnSpPr>
      <xdr:spPr>
        <a:xfrm flipV="1">
          <a:off x="454025" y="657225"/>
          <a:ext cx="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790575</xdr:colOff>
      <xdr:row>0</xdr:row>
      <xdr:rowOff>13335</xdr:rowOff>
    </xdr:to>
    <xdr:cxnSp macro="">
      <xdr:nvCxnSpPr>
        <xdr:cNvPr id="63" name="Straight Connector 62">
          <a:extLst>
            <a:ext uri="{FF2B5EF4-FFF2-40B4-BE49-F238E27FC236}">
              <a16:creationId xmlns="" xmlns:a16="http://schemas.microsoft.com/office/drawing/2014/main" id="{00000000-0008-0000-0300-00003F000000}"/>
            </a:ext>
          </a:extLst>
        </xdr:cNvPr>
        <xdr:cNvCxnSpPr/>
      </xdr:nvCxnSpPr>
      <xdr:spPr>
        <a:xfrm flipV="1">
          <a:off x="457200" y="0"/>
          <a:ext cx="790575" cy="1333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762000</xdr:colOff>
      <xdr:row>0</xdr:row>
      <xdr:rowOff>9525</xdr:rowOff>
    </xdr:to>
    <xdr:cxnSp macro="">
      <xdr:nvCxnSpPr>
        <xdr:cNvPr id="64" name="Straight Connector 63">
          <a:extLst>
            <a:ext uri="{FF2B5EF4-FFF2-40B4-BE49-F238E27FC236}">
              <a16:creationId xmlns="" xmlns:a16="http://schemas.microsoft.com/office/drawing/2014/main" id="{00000000-0008-0000-0300-000040000000}"/>
            </a:ext>
          </a:extLst>
        </xdr:cNvPr>
        <xdr:cNvCxnSpPr/>
      </xdr:nvCxnSpPr>
      <xdr:spPr>
        <a:xfrm flipV="1">
          <a:off x="457200" y="0"/>
          <a:ext cx="762000" cy="9525"/>
        </a:xfrm>
        <a:prstGeom prst="line">
          <a:avLst/>
        </a:prstGeom>
        <a:noFill/>
        <a:ln w="15875" cap="flat" cmpd="sng" algn="ctr">
          <a:solidFill>
            <a:srgbClr val="FFFFFF"/>
          </a:solidFill>
          <a:prstDash val="solid"/>
        </a:ln>
        <a:effectLst/>
      </xdr:spPr>
    </xdr:cxnSp>
    <xdr:clientData/>
  </xdr:twoCellAnchor>
  <xdr:twoCellAnchor>
    <xdr:from>
      <xdr:col>0</xdr:col>
      <xdr:colOff>990600</xdr:colOff>
      <xdr:row>0</xdr:row>
      <xdr:rowOff>504825</xdr:rowOff>
    </xdr:from>
    <xdr:to>
      <xdr:col>0</xdr:col>
      <xdr:colOff>1720850</xdr:colOff>
      <xdr:row>0</xdr:row>
      <xdr:rowOff>514350</xdr:rowOff>
    </xdr:to>
    <xdr:cxnSp macro="">
      <xdr:nvCxnSpPr>
        <xdr:cNvPr id="65" name="Straight Connector 64">
          <a:extLst>
            <a:ext uri="{FF2B5EF4-FFF2-40B4-BE49-F238E27FC236}">
              <a16:creationId xmlns="" xmlns:a16="http://schemas.microsoft.com/office/drawing/2014/main" id="{00000000-0008-0000-0300-000041000000}"/>
            </a:ext>
          </a:extLst>
        </xdr:cNvPr>
        <xdr:cNvCxnSpPr/>
      </xdr:nvCxnSpPr>
      <xdr:spPr>
        <a:xfrm flipV="1">
          <a:off x="990600" y="504825"/>
          <a:ext cx="73025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1019175</xdr:colOff>
      <xdr:row>0</xdr:row>
      <xdr:rowOff>247650</xdr:rowOff>
    </xdr:from>
    <xdr:to>
      <xdr:col>0</xdr:col>
      <xdr:colOff>1762125</xdr:colOff>
      <xdr:row>0</xdr:row>
      <xdr:rowOff>257175</xdr:rowOff>
    </xdr:to>
    <xdr:cxnSp macro="">
      <xdr:nvCxnSpPr>
        <xdr:cNvPr id="66" name="Straight Connector 65">
          <a:extLst>
            <a:ext uri="{FF2B5EF4-FFF2-40B4-BE49-F238E27FC236}">
              <a16:creationId xmlns="" xmlns:a16="http://schemas.microsoft.com/office/drawing/2014/main" id="{00000000-0008-0000-0300-000042000000}"/>
            </a:ext>
          </a:extLst>
        </xdr:cNvPr>
        <xdr:cNvCxnSpPr/>
      </xdr:nvCxnSpPr>
      <xdr:spPr>
        <a:xfrm flipV="1">
          <a:off x="1019175" y="247650"/>
          <a:ext cx="74295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539750</xdr:colOff>
      <xdr:row>0</xdr:row>
      <xdr:rowOff>146050</xdr:rowOff>
    </xdr:from>
    <xdr:to>
      <xdr:col>1</xdr:col>
      <xdr:colOff>1301750</xdr:colOff>
      <xdr:row>0</xdr:row>
      <xdr:rowOff>155575</xdr:rowOff>
    </xdr:to>
    <xdr:cxnSp macro="">
      <xdr:nvCxnSpPr>
        <xdr:cNvPr id="67" name="Straight Connector 66">
          <a:extLst>
            <a:ext uri="{FF2B5EF4-FFF2-40B4-BE49-F238E27FC236}">
              <a16:creationId xmlns="" xmlns:a16="http://schemas.microsoft.com/office/drawing/2014/main" id="{00000000-0008-0000-0300-000043000000}"/>
            </a:ext>
          </a:extLst>
        </xdr:cNvPr>
        <xdr:cNvCxnSpPr/>
      </xdr:nvCxnSpPr>
      <xdr:spPr>
        <a:xfrm flipV="1">
          <a:off x="996950" y="146050"/>
          <a:ext cx="76200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1031875</xdr:colOff>
      <xdr:row>0</xdr:row>
      <xdr:rowOff>584200</xdr:rowOff>
    </xdr:from>
    <xdr:to>
      <xdr:col>0</xdr:col>
      <xdr:colOff>1762125</xdr:colOff>
      <xdr:row>0</xdr:row>
      <xdr:rowOff>593725</xdr:rowOff>
    </xdr:to>
    <xdr:cxnSp macro="">
      <xdr:nvCxnSpPr>
        <xdr:cNvPr id="69" name="Straight Connector 68">
          <a:extLst>
            <a:ext uri="{FF2B5EF4-FFF2-40B4-BE49-F238E27FC236}">
              <a16:creationId xmlns="" xmlns:a16="http://schemas.microsoft.com/office/drawing/2014/main" id="{00000000-0008-0000-0300-000045000000}"/>
            </a:ext>
          </a:extLst>
        </xdr:cNvPr>
        <xdr:cNvCxnSpPr/>
      </xdr:nvCxnSpPr>
      <xdr:spPr>
        <a:xfrm flipV="1">
          <a:off x="1031875" y="584200"/>
          <a:ext cx="730250" cy="95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1016000</xdr:colOff>
      <xdr:row>0</xdr:row>
      <xdr:rowOff>336550</xdr:rowOff>
    </xdr:from>
    <xdr:to>
      <xdr:col>0</xdr:col>
      <xdr:colOff>1739900</xdr:colOff>
      <xdr:row>0</xdr:row>
      <xdr:rowOff>342900</xdr:rowOff>
    </xdr:to>
    <xdr:cxnSp macro="">
      <xdr:nvCxnSpPr>
        <xdr:cNvPr id="70" name="Straight Connector 69">
          <a:extLst>
            <a:ext uri="{FF2B5EF4-FFF2-40B4-BE49-F238E27FC236}">
              <a16:creationId xmlns="" xmlns:a16="http://schemas.microsoft.com/office/drawing/2014/main" id="{00000000-0008-0000-0300-000046000000}"/>
            </a:ext>
          </a:extLst>
        </xdr:cNvPr>
        <xdr:cNvCxnSpPr/>
      </xdr:nvCxnSpPr>
      <xdr:spPr>
        <a:xfrm flipV="1">
          <a:off x="1016000" y="336550"/>
          <a:ext cx="723900" cy="635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1047750</xdr:colOff>
      <xdr:row>0</xdr:row>
      <xdr:rowOff>149225</xdr:rowOff>
    </xdr:from>
    <xdr:to>
      <xdr:col>0</xdr:col>
      <xdr:colOff>1765300</xdr:colOff>
      <xdr:row>0</xdr:row>
      <xdr:rowOff>152400</xdr:rowOff>
    </xdr:to>
    <xdr:cxnSp macro="">
      <xdr:nvCxnSpPr>
        <xdr:cNvPr id="68" name="Straight Connector 67">
          <a:extLst>
            <a:ext uri="{FF2B5EF4-FFF2-40B4-BE49-F238E27FC236}">
              <a16:creationId xmlns="" xmlns:a16="http://schemas.microsoft.com/office/drawing/2014/main" id="{00000000-0008-0000-0300-000044000000}"/>
            </a:ext>
          </a:extLst>
        </xdr:cNvPr>
        <xdr:cNvCxnSpPr/>
      </xdr:nvCxnSpPr>
      <xdr:spPr>
        <a:xfrm>
          <a:off x="1047750" y="149225"/>
          <a:ext cx="717550" cy="317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107950</xdr:rowOff>
    </xdr:from>
    <xdr:to>
      <xdr:col>1</xdr:col>
      <xdr:colOff>222250</xdr:colOff>
      <xdr:row>2</xdr:row>
      <xdr:rowOff>1905</xdr:rowOff>
    </xdr:to>
    <xdr:grpSp>
      <xdr:nvGrpSpPr>
        <xdr:cNvPr id="65" name="Canvas 64">
          <a:extLst>
            <a:ext uri="{FF2B5EF4-FFF2-40B4-BE49-F238E27FC236}">
              <a16:creationId xmlns="" xmlns:a16="http://schemas.microsoft.com/office/drawing/2014/main" id="{00000000-0008-0000-0400-000041000000}"/>
            </a:ext>
          </a:extLst>
        </xdr:cNvPr>
        <xdr:cNvGrpSpPr/>
      </xdr:nvGrpSpPr>
      <xdr:grpSpPr>
        <a:xfrm>
          <a:off x="63500" y="565150"/>
          <a:ext cx="768350" cy="655955"/>
          <a:chOff x="0" y="0"/>
          <a:chExt cx="768350" cy="567055"/>
        </a:xfrm>
      </xdr:grpSpPr>
      <xdr:sp macro="" textlink="">
        <xdr:nvSpPr>
          <xdr:cNvPr id="66" name="Rectangle 65">
            <a:extLst>
              <a:ext uri="{FF2B5EF4-FFF2-40B4-BE49-F238E27FC236}">
                <a16:creationId xmlns="" xmlns:a16="http://schemas.microsoft.com/office/drawing/2014/main" id="{00000000-0008-0000-0400-000042000000}"/>
              </a:ext>
            </a:extLst>
          </xdr:cNvPr>
          <xdr:cNvSpPr/>
        </xdr:nvSpPr>
        <xdr:spPr>
          <a:xfrm>
            <a:off x="0" y="0"/>
            <a:ext cx="768350" cy="567055"/>
          </a:xfrm>
          <a:prstGeom prst="rect">
            <a:avLst/>
          </a:prstGeom>
          <a:noFill/>
        </xdr:spPr>
      </xdr:sp>
      <xdr:sp macro="" textlink="">
        <xdr:nvSpPr>
          <xdr:cNvPr id="67" name="Freeform 65">
            <a:extLst>
              <a:ext uri="{FF2B5EF4-FFF2-40B4-BE49-F238E27FC236}">
                <a16:creationId xmlns="" xmlns:a16="http://schemas.microsoft.com/office/drawing/2014/main" id="{00000000-0008-0000-0400-000043000000}"/>
              </a:ext>
            </a:extLst>
          </xdr:cNvPr>
          <xdr:cNvSpPr>
            <a:spLocks/>
          </xdr:cNvSpPr>
        </xdr:nvSpPr>
        <xdr:spPr bwMode="auto">
          <a:xfrm>
            <a:off x="103502" y="0"/>
            <a:ext cx="570805" cy="567055"/>
          </a:xfrm>
          <a:custGeom>
            <a:avLst/>
            <a:gdLst>
              <a:gd name="T0" fmla="*/ 3927 w 7125"/>
              <a:gd name="T1" fmla="*/ 7057 h 7084"/>
              <a:gd name="T2" fmla="*/ 4618 w 7125"/>
              <a:gd name="T3" fmla="*/ 6911 h 7084"/>
              <a:gd name="T4" fmla="*/ 5254 w 7125"/>
              <a:gd name="T5" fmla="*/ 6645 h 7084"/>
              <a:gd name="T6" fmla="*/ 5816 w 7125"/>
              <a:gd name="T7" fmla="*/ 6262 h 7084"/>
              <a:gd name="T8" fmla="*/ 6305 w 7125"/>
              <a:gd name="T9" fmla="*/ 5777 h 7084"/>
              <a:gd name="T10" fmla="*/ 6692 w 7125"/>
              <a:gd name="T11" fmla="*/ 5219 h 7084"/>
              <a:gd name="T12" fmla="*/ 6959 w 7125"/>
              <a:gd name="T13" fmla="*/ 4589 h 7084"/>
              <a:gd name="T14" fmla="*/ 7107 w 7125"/>
              <a:gd name="T15" fmla="*/ 3894 h 7084"/>
              <a:gd name="T16" fmla="*/ 7107 w 7125"/>
              <a:gd name="T17" fmla="*/ 3181 h 7084"/>
              <a:gd name="T18" fmla="*/ 6959 w 7125"/>
              <a:gd name="T19" fmla="*/ 2486 h 7084"/>
              <a:gd name="T20" fmla="*/ 6692 w 7125"/>
              <a:gd name="T21" fmla="*/ 1847 h 7084"/>
              <a:gd name="T22" fmla="*/ 6305 w 7125"/>
              <a:gd name="T23" fmla="*/ 1289 h 7084"/>
              <a:gd name="T24" fmla="*/ 5816 w 7125"/>
              <a:gd name="T25" fmla="*/ 805 h 7084"/>
              <a:gd name="T26" fmla="*/ 5254 w 7125"/>
              <a:gd name="T27" fmla="*/ 421 h 7084"/>
              <a:gd name="T28" fmla="*/ 4618 w 7125"/>
              <a:gd name="T29" fmla="*/ 156 h 7084"/>
              <a:gd name="T30" fmla="*/ 3927 w 7125"/>
              <a:gd name="T31" fmla="*/ 9 h 7084"/>
              <a:gd name="T32" fmla="*/ 3189 w 7125"/>
              <a:gd name="T33" fmla="*/ 9 h 7084"/>
              <a:gd name="T34" fmla="*/ 2489 w 7125"/>
              <a:gd name="T35" fmla="*/ 156 h 7084"/>
              <a:gd name="T36" fmla="*/ 1853 w 7125"/>
              <a:gd name="T37" fmla="*/ 421 h 7084"/>
              <a:gd name="T38" fmla="*/ 1290 w 7125"/>
              <a:gd name="T39" fmla="*/ 805 h 7084"/>
              <a:gd name="T40" fmla="*/ 811 w 7125"/>
              <a:gd name="T41" fmla="*/ 1289 h 7084"/>
              <a:gd name="T42" fmla="*/ 415 w 7125"/>
              <a:gd name="T43" fmla="*/ 1847 h 7084"/>
              <a:gd name="T44" fmla="*/ 157 w 7125"/>
              <a:gd name="T45" fmla="*/ 2486 h 7084"/>
              <a:gd name="T46" fmla="*/ 9 w 7125"/>
              <a:gd name="T47" fmla="*/ 3181 h 7084"/>
              <a:gd name="T48" fmla="*/ 9 w 7125"/>
              <a:gd name="T49" fmla="*/ 3894 h 7084"/>
              <a:gd name="T50" fmla="*/ 157 w 7125"/>
              <a:gd name="T51" fmla="*/ 4589 h 7084"/>
              <a:gd name="T52" fmla="*/ 415 w 7125"/>
              <a:gd name="T53" fmla="*/ 5219 h 7084"/>
              <a:gd name="T54" fmla="*/ 811 w 7125"/>
              <a:gd name="T55" fmla="*/ 5777 h 7084"/>
              <a:gd name="T56" fmla="*/ 1290 w 7125"/>
              <a:gd name="T57" fmla="*/ 6262 h 7084"/>
              <a:gd name="T58" fmla="*/ 1853 w 7125"/>
              <a:gd name="T59" fmla="*/ 6645 h 7084"/>
              <a:gd name="T60" fmla="*/ 2489 w 7125"/>
              <a:gd name="T61" fmla="*/ 6911 h 7084"/>
              <a:gd name="T62" fmla="*/ 3189 w 7125"/>
              <a:gd name="T63" fmla="*/ 7057 h 7084"/>
              <a:gd name="T64" fmla="*/ 3558 w 7125"/>
              <a:gd name="T65" fmla="*/ 7084 h 70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125" h="7084">
                <a:moveTo>
                  <a:pt x="3558" y="7084"/>
                </a:moveTo>
                <a:lnTo>
                  <a:pt x="3927" y="7057"/>
                </a:lnTo>
                <a:lnTo>
                  <a:pt x="4277" y="7002"/>
                </a:lnTo>
                <a:lnTo>
                  <a:pt x="4618" y="6911"/>
                </a:lnTo>
                <a:lnTo>
                  <a:pt x="4950" y="6801"/>
                </a:lnTo>
                <a:lnTo>
                  <a:pt x="5254" y="6645"/>
                </a:lnTo>
                <a:lnTo>
                  <a:pt x="5549" y="6472"/>
                </a:lnTo>
                <a:lnTo>
                  <a:pt x="5816" y="6262"/>
                </a:lnTo>
                <a:lnTo>
                  <a:pt x="6084" y="6042"/>
                </a:lnTo>
                <a:lnTo>
                  <a:pt x="6305" y="5777"/>
                </a:lnTo>
                <a:lnTo>
                  <a:pt x="6517" y="5512"/>
                </a:lnTo>
                <a:lnTo>
                  <a:pt x="6692" y="5219"/>
                </a:lnTo>
                <a:lnTo>
                  <a:pt x="6840" y="4909"/>
                </a:lnTo>
                <a:lnTo>
                  <a:pt x="6959" y="4589"/>
                </a:lnTo>
                <a:lnTo>
                  <a:pt x="7052" y="4241"/>
                </a:lnTo>
                <a:lnTo>
                  <a:pt x="7107" y="3894"/>
                </a:lnTo>
                <a:lnTo>
                  <a:pt x="7125" y="3547"/>
                </a:lnTo>
                <a:lnTo>
                  <a:pt x="7107" y="3181"/>
                </a:lnTo>
                <a:lnTo>
                  <a:pt x="7052" y="2825"/>
                </a:lnTo>
                <a:lnTo>
                  <a:pt x="6959" y="2486"/>
                </a:lnTo>
                <a:lnTo>
                  <a:pt x="6840" y="2157"/>
                </a:lnTo>
                <a:lnTo>
                  <a:pt x="6692" y="1847"/>
                </a:lnTo>
                <a:lnTo>
                  <a:pt x="6517" y="1554"/>
                </a:lnTo>
                <a:lnTo>
                  <a:pt x="6305" y="1289"/>
                </a:lnTo>
                <a:lnTo>
                  <a:pt x="6084" y="1033"/>
                </a:lnTo>
                <a:lnTo>
                  <a:pt x="5816" y="805"/>
                </a:lnTo>
                <a:lnTo>
                  <a:pt x="5549" y="594"/>
                </a:lnTo>
                <a:lnTo>
                  <a:pt x="5254" y="421"/>
                </a:lnTo>
                <a:lnTo>
                  <a:pt x="4950" y="274"/>
                </a:lnTo>
                <a:lnTo>
                  <a:pt x="4618" y="156"/>
                </a:lnTo>
                <a:lnTo>
                  <a:pt x="4277" y="73"/>
                </a:lnTo>
                <a:lnTo>
                  <a:pt x="3927" y="9"/>
                </a:lnTo>
                <a:lnTo>
                  <a:pt x="3558" y="0"/>
                </a:lnTo>
                <a:lnTo>
                  <a:pt x="3189" y="9"/>
                </a:lnTo>
                <a:lnTo>
                  <a:pt x="2839" y="73"/>
                </a:lnTo>
                <a:lnTo>
                  <a:pt x="2489" y="156"/>
                </a:lnTo>
                <a:lnTo>
                  <a:pt x="2175" y="274"/>
                </a:lnTo>
                <a:lnTo>
                  <a:pt x="1853" y="421"/>
                </a:lnTo>
                <a:lnTo>
                  <a:pt x="1567" y="594"/>
                </a:lnTo>
                <a:lnTo>
                  <a:pt x="1290" y="805"/>
                </a:lnTo>
                <a:lnTo>
                  <a:pt x="1041" y="1033"/>
                </a:lnTo>
                <a:lnTo>
                  <a:pt x="811" y="1289"/>
                </a:lnTo>
                <a:lnTo>
                  <a:pt x="599" y="1554"/>
                </a:lnTo>
                <a:lnTo>
                  <a:pt x="415" y="1847"/>
                </a:lnTo>
                <a:lnTo>
                  <a:pt x="276" y="2157"/>
                </a:lnTo>
                <a:lnTo>
                  <a:pt x="157" y="2486"/>
                </a:lnTo>
                <a:lnTo>
                  <a:pt x="74" y="2825"/>
                </a:lnTo>
                <a:lnTo>
                  <a:pt x="9" y="3181"/>
                </a:lnTo>
                <a:lnTo>
                  <a:pt x="0" y="3547"/>
                </a:lnTo>
                <a:lnTo>
                  <a:pt x="9" y="3894"/>
                </a:lnTo>
                <a:lnTo>
                  <a:pt x="74" y="4241"/>
                </a:lnTo>
                <a:lnTo>
                  <a:pt x="157" y="4589"/>
                </a:lnTo>
                <a:lnTo>
                  <a:pt x="276" y="4909"/>
                </a:lnTo>
                <a:lnTo>
                  <a:pt x="415" y="5219"/>
                </a:lnTo>
                <a:lnTo>
                  <a:pt x="599" y="5512"/>
                </a:lnTo>
                <a:lnTo>
                  <a:pt x="811" y="5777"/>
                </a:lnTo>
                <a:lnTo>
                  <a:pt x="1041" y="6042"/>
                </a:lnTo>
                <a:lnTo>
                  <a:pt x="1290" y="6262"/>
                </a:lnTo>
                <a:lnTo>
                  <a:pt x="1567" y="6472"/>
                </a:lnTo>
                <a:lnTo>
                  <a:pt x="1853" y="6645"/>
                </a:lnTo>
                <a:lnTo>
                  <a:pt x="2175" y="6801"/>
                </a:lnTo>
                <a:lnTo>
                  <a:pt x="2489" y="6911"/>
                </a:lnTo>
                <a:lnTo>
                  <a:pt x="2839" y="7002"/>
                </a:lnTo>
                <a:lnTo>
                  <a:pt x="3189" y="7057"/>
                </a:lnTo>
                <a:lnTo>
                  <a:pt x="3558" y="7084"/>
                </a:lnTo>
                <a:close/>
              </a:path>
            </a:pathLst>
          </a:custGeom>
          <a:solidFill>
            <a:srgbClr val="00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68" name="Freeform 66">
            <a:extLst>
              <a:ext uri="{FF2B5EF4-FFF2-40B4-BE49-F238E27FC236}">
                <a16:creationId xmlns="" xmlns:a16="http://schemas.microsoft.com/office/drawing/2014/main" id="{00000000-0008-0000-0400-000044000000}"/>
              </a:ext>
            </a:extLst>
          </xdr:cNvPr>
          <xdr:cNvSpPr>
            <a:spLocks/>
          </xdr:cNvSpPr>
        </xdr:nvSpPr>
        <xdr:spPr bwMode="auto">
          <a:xfrm>
            <a:off x="123429" y="19748"/>
            <a:ext cx="530297" cy="526071"/>
          </a:xfrm>
          <a:custGeom>
            <a:avLst/>
            <a:gdLst>
              <a:gd name="T0" fmla="*/ 3632 w 6618"/>
              <a:gd name="T1" fmla="*/ 6554 h 6572"/>
              <a:gd name="T2" fmla="*/ 4277 w 6618"/>
              <a:gd name="T3" fmla="*/ 6417 h 6572"/>
              <a:gd name="T4" fmla="*/ 4876 w 6618"/>
              <a:gd name="T5" fmla="*/ 6170 h 6572"/>
              <a:gd name="T6" fmla="*/ 5401 w 6618"/>
              <a:gd name="T7" fmla="*/ 5813 h 6572"/>
              <a:gd name="T8" fmla="*/ 5853 w 6618"/>
              <a:gd name="T9" fmla="*/ 5375 h 6572"/>
              <a:gd name="T10" fmla="*/ 6213 w 6618"/>
              <a:gd name="T11" fmla="*/ 4845 h 6572"/>
              <a:gd name="T12" fmla="*/ 6461 w 6618"/>
              <a:gd name="T13" fmla="*/ 4250 h 6572"/>
              <a:gd name="T14" fmla="*/ 6600 w 6618"/>
              <a:gd name="T15" fmla="*/ 3620 h 6572"/>
              <a:gd name="T16" fmla="*/ 6600 w 6618"/>
              <a:gd name="T17" fmla="*/ 2952 h 6572"/>
              <a:gd name="T18" fmla="*/ 6461 w 6618"/>
              <a:gd name="T19" fmla="*/ 2303 h 6572"/>
              <a:gd name="T20" fmla="*/ 6213 w 6618"/>
              <a:gd name="T21" fmla="*/ 1718 h 6572"/>
              <a:gd name="T22" fmla="*/ 5853 w 6618"/>
              <a:gd name="T23" fmla="*/ 1197 h 6572"/>
              <a:gd name="T24" fmla="*/ 5401 w 6618"/>
              <a:gd name="T25" fmla="*/ 749 h 6572"/>
              <a:gd name="T26" fmla="*/ 4876 w 6618"/>
              <a:gd name="T27" fmla="*/ 393 h 6572"/>
              <a:gd name="T28" fmla="*/ 4277 w 6618"/>
              <a:gd name="T29" fmla="*/ 146 h 6572"/>
              <a:gd name="T30" fmla="*/ 3632 w 6618"/>
              <a:gd name="T31" fmla="*/ 18 h 6572"/>
              <a:gd name="T32" fmla="*/ 2959 w 6618"/>
              <a:gd name="T33" fmla="*/ 18 h 6572"/>
              <a:gd name="T34" fmla="*/ 2313 w 6618"/>
              <a:gd name="T35" fmla="*/ 146 h 6572"/>
              <a:gd name="T36" fmla="*/ 1723 w 6618"/>
              <a:gd name="T37" fmla="*/ 393 h 6572"/>
              <a:gd name="T38" fmla="*/ 1198 w 6618"/>
              <a:gd name="T39" fmla="*/ 749 h 6572"/>
              <a:gd name="T40" fmla="*/ 746 w 6618"/>
              <a:gd name="T41" fmla="*/ 1197 h 6572"/>
              <a:gd name="T42" fmla="*/ 387 w 6618"/>
              <a:gd name="T43" fmla="*/ 1718 h 6572"/>
              <a:gd name="T44" fmla="*/ 138 w 6618"/>
              <a:gd name="T45" fmla="*/ 2303 h 6572"/>
              <a:gd name="T46" fmla="*/ 9 w 6618"/>
              <a:gd name="T47" fmla="*/ 2952 h 6572"/>
              <a:gd name="T48" fmla="*/ 9 w 6618"/>
              <a:gd name="T49" fmla="*/ 3620 h 6572"/>
              <a:gd name="T50" fmla="*/ 138 w 6618"/>
              <a:gd name="T51" fmla="*/ 4250 h 6572"/>
              <a:gd name="T52" fmla="*/ 387 w 6618"/>
              <a:gd name="T53" fmla="*/ 4845 h 6572"/>
              <a:gd name="T54" fmla="*/ 746 w 6618"/>
              <a:gd name="T55" fmla="*/ 5375 h 6572"/>
              <a:gd name="T56" fmla="*/ 1198 w 6618"/>
              <a:gd name="T57" fmla="*/ 5813 h 6572"/>
              <a:gd name="T58" fmla="*/ 1723 w 6618"/>
              <a:gd name="T59" fmla="*/ 6170 h 6572"/>
              <a:gd name="T60" fmla="*/ 2313 w 6618"/>
              <a:gd name="T61" fmla="*/ 6417 h 6572"/>
              <a:gd name="T62" fmla="*/ 2959 w 6618"/>
              <a:gd name="T63" fmla="*/ 6554 h 6572"/>
              <a:gd name="T64" fmla="*/ 3309 w 6618"/>
              <a:gd name="T65" fmla="*/ 6572 h 65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618" h="6572">
                <a:moveTo>
                  <a:pt x="3309" y="6572"/>
                </a:moveTo>
                <a:lnTo>
                  <a:pt x="3632" y="6554"/>
                </a:lnTo>
                <a:lnTo>
                  <a:pt x="3963" y="6508"/>
                </a:lnTo>
                <a:lnTo>
                  <a:pt x="4277" y="6417"/>
                </a:lnTo>
                <a:lnTo>
                  <a:pt x="4590" y="6316"/>
                </a:lnTo>
                <a:lnTo>
                  <a:pt x="4876" y="6170"/>
                </a:lnTo>
                <a:lnTo>
                  <a:pt x="5153" y="6015"/>
                </a:lnTo>
                <a:lnTo>
                  <a:pt x="5401" y="5813"/>
                </a:lnTo>
                <a:lnTo>
                  <a:pt x="5641" y="5612"/>
                </a:lnTo>
                <a:lnTo>
                  <a:pt x="5853" y="5375"/>
                </a:lnTo>
                <a:lnTo>
                  <a:pt x="6047" y="5119"/>
                </a:lnTo>
                <a:lnTo>
                  <a:pt x="6213" y="4845"/>
                </a:lnTo>
                <a:lnTo>
                  <a:pt x="6351" y="4561"/>
                </a:lnTo>
                <a:lnTo>
                  <a:pt x="6461" y="4250"/>
                </a:lnTo>
                <a:lnTo>
                  <a:pt x="6554" y="3949"/>
                </a:lnTo>
                <a:lnTo>
                  <a:pt x="6600" y="3620"/>
                </a:lnTo>
                <a:lnTo>
                  <a:pt x="6618" y="3291"/>
                </a:lnTo>
                <a:lnTo>
                  <a:pt x="6600" y="2952"/>
                </a:lnTo>
                <a:lnTo>
                  <a:pt x="6554" y="2623"/>
                </a:lnTo>
                <a:lnTo>
                  <a:pt x="6461" y="2303"/>
                </a:lnTo>
                <a:lnTo>
                  <a:pt x="6351" y="2011"/>
                </a:lnTo>
                <a:lnTo>
                  <a:pt x="6213" y="1718"/>
                </a:lnTo>
                <a:lnTo>
                  <a:pt x="6047" y="1444"/>
                </a:lnTo>
                <a:lnTo>
                  <a:pt x="5853" y="1197"/>
                </a:lnTo>
                <a:lnTo>
                  <a:pt x="5641" y="960"/>
                </a:lnTo>
                <a:lnTo>
                  <a:pt x="5401" y="749"/>
                </a:lnTo>
                <a:lnTo>
                  <a:pt x="5153" y="558"/>
                </a:lnTo>
                <a:lnTo>
                  <a:pt x="4876" y="393"/>
                </a:lnTo>
                <a:lnTo>
                  <a:pt x="4590" y="265"/>
                </a:lnTo>
                <a:lnTo>
                  <a:pt x="4277" y="146"/>
                </a:lnTo>
                <a:lnTo>
                  <a:pt x="3963" y="64"/>
                </a:lnTo>
                <a:lnTo>
                  <a:pt x="3632" y="18"/>
                </a:lnTo>
                <a:lnTo>
                  <a:pt x="3309" y="0"/>
                </a:lnTo>
                <a:lnTo>
                  <a:pt x="2959" y="18"/>
                </a:lnTo>
                <a:lnTo>
                  <a:pt x="2627" y="64"/>
                </a:lnTo>
                <a:lnTo>
                  <a:pt x="2313" y="146"/>
                </a:lnTo>
                <a:lnTo>
                  <a:pt x="2018" y="265"/>
                </a:lnTo>
                <a:lnTo>
                  <a:pt x="1723" y="393"/>
                </a:lnTo>
                <a:lnTo>
                  <a:pt x="1456" y="558"/>
                </a:lnTo>
                <a:lnTo>
                  <a:pt x="1198" y="749"/>
                </a:lnTo>
                <a:lnTo>
                  <a:pt x="968" y="960"/>
                </a:lnTo>
                <a:lnTo>
                  <a:pt x="746" y="1197"/>
                </a:lnTo>
                <a:lnTo>
                  <a:pt x="562" y="1444"/>
                </a:lnTo>
                <a:lnTo>
                  <a:pt x="387" y="1718"/>
                </a:lnTo>
                <a:lnTo>
                  <a:pt x="258" y="2011"/>
                </a:lnTo>
                <a:lnTo>
                  <a:pt x="138" y="2303"/>
                </a:lnTo>
                <a:lnTo>
                  <a:pt x="64" y="2623"/>
                </a:lnTo>
                <a:lnTo>
                  <a:pt x="9" y="2952"/>
                </a:lnTo>
                <a:lnTo>
                  <a:pt x="0" y="3291"/>
                </a:lnTo>
                <a:lnTo>
                  <a:pt x="9" y="3620"/>
                </a:lnTo>
                <a:lnTo>
                  <a:pt x="64" y="3949"/>
                </a:lnTo>
                <a:lnTo>
                  <a:pt x="138" y="4250"/>
                </a:lnTo>
                <a:lnTo>
                  <a:pt x="258" y="4561"/>
                </a:lnTo>
                <a:lnTo>
                  <a:pt x="387" y="4845"/>
                </a:lnTo>
                <a:lnTo>
                  <a:pt x="562" y="5119"/>
                </a:lnTo>
                <a:lnTo>
                  <a:pt x="746" y="5375"/>
                </a:lnTo>
                <a:lnTo>
                  <a:pt x="968" y="5612"/>
                </a:lnTo>
                <a:lnTo>
                  <a:pt x="1198" y="5813"/>
                </a:lnTo>
                <a:lnTo>
                  <a:pt x="1456" y="6015"/>
                </a:lnTo>
                <a:lnTo>
                  <a:pt x="1723" y="6170"/>
                </a:lnTo>
                <a:lnTo>
                  <a:pt x="2018" y="6316"/>
                </a:lnTo>
                <a:lnTo>
                  <a:pt x="2313" y="6417"/>
                </a:lnTo>
                <a:lnTo>
                  <a:pt x="2627" y="6508"/>
                </a:lnTo>
                <a:lnTo>
                  <a:pt x="2959" y="6554"/>
                </a:lnTo>
                <a:lnTo>
                  <a:pt x="3309" y="6572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69" name="Freeform 67">
            <a:extLst>
              <a:ext uri="{FF2B5EF4-FFF2-40B4-BE49-F238E27FC236}">
                <a16:creationId xmlns="" xmlns:a16="http://schemas.microsoft.com/office/drawing/2014/main" id="{00000000-0008-0000-0400-000045000000}"/>
              </a:ext>
            </a:extLst>
          </xdr:cNvPr>
          <xdr:cNvSpPr>
            <a:spLocks/>
          </xdr:cNvSpPr>
        </xdr:nvSpPr>
        <xdr:spPr bwMode="auto">
          <a:xfrm>
            <a:off x="142523" y="39556"/>
            <a:ext cx="490442" cy="485801"/>
          </a:xfrm>
          <a:custGeom>
            <a:avLst/>
            <a:gdLst>
              <a:gd name="T0" fmla="*/ 3365 w 6121"/>
              <a:gd name="T1" fmla="*/ 6051 h 6069"/>
              <a:gd name="T2" fmla="*/ 3955 w 6121"/>
              <a:gd name="T3" fmla="*/ 5923 h 6069"/>
              <a:gd name="T4" fmla="*/ 4508 w 6121"/>
              <a:gd name="T5" fmla="*/ 5694 h 6069"/>
              <a:gd name="T6" fmla="*/ 5006 w 6121"/>
              <a:gd name="T7" fmla="*/ 5374 h 6069"/>
              <a:gd name="T8" fmla="*/ 5421 w 6121"/>
              <a:gd name="T9" fmla="*/ 4963 h 6069"/>
              <a:gd name="T10" fmla="*/ 5743 w 6121"/>
              <a:gd name="T11" fmla="*/ 4470 h 6069"/>
              <a:gd name="T12" fmla="*/ 5974 w 6121"/>
              <a:gd name="T13" fmla="*/ 3930 h 6069"/>
              <a:gd name="T14" fmla="*/ 6103 w 6121"/>
              <a:gd name="T15" fmla="*/ 3336 h 6069"/>
              <a:gd name="T16" fmla="*/ 6103 w 6121"/>
              <a:gd name="T17" fmla="*/ 2724 h 6069"/>
              <a:gd name="T18" fmla="*/ 5974 w 6121"/>
              <a:gd name="T19" fmla="*/ 2130 h 6069"/>
              <a:gd name="T20" fmla="*/ 5743 w 6121"/>
              <a:gd name="T21" fmla="*/ 1581 h 6069"/>
              <a:gd name="T22" fmla="*/ 5421 w 6121"/>
              <a:gd name="T23" fmla="*/ 1097 h 6069"/>
              <a:gd name="T24" fmla="*/ 5006 w 6121"/>
              <a:gd name="T25" fmla="*/ 685 h 6069"/>
              <a:gd name="T26" fmla="*/ 4508 w 6121"/>
              <a:gd name="T27" fmla="*/ 365 h 6069"/>
              <a:gd name="T28" fmla="*/ 3955 w 6121"/>
              <a:gd name="T29" fmla="*/ 128 h 6069"/>
              <a:gd name="T30" fmla="*/ 3365 w 6121"/>
              <a:gd name="T31" fmla="*/ 18 h 6069"/>
              <a:gd name="T32" fmla="*/ 2738 w 6121"/>
              <a:gd name="T33" fmla="*/ 18 h 6069"/>
              <a:gd name="T34" fmla="*/ 2148 w 6121"/>
              <a:gd name="T35" fmla="*/ 128 h 6069"/>
              <a:gd name="T36" fmla="*/ 1595 w 6121"/>
              <a:gd name="T37" fmla="*/ 365 h 6069"/>
              <a:gd name="T38" fmla="*/ 1107 w 6121"/>
              <a:gd name="T39" fmla="*/ 685 h 6069"/>
              <a:gd name="T40" fmla="*/ 692 w 6121"/>
              <a:gd name="T41" fmla="*/ 1097 h 6069"/>
              <a:gd name="T42" fmla="*/ 369 w 6121"/>
              <a:gd name="T43" fmla="*/ 1581 h 6069"/>
              <a:gd name="T44" fmla="*/ 129 w 6121"/>
              <a:gd name="T45" fmla="*/ 2130 h 6069"/>
              <a:gd name="T46" fmla="*/ 19 w 6121"/>
              <a:gd name="T47" fmla="*/ 2724 h 6069"/>
              <a:gd name="T48" fmla="*/ 19 w 6121"/>
              <a:gd name="T49" fmla="*/ 3336 h 6069"/>
              <a:gd name="T50" fmla="*/ 129 w 6121"/>
              <a:gd name="T51" fmla="*/ 3930 h 6069"/>
              <a:gd name="T52" fmla="*/ 369 w 6121"/>
              <a:gd name="T53" fmla="*/ 4470 h 6069"/>
              <a:gd name="T54" fmla="*/ 692 w 6121"/>
              <a:gd name="T55" fmla="*/ 4963 h 6069"/>
              <a:gd name="T56" fmla="*/ 1107 w 6121"/>
              <a:gd name="T57" fmla="*/ 5374 h 6069"/>
              <a:gd name="T58" fmla="*/ 1595 w 6121"/>
              <a:gd name="T59" fmla="*/ 5694 h 6069"/>
              <a:gd name="T60" fmla="*/ 2148 w 6121"/>
              <a:gd name="T61" fmla="*/ 5923 h 6069"/>
              <a:gd name="T62" fmla="*/ 2738 w 6121"/>
              <a:gd name="T63" fmla="*/ 6051 h 6069"/>
              <a:gd name="T64" fmla="*/ 3061 w 6121"/>
              <a:gd name="T65" fmla="*/ 6069 h 60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121" h="6069">
                <a:moveTo>
                  <a:pt x="3061" y="6069"/>
                </a:moveTo>
                <a:lnTo>
                  <a:pt x="3365" y="6051"/>
                </a:lnTo>
                <a:lnTo>
                  <a:pt x="3669" y="6005"/>
                </a:lnTo>
                <a:lnTo>
                  <a:pt x="3955" y="5923"/>
                </a:lnTo>
                <a:lnTo>
                  <a:pt x="4241" y="5832"/>
                </a:lnTo>
                <a:lnTo>
                  <a:pt x="4508" y="5694"/>
                </a:lnTo>
                <a:lnTo>
                  <a:pt x="4766" y="5548"/>
                </a:lnTo>
                <a:lnTo>
                  <a:pt x="5006" y="5374"/>
                </a:lnTo>
                <a:lnTo>
                  <a:pt x="5218" y="5173"/>
                </a:lnTo>
                <a:lnTo>
                  <a:pt x="5421" y="4963"/>
                </a:lnTo>
                <a:lnTo>
                  <a:pt x="5596" y="4725"/>
                </a:lnTo>
                <a:lnTo>
                  <a:pt x="5743" y="4470"/>
                </a:lnTo>
                <a:lnTo>
                  <a:pt x="5881" y="4214"/>
                </a:lnTo>
                <a:lnTo>
                  <a:pt x="5974" y="3930"/>
                </a:lnTo>
                <a:lnTo>
                  <a:pt x="6057" y="3638"/>
                </a:lnTo>
                <a:lnTo>
                  <a:pt x="6103" y="3336"/>
                </a:lnTo>
                <a:lnTo>
                  <a:pt x="6121" y="3034"/>
                </a:lnTo>
                <a:lnTo>
                  <a:pt x="6103" y="2724"/>
                </a:lnTo>
                <a:lnTo>
                  <a:pt x="6057" y="2422"/>
                </a:lnTo>
                <a:lnTo>
                  <a:pt x="5974" y="2130"/>
                </a:lnTo>
                <a:lnTo>
                  <a:pt x="5881" y="1855"/>
                </a:lnTo>
                <a:lnTo>
                  <a:pt x="5743" y="1581"/>
                </a:lnTo>
                <a:lnTo>
                  <a:pt x="5596" y="1343"/>
                </a:lnTo>
                <a:lnTo>
                  <a:pt x="5421" y="1097"/>
                </a:lnTo>
                <a:lnTo>
                  <a:pt x="5218" y="886"/>
                </a:lnTo>
                <a:lnTo>
                  <a:pt x="5006" y="685"/>
                </a:lnTo>
                <a:lnTo>
                  <a:pt x="4766" y="512"/>
                </a:lnTo>
                <a:lnTo>
                  <a:pt x="4508" y="365"/>
                </a:lnTo>
                <a:lnTo>
                  <a:pt x="4241" y="237"/>
                </a:lnTo>
                <a:lnTo>
                  <a:pt x="3955" y="128"/>
                </a:lnTo>
                <a:lnTo>
                  <a:pt x="3669" y="55"/>
                </a:lnTo>
                <a:lnTo>
                  <a:pt x="3365" y="18"/>
                </a:lnTo>
                <a:lnTo>
                  <a:pt x="3061" y="0"/>
                </a:lnTo>
                <a:lnTo>
                  <a:pt x="2738" y="18"/>
                </a:lnTo>
                <a:lnTo>
                  <a:pt x="2443" y="55"/>
                </a:lnTo>
                <a:lnTo>
                  <a:pt x="2148" y="128"/>
                </a:lnTo>
                <a:lnTo>
                  <a:pt x="1872" y="237"/>
                </a:lnTo>
                <a:lnTo>
                  <a:pt x="1595" y="365"/>
                </a:lnTo>
                <a:lnTo>
                  <a:pt x="1346" y="512"/>
                </a:lnTo>
                <a:lnTo>
                  <a:pt x="1107" y="685"/>
                </a:lnTo>
                <a:lnTo>
                  <a:pt x="895" y="886"/>
                </a:lnTo>
                <a:lnTo>
                  <a:pt x="692" y="1097"/>
                </a:lnTo>
                <a:lnTo>
                  <a:pt x="517" y="1343"/>
                </a:lnTo>
                <a:lnTo>
                  <a:pt x="369" y="1581"/>
                </a:lnTo>
                <a:lnTo>
                  <a:pt x="240" y="1855"/>
                </a:lnTo>
                <a:lnTo>
                  <a:pt x="129" y="2130"/>
                </a:lnTo>
                <a:lnTo>
                  <a:pt x="56" y="2422"/>
                </a:lnTo>
                <a:lnTo>
                  <a:pt x="19" y="2724"/>
                </a:lnTo>
                <a:lnTo>
                  <a:pt x="0" y="3034"/>
                </a:lnTo>
                <a:lnTo>
                  <a:pt x="19" y="3336"/>
                </a:lnTo>
                <a:lnTo>
                  <a:pt x="56" y="3638"/>
                </a:lnTo>
                <a:lnTo>
                  <a:pt x="129" y="3930"/>
                </a:lnTo>
                <a:lnTo>
                  <a:pt x="240" y="4214"/>
                </a:lnTo>
                <a:lnTo>
                  <a:pt x="369" y="4470"/>
                </a:lnTo>
                <a:lnTo>
                  <a:pt x="517" y="4725"/>
                </a:lnTo>
                <a:lnTo>
                  <a:pt x="692" y="4963"/>
                </a:lnTo>
                <a:lnTo>
                  <a:pt x="895" y="5173"/>
                </a:lnTo>
                <a:lnTo>
                  <a:pt x="1107" y="5374"/>
                </a:lnTo>
                <a:lnTo>
                  <a:pt x="1346" y="5548"/>
                </a:lnTo>
                <a:lnTo>
                  <a:pt x="1595" y="5694"/>
                </a:lnTo>
                <a:lnTo>
                  <a:pt x="1872" y="5832"/>
                </a:lnTo>
                <a:lnTo>
                  <a:pt x="2148" y="5923"/>
                </a:lnTo>
                <a:lnTo>
                  <a:pt x="2443" y="6005"/>
                </a:lnTo>
                <a:lnTo>
                  <a:pt x="2738" y="6051"/>
                </a:lnTo>
                <a:lnTo>
                  <a:pt x="3061" y="6069"/>
                </a:lnTo>
                <a:close/>
              </a:path>
            </a:pathLst>
          </a:custGeom>
          <a:solidFill>
            <a:srgbClr val="00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0" name="Freeform 68">
            <a:extLst>
              <a:ext uri="{FF2B5EF4-FFF2-40B4-BE49-F238E27FC236}">
                <a16:creationId xmlns="" xmlns:a16="http://schemas.microsoft.com/office/drawing/2014/main" id="{00000000-0008-0000-0400-000046000000}"/>
              </a:ext>
            </a:extLst>
          </xdr:cNvPr>
          <xdr:cNvSpPr>
            <a:spLocks/>
          </xdr:cNvSpPr>
        </xdr:nvSpPr>
        <xdr:spPr bwMode="auto">
          <a:xfrm>
            <a:off x="163342" y="59305"/>
            <a:ext cx="448269" cy="445530"/>
          </a:xfrm>
          <a:custGeom>
            <a:avLst/>
            <a:gdLst>
              <a:gd name="T0" fmla="*/ 3069 w 5595"/>
              <a:gd name="T1" fmla="*/ 5548 h 5566"/>
              <a:gd name="T2" fmla="*/ 3613 w 5595"/>
              <a:gd name="T3" fmla="*/ 5429 h 5566"/>
              <a:gd name="T4" fmla="*/ 4120 w 5595"/>
              <a:gd name="T5" fmla="*/ 5219 h 5566"/>
              <a:gd name="T6" fmla="*/ 4572 w 5595"/>
              <a:gd name="T7" fmla="*/ 4926 h 5566"/>
              <a:gd name="T8" fmla="*/ 4950 w 5595"/>
              <a:gd name="T9" fmla="*/ 4542 h 5566"/>
              <a:gd name="T10" fmla="*/ 5244 w 5595"/>
              <a:gd name="T11" fmla="*/ 4104 h 5566"/>
              <a:gd name="T12" fmla="*/ 5466 w 5595"/>
              <a:gd name="T13" fmla="*/ 3601 h 5566"/>
              <a:gd name="T14" fmla="*/ 5576 w 5595"/>
              <a:gd name="T15" fmla="*/ 3062 h 5566"/>
              <a:gd name="T16" fmla="*/ 5576 w 5595"/>
              <a:gd name="T17" fmla="*/ 2495 h 5566"/>
              <a:gd name="T18" fmla="*/ 5466 w 5595"/>
              <a:gd name="T19" fmla="*/ 1946 h 5566"/>
              <a:gd name="T20" fmla="*/ 5244 w 5595"/>
              <a:gd name="T21" fmla="*/ 1444 h 5566"/>
              <a:gd name="T22" fmla="*/ 4950 w 5595"/>
              <a:gd name="T23" fmla="*/ 1005 h 5566"/>
              <a:gd name="T24" fmla="*/ 4572 w 5595"/>
              <a:gd name="T25" fmla="*/ 621 h 5566"/>
              <a:gd name="T26" fmla="*/ 4120 w 5595"/>
              <a:gd name="T27" fmla="*/ 329 h 5566"/>
              <a:gd name="T28" fmla="*/ 3613 w 5595"/>
              <a:gd name="T29" fmla="*/ 118 h 5566"/>
              <a:gd name="T30" fmla="*/ 3069 w 5595"/>
              <a:gd name="T31" fmla="*/ 9 h 5566"/>
              <a:gd name="T32" fmla="*/ 2507 w 5595"/>
              <a:gd name="T33" fmla="*/ 9 h 5566"/>
              <a:gd name="T34" fmla="*/ 1954 w 5595"/>
              <a:gd name="T35" fmla="*/ 118 h 5566"/>
              <a:gd name="T36" fmla="*/ 1456 w 5595"/>
              <a:gd name="T37" fmla="*/ 329 h 5566"/>
              <a:gd name="T38" fmla="*/ 1004 w 5595"/>
              <a:gd name="T39" fmla="*/ 621 h 5566"/>
              <a:gd name="T40" fmla="*/ 626 w 5595"/>
              <a:gd name="T41" fmla="*/ 1005 h 5566"/>
              <a:gd name="T42" fmla="*/ 322 w 5595"/>
              <a:gd name="T43" fmla="*/ 1444 h 5566"/>
              <a:gd name="T44" fmla="*/ 110 w 5595"/>
              <a:gd name="T45" fmla="*/ 1946 h 5566"/>
              <a:gd name="T46" fmla="*/ 9 w 5595"/>
              <a:gd name="T47" fmla="*/ 2495 h 5566"/>
              <a:gd name="T48" fmla="*/ 9 w 5595"/>
              <a:gd name="T49" fmla="*/ 3062 h 5566"/>
              <a:gd name="T50" fmla="*/ 110 w 5595"/>
              <a:gd name="T51" fmla="*/ 3601 h 5566"/>
              <a:gd name="T52" fmla="*/ 322 w 5595"/>
              <a:gd name="T53" fmla="*/ 4104 h 5566"/>
              <a:gd name="T54" fmla="*/ 626 w 5595"/>
              <a:gd name="T55" fmla="*/ 4542 h 5566"/>
              <a:gd name="T56" fmla="*/ 1004 w 5595"/>
              <a:gd name="T57" fmla="*/ 4926 h 5566"/>
              <a:gd name="T58" fmla="*/ 1456 w 5595"/>
              <a:gd name="T59" fmla="*/ 5219 h 5566"/>
              <a:gd name="T60" fmla="*/ 1954 w 5595"/>
              <a:gd name="T61" fmla="*/ 5429 h 5566"/>
              <a:gd name="T62" fmla="*/ 2507 w 5595"/>
              <a:gd name="T63" fmla="*/ 5548 h 5566"/>
              <a:gd name="T64" fmla="*/ 2793 w 5595"/>
              <a:gd name="T65" fmla="*/ 5566 h 55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5595" h="5566">
                <a:moveTo>
                  <a:pt x="2793" y="5566"/>
                </a:moveTo>
                <a:lnTo>
                  <a:pt x="3069" y="5548"/>
                </a:lnTo>
                <a:lnTo>
                  <a:pt x="3355" y="5502"/>
                </a:lnTo>
                <a:lnTo>
                  <a:pt x="3613" y="5429"/>
                </a:lnTo>
                <a:lnTo>
                  <a:pt x="3880" y="5347"/>
                </a:lnTo>
                <a:lnTo>
                  <a:pt x="4120" y="5219"/>
                </a:lnTo>
                <a:lnTo>
                  <a:pt x="4350" y="5082"/>
                </a:lnTo>
                <a:lnTo>
                  <a:pt x="4572" y="4926"/>
                </a:lnTo>
                <a:lnTo>
                  <a:pt x="4774" y="4753"/>
                </a:lnTo>
                <a:lnTo>
                  <a:pt x="4950" y="4542"/>
                </a:lnTo>
                <a:lnTo>
                  <a:pt x="5115" y="4332"/>
                </a:lnTo>
                <a:lnTo>
                  <a:pt x="5244" y="4104"/>
                </a:lnTo>
                <a:lnTo>
                  <a:pt x="5374" y="3866"/>
                </a:lnTo>
                <a:lnTo>
                  <a:pt x="5466" y="3601"/>
                </a:lnTo>
                <a:lnTo>
                  <a:pt x="5530" y="3336"/>
                </a:lnTo>
                <a:lnTo>
                  <a:pt x="5576" y="3062"/>
                </a:lnTo>
                <a:lnTo>
                  <a:pt x="5595" y="2787"/>
                </a:lnTo>
                <a:lnTo>
                  <a:pt x="5576" y="2495"/>
                </a:lnTo>
                <a:lnTo>
                  <a:pt x="5530" y="2221"/>
                </a:lnTo>
                <a:lnTo>
                  <a:pt x="5466" y="1946"/>
                </a:lnTo>
                <a:lnTo>
                  <a:pt x="5374" y="1700"/>
                </a:lnTo>
                <a:lnTo>
                  <a:pt x="5244" y="1444"/>
                </a:lnTo>
                <a:lnTo>
                  <a:pt x="5115" y="1224"/>
                </a:lnTo>
                <a:lnTo>
                  <a:pt x="4950" y="1005"/>
                </a:lnTo>
                <a:lnTo>
                  <a:pt x="4774" y="813"/>
                </a:lnTo>
                <a:lnTo>
                  <a:pt x="4572" y="621"/>
                </a:lnTo>
                <a:lnTo>
                  <a:pt x="4350" y="466"/>
                </a:lnTo>
                <a:lnTo>
                  <a:pt x="4120" y="329"/>
                </a:lnTo>
                <a:lnTo>
                  <a:pt x="3880" y="210"/>
                </a:lnTo>
                <a:lnTo>
                  <a:pt x="3613" y="118"/>
                </a:lnTo>
                <a:lnTo>
                  <a:pt x="3355" y="54"/>
                </a:lnTo>
                <a:lnTo>
                  <a:pt x="3069" y="9"/>
                </a:lnTo>
                <a:lnTo>
                  <a:pt x="2793" y="0"/>
                </a:lnTo>
                <a:lnTo>
                  <a:pt x="2507" y="9"/>
                </a:lnTo>
                <a:lnTo>
                  <a:pt x="2221" y="54"/>
                </a:lnTo>
                <a:lnTo>
                  <a:pt x="1954" y="118"/>
                </a:lnTo>
                <a:lnTo>
                  <a:pt x="1705" y="210"/>
                </a:lnTo>
                <a:lnTo>
                  <a:pt x="1456" y="329"/>
                </a:lnTo>
                <a:lnTo>
                  <a:pt x="1225" y="466"/>
                </a:lnTo>
                <a:lnTo>
                  <a:pt x="1004" y="621"/>
                </a:lnTo>
                <a:lnTo>
                  <a:pt x="811" y="813"/>
                </a:lnTo>
                <a:lnTo>
                  <a:pt x="626" y="1005"/>
                </a:lnTo>
                <a:lnTo>
                  <a:pt x="470" y="1224"/>
                </a:lnTo>
                <a:lnTo>
                  <a:pt x="322" y="1444"/>
                </a:lnTo>
                <a:lnTo>
                  <a:pt x="212" y="1700"/>
                </a:lnTo>
                <a:lnTo>
                  <a:pt x="110" y="1946"/>
                </a:lnTo>
                <a:lnTo>
                  <a:pt x="46" y="2221"/>
                </a:lnTo>
                <a:lnTo>
                  <a:pt x="9" y="2495"/>
                </a:lnTo>
                <a:lnTo>
                  <a:pt x="0" y="2787"/>
                </a:lnTo>
                <a:lnTo>
                  <a:pt x="9" y="3062"/>
                </a:lnTo>
                <a:lnTo>
                  <a:pt x="46" y="3336"/>
                </a:lnTo>
                <a:lnTo>
                  <a:pt x="110" y="3601"/>
                </a:lnTo>
                <a:lnTo>
                  <a:pt x="212" y="3866"/>
                </a:lnTo>
                <a:lnTo>
                  <a:pt x="322" y="4104"/>
                </a:lnTo>
                <a:lnTo>
                  <a:pt x="470" y="4332"/>
                </a:lnTo>
                <a:lnTo>
                  <a:pt x="626" y="4542"/>
                </a:lnTo>
                <a:lnTo>
                  <a:pt x="811" y="4753"/>
                </a:lnTo>
                <a:lnTo>
                  <a:pt x="1004" y="4926"/>
                </a:lnTo>
                <a:lnTo>
                  <a:pt x="1225" y="5082"/>
                </a:lnTo>
                <a:lnTo>
                  <a:pt x="1456" y="5219"/>
                </a:lnTo>
                <a:lnTo>
                  <a:pt x="1705" y="5347"/>
                </a:lnTo>
                <a:lnTo>
                  <a:pt x="1954" y="5429"/>
                </a:lnTo>
                <a:lnTo>
                  <a:pt x="2221" y="5502"/>
                </a:lnTo>
                <a:lnTo>
                  <a:pt x="2507" y="5548"/>
                </a:lnTo>
                <a:lnTo>
                  <a:pt x="2793" y="5566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1" name="Freeform 69">
            <a:extLst>
              <a:ext uri="{FF2B5EF4-FFF2-40B4-BE49-F238E27FC236}">
                <a16:creationId xmlns="" xmlns:a16="http://schemas.microsoft.com/office/drawing/2014/main" id="{00000000-0008-0000-0400-000047000000}"/>
              </a:ext>
            </a:extLst>
          </xdr:cNvPr>
          <xdr:cNvSpPr>
            <a:spLocks/>
          </xdr:cNvSpPr>
        </xdr:nvSpPr>
        <xdr:spPr bwMode="auto">
          <a:xfrm>
            <a:off x="182020" y="74949"/>
            <a:ext cx="206051" cy="405379"/>
          </a:xfrm>
          <a:custGeom>
            <a:avLst/>
            <a:gdLst>
              <a:gd name="T0" fmla="*/ 2268 w 2572"/>
              <a:gd name="T1" fmla="*/ 5028 h 5064"/>
              <a:gd name="T2" fmla="*/ 1733 w 2572"/>
              <a:gd name="T3" fmla="*/ 4918 h 5064"/>
              <a:gd name="T4" fmla="*/ 1263 w 2572"/>
              <a:gd name="T5" fmla="*/ 4726 h 5064"/>
              <a:gd name="T6" fmla="*/ 858 w 2572"/>
              <a:gd name="T7" fmla="*/ 4443 h 5064"/>
              <a:gd name="T8" fmla="*/ 507 w 2572"/>
              <a:gd name="T9" fmla="*/ 4095 h 5064"/>
              <a:gd name="T10" fmla="*/ 249 w 2572"/>
              <a:gd name="T11" fmla="*/ 3684 h 5064"/>
              <a:gd name="T12" fmla="*/ 74 w 2572"/>
              <a:gd name="T13" fmla="*/ 3218 h 5064"/>
              <a:gd name="T14" fmla="*/ 0 w 2572"/>
              <a:gd name="T15" fmla="*/ 2706 h 5064"/>
              <a:gd name="T16" fmla="*/ 19 w 2572"/>
              <a:gd name="T17" fmla="*/ 2148 h 5064"/>
              <a:gd name="T18" fmla="*/ 129 w 2572"/>
              <a:gd name="T19" fmla="*/ 1646 h 5064"/>
              <a:gd name="T20" fmla="*/ 332 w 2572"/>
              <a:gd name="T21" fmla="*/ 1189 h 5064"/>
              <a:gd name="T22" fmla="*/ 609 w 2572"/>
              <a:gd name="T23" fmla="*/ 805 h 5064"/>
              <a:gd name="T24" fmla="*/ 950 w 2572"/>
              <a:gd name="T25" fmla="*/ 476 h 5064"/>
              <a:gd name="T26" fmla="*/ 1355 w 2572"/>
              <a:gd name="T27" fmla="*/ 238 h 5064"/>
              <a:gd name="T28" fmla="*/ 1807 w 2572"/>
              <a:gd name="T29" fmla="*/ 64 h 5064"/>
              <a:gd name="T30" fmla="*/ 2305 w 2572"/>
              <a:gd name="T31" fmla="*/ 0 h 5064"/>
              <a:gd name="T32" fmla="*/ 2563 w 2572"/>
              <a:gd name="T33" fmla="*/ 265 h 5064"/>
              <a:gd name="T34" fmla="*/ 2084 w 2572"/>
              <a:gd name="T35" fmla="*/ 293 h 5064"/>
              <a:gd name="T36" fmla="*/ 1641 w 2572"/>
              <a:gd name="T37" fmla="*/ 412 h 5064"/>
              <a:gd name="T38" fmla="*/ 1236 w 2572"/>
              <a:gd name="T39" fmla="*/ 604 h 5064"/>
              <a:gd name="T40" fmla="*/ 904 w 2572"/>
              <a:gd name="T41" fmla="*/ 869 h 5064"/>
              <a:gd name="T42" fmla="*/ 609 w 2572"/>
              <a:gd name="T43" fmla="*/ 1189 h 5064"/>
              <a:gd name="T44" fmla="*/ 406 w 2572"/>
              <a:gd name="T45" fmla="*/ 1573 h 5064"/>
              <a:gd name="T46" fmla="*/ 277 w 2572"/>
              <a:gd name="T47" fmla="*/ 1993 h 5064"/>
              <a:gd name="T48" fmla="*/ 231 w 2572"/>
              <a:gd name="T49" fmla="*/ 2468 h 5064"/>
              <a:gd name="T50" fmla="*/ 277 w 2572"/>
              <a:gd name="T51" fmla="*/ 2925 h 5064"/>
              <a:gd name="T52" fmla="*/ 406 w 2572"/>
              <a:gd name="T53" fmla="*/ 3364 h 5064"/>
              <a:gd name="T54" fmla="*/ 600 w 2572"/>
              <a:gd name="T55" fmla="*/ 3766 h 5064"/>
              <a:gd name="T56" fmla="*/ 885 w 2572"/>
              <a:gd name="T57" fmla="*/ 4123 h 5064"/>
              <a:gd name="T58" fmla="*/ 1208 w 2572"/>
              <a:gd name="T59" fmla="*/ 4406 h 5064"/>
              <a:gd name="T60" fmla="*/ 1614 w 2572"/>
              <a:gd name="T61" fmla="*/ 4626 h 5064"/>
              <a:gd name="T62" fmla="*/ 2056 w 2572"/>
              <a:gd name="T63" fmla="*/ 4772 h 5064"/>
              <a:gd name="T64" fmla="*/ 2563 w 2572"/>
              <a:gd name="T65" fmla="*/ 4827 h 5064"/>
              <a:gd name="T66" fmla="*/ 2563 w 2572"/>
              <a:gd name="T67" fmla="*/ 5064 h 50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572" h="5064">
                <a:moveTo>
                  <a:pt x="2563" y="5064"/>
                </a:moveTo>
                <a:lnTo>
                  <a:pt x="2268" y="5028"/>
                </a:lnTo>
                <a:lnTo>
                  <a:pt x="1991" y="4991"/>
                </a:lnTo>
                <a:lnTo>
                  <a:pt x="1733" y="4918"/>
                </a:lnTo>
                <a:lnTo>
                  <a:pt x="1494" y="4836"/>
                </a:lnTo>
                <a:lnTo>
                  <a:pt x="1263" y="4726"/>
                </a:lnTo>
                <a:lnTo>
                  <a:pt x="1051" y="4598"/>
                </a:lnTo>
                <a:lnTo>
                  <a:pt x="858" y="4443"/>
                </a:lnTo>
                <a:lnTo>
                  <a:pt x="683" y="4287"/>
                </a:lnTo>
                <a:lnTo>
                  <a:pt x="507" y="4095"/>
                </a:lnTo>
                <a:lnTo>
                  <a:pt x="378" y="3903"/>
                </a:lnTo>
                <a:lnTo>
                  <a:pt x="249" y="3684"/>
                </a:lnTo>
                <a:lnTo>
                  <a:pt x="157" y="3474"/>
                </a:lnTo>
                <a:lnTo>
                  <a:pt x="74" y="3218"/>
                </a:lnTo>
                <a:lnTo>
                  <a:pt x="28" y="2971"/>
                </a:lnTo>
                <a:lnTo>
                  <a:pt x="0" y="2706"/>
                </a:lnTo>
                <a:lnTo>
                  <a:pt x="0" y="2432"/>
                </a:lnTo>
                <a:lnTo>
                  <a:pt x="19" y="2148"/>
                </a:lnTo>
                <a:lnTo>
                  <a:pt x="65" y="1892"/>
                </a:lnTo>
                <a:lnTo>
                  <a:pt x="129" y="1646"/>
                </a:lnTo>
                <a:lnTo>
                  <a:pt x="222" y="1408"/>
                </a:lnTo>
                <a:lnTo>
                  <a:pt x="332" y="1189"/>
                </a:lnTo>
                <a:lnTo>
                  <a:pt x="461" y="988"/>
                </a:lnTo>
                <a:lnTo>
                  <a:pt x="609" y="805"/>
                </a:lnTo>
                <a:lnTo>
                  <a:pt x="775" y="631"/>
                </a:lnTo>
                <a:lnTo>
                  <a:pt x="950" y="476"/>
                </a:lnTo>
                <a:lnTo>
                  <a:pt x="1143" y="348"/>
                </a:lnTo>
                <a:lnTo>
                  <a:pt x="1355" y="238"/>
                </a:lnTo>
                <a:lnTo>
                  <a:pt x="1577" y="147"/>
                </a:lnTo>
                <a:lnTo>
                  <a:pt x="1807" y="64"/>
                </a:lnTo>
                <a:lnTo>
                  <a:pt x="2056" y="19"/>
                </a:lnTo>
                <a:lnTo>
                  <a:pt x="2305" y="0"/>
                </a:lnTo>
                <a:lnTo>
                  <a:pt x="2572" y="0"/>
                </a:lnTo>
                <a:lnTo>
                  <a:pt x="2563" y="265"/>
                </a:lnTo>
                <a:lnTo>
                  <a:pt x="2305" y="265"/>
                </a:lnTo>
                <a:lnTo>
                  <a:pt x="2084" y="293"/>
                </a:lnTo>
                <a:lnTo>
                  <a:pt x="1844" y="339"/>
                </a:lnTo>
                <a:lnTo>
                  <a:pt x="1641" y="412"/>
                </a:lnTo>
                <a:lnTo>
                  <a:pt x="1429" y="494"/>
                </a:lnTo>
                <a:lnTo>
                  <a:pt x="1236" y="604"/>
                </a:lnTo>
                <a:lnTo>
                  <a:pt x="1051" y="722"/>
                </a:lnTo>
                <a:lnTo>
                  <a:pt x="904" y="869"/>
                </a:lnTo>
                <a:lnTo>
                  <a:pt x="747" y="1015"/>
                </a:lnTo>
                <a:lnTo>
                  <a:pt x="609" y="1189"/>
                </a:lnTo>
                <a:lnTo>
                  <a:pt x="489" y="1371"/>
                </a:lnTo>
                <a:lnTo>
                  <a:pt x="406" y="1573"/>
                </a:lnTo>
                <a:lnTo>
                  <a:pt x="323" y="1774"/>
                </a:lnTo>
                <a:lnTo>
                  <a:pt x="277" y="1993"/>
                </a:lnTo>
                <a:lnTo>
                  <a:pt x="231" y="2222"/>
                </a:lnTo>
                <a:lnTo>
                  <a:pt x="231" y="2468"/>
                </a:lnTo>
                <a:lnTo>
                  <a:pt x="240" y="2697"/>
                </a:lnTo>
                <a:lnTo>
                  <a:pt x="277" y="2925"/>
                </a:lnTo>
                <a:lnTo>
                  <a:pt x="323" y="3145"/>
                </a:lnTo>
                <a:lnTo>
                  <a:pt x="406" y="3364"/>
                </a:lnTo>
                <a:lnTo>
                  <a:pt x="489" y="3565"/>
                </a:lnTo>
                <a:lnTo>
                  <a:pt x="600" y="3766"/>
                </a:lnTo>
                <a:lnTo>
                  <a:pt x="729" y="3949"/>
                </a:lnTo>
                <a:lnTo>
                  <a:pt x="885" y="4123"/>
                </a:lnTo>
                <a:lnTo>
                  <a:pt x="1033" y="4269"/>
                </a:lnTo>
                <a:lnTo>
                  <a:pt x="1208" y="4406"/>
                </a:lnTo>
                <a:lnTo>
                  <a:pt x="1402" y="4525"/>
                </a:lnTo>
                <a:lnTo>
                  <a:pt x="1614" y="4626"/>
                </a:lnTo>
                <a:lnTo>
                  <a:pt x="1826" y="4708"/>
                </a:lnTo>
                <a:lnTo>
                  <a:pt x="2056" y="4772"/>
                </a:lnTo>
                <a:lnTo>
                  <a:pt x="2296" y="4808"/>
                </a:lnTo>
                <a:lnTo>
                  <a:pt x="2563" y="4827"/>
                </a:lnTo>
                <a:lnTo>
                  <a:pt x="2563" y="5064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2" name="Freeform 70">
            <a:extLst>
              <a:ext uri="{FF2B5EF4-FFF2-40B4-BE49-F238E27FC236}">
                <a16:creationId xmlns="" xmlns:a16="http://schemas.microsoft.com/office/drawing/2014/main" id="{00000000-0008-0000-0400-000048000000}"/>
              </a:ext>
            </a:extLst>
          </xdr:cNvPr>
          <xdr:cNvSpPr>
            <a:spLocks/>
          </xdr:cNvSpPr>
        </xdr:nvSpPr>
        <xdr:spPr bwMode="auto">
          <a:xfrm>
            <a:off x="340544" y="87084"/>
            <a:ext cx="421739" cy="127235"/>
          </a:xfrm>
          <a:custGeom>
            <a:avLst/>
            <a:gdLst>
              <a:gd name="T0" fmla="*/ 451 w 5263"/>
              <a:gd name="T1" fmla="*/ 100 h 1590"/>
              <a:gd name="T2" fmla="*/ 507 w 5263"/>
              <a:gd name="T3" fmla="*/ 91 h 1590"/>
              <a:gd name="T4" fmla="*/ 581 w 5263"/>
              <a:gd name="T5" fmla="*/ 91 h 1590"/>
              <a:gd name="T6" fmla="*/ 663 w 5263"/>
              <a:gd name="T7" fmla="*/ 100 h 1590"/>
              <a:gd name="T8" fmla="*/ 756 w 5263"/>
              <a:gd name="T9" fmla="*/ 128 h 1590"/>
              <a:gd name="T10" fmla="*/ 866 w 5263"/>
              <a:gd name="T11" fmla="*/ 164 h 1590"/>
              <a:gd name="T12" fmla="*/ 977 w 5263"/>
              <a:gd name="T13" fmla="*/ 238 h 1590"/>
              <a:gd name="T14" fmla="*/ 1161 w 5263"/>
              <a:gd name="T15" fmla="*/ 393 h 1590"/>
              <a:gd name="T16" fmla="*/ 1364 w 5263"/>
              <a:gd name="T17" fmla="*/ 503 h 1590"/>
              <a:gd name="T18" fmla="*/ 1530 w 5263"/>
              <a:gd name="T19" fmla="*/ 512 h 1590"/>
              <a:gd name="T20" fmla="*/ 1659 w 5263"/>
              <a:gd name="T21" fmla="*/ 448 h 1590"/>
              <a:gd name="T22" fmla="*/ 1770 w 5263"/>
              <a:gd name="T23" fmla="*/ 338 h 1590"/>
              <a:gd name="T24" fmla="*/ 1899 w 5263"/>
              <a:gd name="T25" fmla="*/ 201 h 1590"/>
              <a:gd name="T26" fmla="*/ 2037 w 5263"/>
              <a:gd name="T27" fmla="*/ 91 h 1590"/>
              <a:gd name="T28" fmla="*/ 2231 w 5263"/>
              <a:gd name="T29" fmla="*/ 9 h 1590"/>
              <a:gd name="T30" fmla="*/ 2424 w 5263"/>
              <a:gd name="T31" fmla="*/ 0 h 1590"/>
              <a:gd name="T32" fmla="*/ 2562 w 5263"/>
              <a:gd name="T33" fmla="*/ 36 h 1590"/>
              <a:gd name="T34" fmla="*/ 2691 w 5263"/>
              <a:gd name="T35" fmla="*/ 110 h 1590"/>
              <a:gd name="T36" fmla="*/ 2793 w 5263"/>
              <a:gd name="T37" fmla="*/ 192 h 1590"/>
              <a:gd name="T38" fmla="*/ 2903 w 5263"/>
              <a:gd name="T39" fmla="*/ 292 h 1590"/>
              <a:gd name="T40" fmla="*/ 3005 w 5263"/>
              <a:gd name="T41" fmla="*/ 375 h 1590"/>
              <a:gd name="T42" fmla="*/ 3125 w 5263"/>
              <a:gd name="T43" fmla="*/ 439 h 1590"/>
              <a:gd name="T44" fmla="*/ 3254 w 5263"/>
              <a:gd name="T45" fmla="*/ 484 h 1590"/>
              <a:gd name="T46" fmla="*/ 3410 w 5263"/>
              <a:gd name="T47" fmla="*/ 484 h 1590"/>
              <a:gd name="T48" fmla="*/ 3530 w 5263"/>
              <a:gd name="T49" fmla="*/ 439 h 1590"/>
              <a:gd name="T50" fmla="*/ 3641 w 5263"/>
              <a:gd name="T51" fmla="*/ 375 h 1590"/>
              <a:gd name="T52" fmla="*/ 3733 w 5263"/>
              <a:gd name="T53" fmla="*/ 292 h 1590"/>
              <a:gd name="T54" fmla="*/ 3825 w 5263"/>
              <a:gd name="T55" fmla="*/ 201 h 1590"/>
              <a:gd name="T56" fmla="*/ 3927 w 5263"/>
              <a:gd name="T57" fmla="*/ 119 h 1590"/>
              <a:gd name="T58" fmla="*/ 4046 w 5263"/>
              <a:gd name="T59" fmla="*/ 46 h 1590"/>
              <a:gd name="T60" fmla="*/ 4194 w 5263"/>
              <a:gd name="T61" fmla="*/ 9 h 1590"/>
              <a:gd name="T62" fmla="*/ 4341 w 5263"/>
              <a:gd name="T63" fmla="*/ 18 h 1590"/>
              <a:gd name="T64" fmla="*/ 4470 w 5263"/>
              <a:gd name="T65" fmla="*/ 64 h 1590"/>
              <a:gd name="T66" fmla="*/ 4581 w 5263"/>
              <a:gd name="T67" fmla="*/ 137 h 1590"/>
              <a:gd name="T68" fmla="*/ 4673 w 5263"/>
              <a:gd name="T69" fmla="*/ 238 h 1590"/>
              <a:gd name="T70" fmla="*/ 4756 w 5263"/>
              <a:gd name="T71" fmla="*/ 329 h 1590"/>
              <a:gd name="T72" fmla="*/ 4858 w 5263"/>
              <a:gd name="T73" fmla="*/ 420 h 1590"/>
              <a:gd name="T74" fmla="*/ 4977 w 5263"/>
              <a:gd name="T75" fmla="*/ 484 h 1590"/>
              <a:gd name="T76" fmla="*/ 5143 w 5263"/>
              <a:gd name="T77" fmla="*/ 530 h 1590"/>
              <a:gd name="T78" fmla="*/ 5263 w 5263"/>
              <a:gd name="T79" fmla="*/ 1097 h 1590"/>
              <a:gd name="T80" fmla="*/ 0 w 5263"/>
              <a:gd name="T81" fmla="*/ 1563 h 1590"/>
              <a:gd name="T82" fmla="*/ 442 w 5263"/>
              <a:gd name="T83" fmla="*/ 110 h 15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590">
                <a:moveTo>
                  <a:pt x="442" y="110"/>
                </a:moveTo>
                <a:lnTo>
                  <a:pt x="451" y="100"/>
                </a:lnTo>
                <a:lnTo>
                  <a:pt x="488" y="91"/>
                </a:lnTo>
                <a:lnTo>
                  <a:pt x="507" y="91"/>
                </a:lnTo>
                <a:lnTo>
                  <a:pt x="553" y="91"/>
                </a:lnTo>
                <a:lnTo>
                  <a:pt x="581" y="91"/>
                </a:lnTo>
                <a:lnTo>
                  <a:pt x="627" y="100"/>
                </a:lnTo>
                <a:lnTo>
                  <a:pt x="663" y="100"/>
                </a:lnTo>
                <a:lnTo>
                  <a:pt x="710" y="119"/>
                </a:lnTo>
                <a:lnTo>
                  <a:pt x="756" y="128"/>
                </a:lnTo>
                <a:lnTo>
                  <a:pt x="811" y="146"/>
                </a:lnTo>
                <a:lnTo>
                  <a:pt x="866" y="164"/>
                </a:lnTo>
                <a:lnTo>
                  <a:pt x="922" y="201"/>
                </a:lnTo>
                <a:lnTo>
                  <a:pt x="977" y="238"/>
                </a:lnTo>
                <a:lnTo>
                  <a:pt x="1032" y="292"/>
                </a:lnTo>
                <a:lnTo>
                  <a:pt x="1161" y="393"/>
                </a:lnTo>
                <a:lnTo>
                  <a:pt x="1272" y="466"/>
                </a:lnTo>
                <a:lnTo>
                  <a:pt x="1364" y="503"/>
                </a:lnTo>
                <a:lnTo>
                  <a:pt x="1456" y="530"/>
                </a:lnTo>
                <a:lnTo>
                  <a:pt x="1530" y="512"/>
                </a:lnTo>
                <a:lnTo>
                  <a:pt x="1594" y="493"/>
                </a:lnTo>
                <a:lnTo>
                  <a:pt x="1659" y="448"/>
                </a:lnTo>
                <a:lnTo>
                  <a:pt x="1724" y="402"/>
                </a:lnTo>
                <a:lnTo>
                  <a:pt x="1770" y="338"/>
                </a:lnTo>
                <a:lnTo>
                  <a:pt x="1834" y="274"/>
                </a:lnTo>
                <a:lnTo>
                  <a:pt x="1899" y="201"/>
                </a:lnTo>
                <a:lnTo>
                  <a:pt x="1972" y="146"/>
                </a:lnTo>
                <a:lnTo>
                  <a:pt x="2037" y="91"/>
                </a:lnTo>
                <a:lnTo>
                  <a:pt x="2129" y="46"/>
                </a:lnTo>
                <a:lnTo>
                  <a:pt x="2231" y="9"/>
                </a:lnTo>
                <a:lnTo>
                  <a:pt x="2341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6"/>
                </a:lnTo>
                <a:lnTo>
                  <a:pt x="2636" y="73"/>
                </a:lnTo>
                <a:lnTo>
                  <a:pt x="2691" y="110"/>
                </a:lnTo>
                <a:lnTo>
                  <a:pt x="2747" y="146"/>
                </a:lnTo>
                <a:lnTo>
                  <a:pt x="2793" y="192"/>
                </a:lnTo>
                <a:lnTo>
                  <a:pt x="2857" y="247"/>
                </a:lnTo>
                <a:lnTo>
                  <a:pt x="2903" y="292"/>
                </a:lnTo>
                <a:lnTo>
                  <a:pt x="2950" y="329"/>
                </a:lnTo>
                <a:lnTo>
                  <a:pt x="3005" y="375"/>
                </a:lnTo>
                <a:lnTo>
                  <a:pt x="3060" y="420"/>
                </a:lnTo>
                <a:lnTo>
                  <a:pt x="3125" y="439"/>
                </a:lnTo>
                <a:lnTo>
                  <a:pt x="3189" y="466"/>
                </a:lnTo>
                <a:lnTo>
                  <a:pt x="3254" y="484"/>
                </a:lnTo>
                <a:lnTo>
                  <a:pt x="3337" y="493"/>
                </a:lnTo>
                <a:lnTo>
                  <a:pt x="3410" y="484"/>
                </a:lnTo>
                <a:lnTo>
                  <a:pt x="3466" y="466"/>
                </a:lnTo>
                <a:lnTo>
                  <a:pt x="3530" y="439"/>
                </a:lnTo>
                <a:lnTo>
                  <a:pt x="3586" y="411"/>
                </a:lnTo>
                <a:lnTo>
                  <a:pt x="3641" y="375"/>
                </a:lnTo>
                <a:lnTo>
                  <a:pt x="3687" y="329"/>
                </a:lnTo>
                <a:lnTo>
                  <a:pt x="3733" y="292"/>
                </a:lnTo>
                <a:lnTo>
                  <a:pt x="3788" y="247"/>
                </a:lnTo>
                <a:lnTo>
                  <a:pt x="3825" y="201"/>
                </a:lnTo>
                <a:lnTo>
                  <a:pt x="3881" y="155"/>
                </a:lnTo>
                <a:lnTo>
                  <a:pt x="3927" y="119"/>
                </a:lnTo>
                <a:lnTo>
                  <a:pt x="3991" y="82"/>
                </a:lnTo>
                <a:lnTo>
                  <a:pt x="4046" y="46"/>
                </a:lnTo>
                <a:lnTo>
                  <a:pt x="4111" y="27"/>
                </a:lnTo>
                <a:lnTo>
                  <a:pt x="4194" y="9"/>
                </a:lnTo>
                <a:lnTo>
                  <a:pt x="4277" y="18"/>
                </a:lnTo>
                <a:lnTo>
                  <a:pt x="4341" y="18"/>
                </a:lnTo>
                <a:lnTo>
                  <a:pt x="4415" y="36"/>
                </a:lnTo>
                <a:lnTo>
                  <a:pt x="4470" y="64"/>
                </a:lnTo>
                <a:lnTo>
                  <a:pt x="4535" y="100"/>
                </a:lnTo>
                <a:lnTo>
                  <a:pt x="4581" y="137"/>
                </a:lnTo>
                <a:lnTo>
                  <a:pt x="4627" y="183"/>
                </a:lnTo>
                <a:lnTo>
                  <a:pt x="4673" y="238"/>
                </a:lnTo>
                <a:lnTo>
                  <a:pt x="4719" y="292"/>
                </a:lnTo>
                <a:lnTo>
                  <a:pt x="4756" y="329"/>
                </a:lnTo>
                <a:lnTo>
                  <a:pt x="4812" y="375"/>
                </a:lnTo>
                <a:lnTo>
                  <a:pt x="4858" y="420"/>
                </a:lnTo>
                <a:lnTo>
                  <a:pt x="4922" y="466"/>
                </a:lnTo>
                <a:lnTo>
                  <a:pt x="4977" y="484"/>
                </a:lnTo>
                <a:lnTo>
                  <a:pt x="5060" y="512"/>
                </a:lnTo>
                <a:lnTo>
                  <a:pt x="5143" y="530"/>
                </a:lnTo>
                <a:lnTo>
                  <a:pt x="5254" y="530"/>
                </a:lnTo>
                <a:lnTo>
                  <a:pt x="5263" y="1097"/>
                </a:lnTo>
                <a:lnTo>
                  <a:pt x="3106" y="1590"/>
                </a:lnTo>
                <a:lnTo>
                  <a:pt x="0" y="1563"/>
                </a:lnTo>
                <a:lnTo>
                  <a:pt x="46" y="311"/>
                </a:lnTo>
                <a:lnTo>
                  <a:pt x="442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3" name="Freeform 71">
            <a:extLst>
              <a:ext uri="{FF2B5EF4-FFF2-40B4-BE49-F238E27FC236}">
                <a16:creationId xmlns="" xmlns:a16="http://schemas.microsoft.com/office/drawing/2014/main" id="{00000000-0008-0000-0400-000049000000}"/>
              </a:ext>
            </a:extLst>
          </xdr:cNvPr>
          <xdr:cNvSpPr>
            <a:spLocks/>
          </xdr:cNvSpPr>
        </xdr:nvSpPr>
        <xdr:spPr bwMode="auto">
          <a:xfrm>
            <a:off x="340544" y="98088"/>
            <a:ext cx="422453" cy="112662"/>
          </a:xfrm>
          <a:custGeom>
            <a:avLst/>
            <a:gdLst>
              <a:gd name="T0" fmla="*/ 451 w 5272"/>
              <a:gd name="T1" fmla="*/ 91 h 1408"/>
              <a:gd name="T2" fmla="*/ 507 w 5272"/>
              <a:gd name="T3" fmla="*/ 82 h 1408"/>
              <a:gd name="T4" fmla="*/ 590 w 5272"/>
              <a:gd name="T5" fmla="*/ 82 h 1408"/>
              <a:gd name="T6" fmla="*/ 673 w 5272"/>
              <a:gd name="T7" fmla="*/ 91 h 1408"/>
              <a:gd name="T8" fmla="*/ 765 w 5272"/>
              <a:gd name="T9" fmla="*/ 110 h 1408"/>
              <a:gd name="T10" fmla="*/ 866 w 5272"/>
              <a:gd name="T11" fmla="*/ 155 h 1408"/>
              <a:gd name="T12" fmla="*/ 977 w 5272"/>
              <a:gd name="T13" fmla="*/ 219 h 1408"/>
              <a:gd name="T14" fmla="*/ 1161 w 5272"/>
              <a:gd name="T15" fmla="*/ 347 h 1408"/>
              <a:gd name="T16" fmla="*/ 1364 w 5272"/>
              <a:gd name="T17" fmla="*/ 457 h 1408"/>
              <a:gd name="T18" fmla="*/ 1530 w 5272"/>
              <a:gd name="T19" fmla="*/ 457 h 1408"/>
              <a:gd name="T20" fmla="*/ 1659 w 5272"/>
              <a:gd name="T21" fmla="*/ 402 h 1408"/>
              <a:gd name="T22" fmla="*/ 1770 w 5272"/>
              <a:gd name="T23" fmla="*/ 302 h 1408"/>
              <a:gd name="T24" fmla="*/ 1899 w 5272"/>
              <a:gd name="T25" fmla="*/ 192 h 1408"/>
              <a:gd name="T26" fmla="*/ 2037 w 5272"/>
              <a:gd name="T27" fmla="*/ 82 h 1408"/>
              <a:gd name="T28" fmla="*/ 2231 w 5272"/>
              <a:gd name="T29" fmla="*/ 18 h 1408"/>
              <a:gd name="T30" fmla="*/ 2424 w 5272"/>
              <a:gd name="T31" fmla="*/ 0 h 1408"/>
              <a:gd name="T32" fmla="*/ 2562 w 5272"/>
              <a:gd name="T33" fmla="*/ 37 h 1408"/>
              <a:gd name="T34" fmla="*/ 2691 w 5272"/>
              <a:gd name="T35" fmla="*/ 101 h 1408"/>
              <a:gd name="T36" fmla="*/ 2793 w 5272"/>
              <a:gd name="T37" fmla="*/ 174 h 1408"/>
              <a:gd name="T38" fmla="*/ 2903 w 5272"/>
              <a:gd name="T39" fmla="*/ 265 h 1408"/>
              <a:gd name="T40" fmla="*/ 3005 w 5272"/>
              <a:gd name="T41" fmla="*/ 329 h 1408"/>
              <a:gd name="T42" fmla="*/ 3125 w 5272"/>
              <a:gd name="T43" fmla="*/ 393 h 1408"/>
              <a:gd name="T44" fmla="*/ 3254 w 5272"/>
              <a:gd name="T45" fmla="*/ 439 h 1408"/>
              <a:gd name="T46" fmla="*/ 3410 w 5272"/>
              <a:gd name="T47" fmla="*/ 430 h 1408"/>
              <a:gd name="T48" fmla="*/ 3530 w 5272"/>
              <a:gd name="T49" fmla="*/ 393 h 1408"/>
              <a:gd name="T50" fmla="*/ 3641 w 5272"/>
              <a:gd name="T51" fmla="*/ 329 h 1408"/>
              <a:gd name="T52" fmla="*/ 3733 w 5272"/>
              <a:gd name="T53" fmla="*/ 256 h 1408"/>
              <a:gd name="T54" fmla="*/ 3834 w 5272"/>
              <a:gd name="T55" fmla="*/ 183 h 1408"/>
              <a:gd name="T56" fmla="*/ 3936 w 5272"/>
              <a:gd name="T57" fmla="*/ 110 h 1408"/>
              <a:gd name="T58" fmla="*/ 4056 w 5272"/>
              <a:gd name="T59" fmla="*/ 46 h 1408"/>
              <a:gd name="T60" fmla="*/ 4194 w 5272"/>
              <a:gd name="T61" fmla="*/ 18 h 1408"/>
              <a:gd name="T62" fmla="*/ 4351 w 5272"/>
              <a:gd name="T63" fmla="*/ 18 h 1408"/>
              <a:gd name="T64" fmla="*/ 4480 w 5272"/>
              <a:gd name="T65" fmla="*/ 55 h 1408"/>
              <a:gd name="T66" fmla="*/ 4581 w 5272"/>
              <a:gd name="T67" fmla="*/ 128 h 1408"/>
              <a:gd name="T68" fmla="*/ 4682 w 5272"/>
              <a:gd name="T69" fmla="*/ 210 h 1408"/>
              <a:gd name="T70" fmla="*/ 4765 w 5272"/>
              <a:gd name="T71" fmla="*/ 302 h 1408"/>
              <a:gd name="T72" fmla="*/ 4867 w 5272"/>
              <a:gd name="T73" fmla="*/ 375 h 1408"/>
              <a:gd name="T74" fmla="*/ 4987 w 5272"/>
              <a:gd name="T75" fmla="*/ 439 h 1408"/>
              <a:gd name="T76" fmla="*/ 5153 w 5272"/>
              <a:gd name="T77" fmla="*/ 475 h 1408"/>
              <a:gd name="T78" fmla="*/ 5272 w 5272"/>
              <a:gd name="T79" fmla="*/ 978 h 1408"/>
              <a:gd name="T80" fmla="*/ 0 w 5272"/>
              <a:gd name="T81" fmla="*/ 1389 h 1408"/>
              <a:gd name="T82" fmla="*/ 442 w 5272"/>
              <a:gd name="T83" fmla="*/ 101 h 14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2" h="1408">
                <a:moveTo>
                  <a:pt x="442" y="101"/>
                </a:moveTo>
                <a:lnTo>
                  <a:pt x="451" y="91"/>
                </a:lnTo>
                <a:lnTo>
                  <a:pt x="488" y="82"/>
                </a:lnTo>
                <a:lnTo>
                  <a:pt x="507" y="82"/>
                </a:lnTo>
                <a:lnTo>
                  <a:pt x="553" y="82"/>
                </a:lnTo>
                <a:lnTo>
                  <a:pt x="590" y="82"/>
                </a:lnTo>
                <a:lnTo>
                  <a:pt x="636" y="91"/>
                </a:lnTo>
                <a:lnTo>
                  <a:pt x="673" y="91"/>
                </a:lnTo>
                <a:lnTo>
                  <a:pt x="719" y="101"/>
                </a:lnTo>
                <a:lnTo>
                  <a:pt x="765" y="110"/>
                </a:lnTo>
                <a:lnTo>
                  <a:pt x="820" y="128"/>
                </a:lnTo>
                <a:lnTo>
                  <a:pt x="866" y="155"/>
                </a:lnTo>
                <a:lnTo>
                  <a:pt x="922" y="183"/>
                </a:lnTo>
                <a:lnTo>
                  <a:pt x="977" y="219"/>
                </a:lnTo>
                <a:lnTo>
                  <a:pt x="1032" y="265"/>
                </a:lnTo>
                <a:lnTo>
                  <a:pt x="1161" y="347"/>
                </a:lnTo>
                <a:lnTo>
                  <a:pt x="1272" y="411"/>
                </a:lnTo>
                <a:lnTo>
                  <a:pt x="1364" y="457"/>
                </a:lnTo>
                <a:lnTo>
                  <a:pt x="1456" y="475"/>
                </a:lnTo>
                <a:lnTo>
                  <a:pt x="1530" y="457"/>
                </a:lnTo>
                <a:lnTo>
                  <a:pt x="1594" y="439"/>
                </a:lnTo>
                <a:lnTo>
                  <a:pt x="1659" y="402"/>
                </a:lnTo>
                <a:lnTo>
                  <a:pt x="1724" y="366"/>
                </a:lnTo>
                <a:lnTo>
                  <a:pt x="1770" y="302"/>
                </a:lnTo>
                <a:lnTo>
                  <a:pt x="1834" y="247"/>
                </a:lnTo>
                <a:lnTo>
                  <a:pt x="1899" y="192"/>
                </a:lnTo>
                <a:lnTo>
                  <a:pt x="1972" y="137"/>
                </a:lnTo>
                <a:lnTo>
                  <a:pt x="2037" y="82"/>
                </a:lnTo>
                <a:lnTo>
                  <a:pt x="2129" y="46"/>
                </a:lnTo>
                <a:lnTo>
                  <a:pt x="2231" y="18"/>
                </a:lnTo>
                <a:lnTo>
                  <a:pt x="2350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7"/>
                </a:lnTo>
                <a:lnTo>
                  <a:pt x="2636" y="64"/>
                </a:lnTo>
                <a:lnTo>
                  <a:pt x="2691" y="101"/>
                </a:lnTo>
                <a:lnTo>
                  <a:pt x="2747" y="137"/>
                </a:lnTo>
                <a:lnTo>
                  <a:pt x="2793" y="174"/>
                </a:lnTo>
                <a:lnTo>
                  <a:pt x="2857" y="219"/>
                </a:lnTo>
                <a:lnTo>
                  <a:pt x="2903" y="265"/>
                </a:lnTo>
                <a:lnTo>
                  <a:pt x="2950" y="302"/>
                </a:lnTo>
                <a:lnTo>
                  <a:pt x="3005" y="329"/>
                </a:lnTo>
                <a:lnTo>
                  <a:pt x="3060" y="366"/>
                </a:lnTo>
                <a:lnTo>
                  <a:pt x="3125" y="393"/>
                </a:lnTo>
                <a:lnTo>
                  <a:pt x="3189" y="420"/>
                </a:lnTo>
                <a:lnTo>
                  <a:pt x="3254" y="439"/>
                </a:lnTo>
                <a:lnTo>
                  <a:pt x="3337" y="439"/>
                </a:lnTo>
                <a:lnTo>
                  <a:pt x="3410" y="430"/>
                </a:lnTo>
                <a:lnTo>
                  <a:pt x="3466" y="411"/>
                </a:lnTo>
                <a:lnTo>
                  <a:pt x="3530" y="393"/>
                </a:lnTo>
                <a:lnTo>
                  <a:pt x="3595" y="366"/>
                </a:lnTo>
                <a:lnTo>
                  <a:pt x="3641" y="329"/>
                </a:lnTo>
                <a:lnTo>
                  <a:pt x="3687" y="292"/>
                </a:lnTo>
                <a:lnTo>
                  <a:pt x="3733" y="256"/>
                </a:lnTo>
                <a:lnTo>
                  <a:pt x="3788" y="219"/>
                </a:lnTo>
                <a:lnTo>
                  <a:pt x="3834" y="183"/>
                </a:lnTo>
                <a:lnTo>
                  <a:pt x="3881" y="146"/>
                </a:lnTo>
                <a:lnTo>
                  <a:pt x="3936" y="110"/>
                </a:lnTo>
                <a:lnTo>
                  <a:pt x="3991" y="82"/>
                </a:lnTo>
                <a:lnTo>
                  <a:pt x="4056" y="46"/>
                </a:lnTo>
                <a:lnTo>
                  <a:pt x="4120" y="27"/>
                </a:lnTo>
                <a:lnTo>
                  <a:pt x="4194" y="18"/>
                </a:lnTo>
                <a:lnTo>
                  <a:pt x="4277" y="18"/>
                </a:lnTo>
                <a:lnTo>
                  <a:pt x="4351" y="18"/>
                </a:lnTo>
                <a:lnTo>
                  <a:pt x="4424" y="37"/>
                </a:lnTo>
                <a:lnTo>
                  <a:pt x="4480" y="55"/>
                </a:lnTo>
                <a:lnTo>
                  <a:pt x="4535" y="91"/>
                </a:lnTo>
                <a:lnTo>
                  <a:pt x="4581" y="128"/>
                </a:lnTo>
                <a:lnTo>
                  <a:pt x="4636" y="174"/>
                </a:lnTo>
                <a:lnTo>
                  <a:pt x="4682" y="210"/>
                </a:lnTo>
                <a:lnTo>
                  <a:pt x="4729" y="265"/>
                </a:lnTo>
                <a:lnTo>
                  <a:pt x="4765" y="302"/>
                </a:lnTo>
                <a:lnTo>
                  <a:pt x="4821" y="347"/>
                </a:lnTo>
                <a:lnTo>
                  <a:pt x="4867" y="375"/>
                </a:lnTo>
                <a:lnTo>
                  <a:pt x="4931" y="411"/>
                </a:lnTo>
                <a:lnTo>
                  <a:pt x="4987" y="439"/>
                </a:lnTo>
                <a:lnTo>
                  <a:pt x="5070" y="466"/>
                </a:lnTo>
                <a:lnTo>
                  <a:pt x="5153" y="475"/>
                </a:lnTo>
                <a:lnTo>
                  <a:pt x="5254" y="475"/>
                </a:lnTo>
                <a:lnTo>
                  <a:pt x="5272" y="978"/>
                </a:lnTo>
                <a:lnTo>
                  <a:pt x="3115" y="1408"/>
                </a:lnTo>
                <a:lnTo>
                  <a:pt x="0" y="1389"/>
                </a:lnTo>
                <a:lnTo>
                  <a:pt x="46" y="283"/>
                </a:lnTo>
                <a:lnTo>
                  <a:pt x="442" y="101"/>
                </a:lnTo>
                <a:close/>
              </a:path>
            </a:pathLst>
          </a:custGeom>
          <a:solidFill>
            <a:srgbClr val="FFCC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4" name="Freeform 72">
            <a:extLst>
              <a:ext uri="{FF2B5EF4-FFF2-40B4-BE49-F238E27FC236}">
                <a16:creationId xmlns="" xmlns:a16="http://schemas.microsoft.com/office/drawing/2014/main" id="{00000000-0008-0000-0400-00004A000000}"/>
              </a:ext>
            </a:extLst>
          </xdr:cNvPr>
          <xdr:cNvSpPr>
            <a:spLocks/>
          </xdr:cNvSpPr>
        </xdr:nvSpPr>
        <xdr:spPr bwMode="auto">
          <a:xfrm>
            <a:off x="342685" y="107011"/>
            <a:ext cx="421679" cy="98088"/>
          </a:xfrm>
          <a:custGeom>
            <a:avLst/>
            <a:gdLst>
              <a:gd name="T0" fmla="*/ 452 w 5263"/>
              <a:gd name="T1" fmla="*/ 83 h 1225"/>
              <a:gd name="T2" fmla="*/ 507 w 5263"/>
              <a:gd name="T3" fmla="*/ 73 h 1225"/>
              <a:gd name="T4" fmla="*/ 581 w 5263"/>
              <a:gd name="T5" fmla="*/ 73 h 1225"/>
              <a:gd name="T6" fmla="*/ 664 w 5263"/>
              <a:gd name="T7" fmla="*/ 73 h 1225"/>
              <a:gd name="T8" fmla="*/ 756 w 5263"/>
              <a:gd name="T9" fmla="*/ 92 h 1225"/>
              <a:gd name="T10" fmla="*/ 866 w 5263"/>
              <a:gd name="T11" fmla="*/ 128 h 1225"/>
              <a:gd name="T12" fmla="*/ 977 w 5263"/>
              <a:gd name="T13" fmla="*/ 183 h 1225"/>
              <a:gd name="T14" fmla="*/ 1152 w 5263"/>
              <a:gd name="T15" fmla="*/ 293 h 1225"/>
              <a:gd name="T16" fmla="*/ 1364 w 5263"/>
              <a:gd name="T17" fmla="*/ 384 h 1225"/>
              <a:gd name="T18" fmla="*/ 1521 w 5263"/>
              <a:gd name="T19" fmla="*/ 393 h 1225"/>
              <a:gd name="T20" fmla="*/ 1650 w 5263"/>
              <a:gd name="T21" fmla="*/ 338 h 1225"/>
              <a:gd name="T22" fmla="*/ 1770 w 5263"/>
              <a:gd name="T23" fmla="*/ 256 h 1225"/>
              <a:gd name="T24" fmla="*/ 1890 w 5263"/>
              <a:gd name="T25" fmla="*/ 156 h 1225"/>
              <a:gd name="T26" fmla="*/ 2037 w 5263"/>
              <a:gd name="T27" fmla="*/ 64 h 1225"/>
              <a:gd name="T28" fmla="*/ 2222 w 5263"/>
              <a:gd name="T29" fmla="*/ 9 h 1225"/>
              <a:gd name="T30" fmla="*/ 2415 w 5263"/>
              <a:gd name="T31" fmla="*/ 0 h 1225"/>
              <a:gd name="T32" fmla="*/ 2563 w 5263"/>
              <a:gd name="T33" fmla="*/ 28 h 1225"/>
              <a:gd name="T34" fmla="*/ 2682 w 5263"/>
              <a:gd name="T35" fmla="*/ 83 h 1225"/>
              <a:gd name="T36" fmla="*/ 2793 w 5263"/>
              <a:gd name="T37" fmla="*/ 156 h 1225"/>
              <a:gd name="T38" fmla="*/ 2894 w 5263"/>
              <a:gd name="T39" fmla="*/ 220 h 1225"/>
              <a:gd name="T40" fmla="*/ 3005 w 5263"/>
              <a:gd name="T41" fmla="*/ 293 h 1225"/>
              <a:gd name="T42" fmla="*/ 3116 w 5263"/>
              <a:gd name="T43" fmla="*/ 338 h 1225"/>
              <a:gd name="T44" fmla="*/ 3245 w 5263"/>
              <a:gd name="T45" fmla="*/ 375 h 1225"/>
              <a:gd name="T46" fmla="*/ 3401 w 5263"/>
              <a:gd name="T47" fmla="*/ 375 h 1225"/>
              <a:gd name="T48" fmla="*/ 3530 w 5263"/>
              <a:gd name="T49" fmla="*/ 338 h 1225"/>
              <a:gd name="T50" fmla="*/ 3632 w 5263"/>
              <a:gd name="T51" fmla="*/ 293 h 1225"/>
              <a:gd name="T52" fmla="*/ 3733 w 5263"/>
              <a:gd name="T53" fmla="*/ 220 h 1225"/>
              <a:gd name="T54" fmla="*/ 3825 w 5263"/>
              <a:gd name="T55" fmla="*/ 156 h 1225"/>
              <a:gd name="T56" fmla="*/ 3927 w 5263"/>
              <a:gd name="T57" fmla="*/ 92 h 1225"/>
              <a:gd name="T58" fmla="*/ 4047 w 5263"/>
              <a:gd name="T59" fmla="*/ 37 h 1225"/>
              <a:gd name="T60" fmla="*/ 4185 w 5263"/>
              <a:gd name="T61" fmla="*/ 9 h 1225"/>
              <a:gd name="T62" fmla="*/ 4342 w 5263"/>
              <a:gd name="T63" fmla="*/ 19 h 1225"/>
              <a:gd name="T64" fmla="*/ 4471 w 5263"/>
              <a:gd name="T65" fmla="*/ 46 h 1225"/>
              <a:gd name="T66" fmla="*/ 4572 w 5263"/>
              <a:gd name="T67" fmla="*/ 110 h 1225"/>
              <a:gd name="T68" fmla="*/ 4673 w 5263"/>
              <a:gd name="T69" fmla="*/ 183 h 1225"/>
              <a:gd name="T70" fmla="*/ 4756 w 5263"/>
              <a:gd name="T71" fmla="*/ 256 h 1225"/>
              <a:gd name="T72" fmla="*/ 4858 w 5263"/>
              <a:gd name="T73" fmla="*/ 329 h 1225"/>
              <a:gd name="T74" fmla="*/ 4978 w 5263"/>
              <a:gd name="T75" fmla="*/ 375 h 1225"/>
              <a:gd name="T76" fmla="*/ 5144 w 5263"/>
              <a:gd name="T77" fmla="*/ 402 h 1225"/>
              <a:gd name="T78" fmla="*/ 5263 w 5263"/>
              <a:gd name="T79" fmla="*/ 841 h 1225"/>
              <a:gd name="T80" fmla="*/ 0 w 5263"/>
              <a:gd name="T81" fmla="*/ 1198 h 1225"/>
              <a:gd name="T82" fmla="*/ 442 w 5263"/>
              <a:gd name="T83" fmla="*/ 92 h 12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225">
                <a:moveTo>
                  <a:pt x="442" y="92"/>
                </a:moveTo>
                <a:lnTo>
                  <a:pt x="452" y="83"/>
                </a:lnTo>
                <a:lnTo>
                  <a:pt x="489" y="73"/>
                </a:lnTo>
                <a:lnTo>
                  <a:pt x="507" y="73"/>
                </a:lnTo>
                <a:lnTo>
                  <a:pt x="544" y="73"/>
                </a:lnTo>
                <a:lnTo>
                  <a:pt x="581" y="73"/>
                </a:lnTo>
                <a:lnTo>
                  <a:pt x="627" y="73"/>
                </a:lnTo>
                <a:lnTo>
                  <a:pt x="664" y="73"/>
                </a:lnTo>
                <a:lnTo>
                  <a:pt x="710" y="83"/>
                </a:lnTo>
                <a:lnTo>
                  <a:pt x="756" y="92"/>
                </a:lnTo>
                <a:lnTo>
                  <a:pt x="811" y="119"/>
                </a:lnTo>
                <a:lnTo>
                  <a:pt x="866" y="128"/>
                </a:lnTo>
                <a:lnTo>
                  <a:pt x="913" y="156"/>
                </a:lnTo>
                <a:lnTo>
                  <a:pt x="977" y="183"/>
                </a:lnTo>
                <a:lnTo>
                  <a:pt x="1032" y="220"/>
                </a:lnTo>
                <a:lnTo>
                  <a:pt x="1152" y="293"/>
                </a:lnTo>
                <a:lnTo>
                  <a:pt x="1263" y="357"/>
                </a:lnTo>
                <a:lnTo>
                  <a:pt x="1364" y="384"/>
                </a:lnTo>
                <a:lnTo>
                  <a:pt x="1447" y="393"/>
                </a:lnTo>
                <a:lnTo>
                  <a:pt x="1521" y="393"/>
                </a:lnTo>
                <a:lnTo>
                  <a:pt x="1585" y="375"/>
                </a:lnTo>
                <a:lnTo>
                  <a:pt x="1650" y="338"/>
                </a:lnTo>
                <a:lnTo>
                  <a:pt x="1715" y="311"/>
                </a:lnTo>
                <a:lnTo>
                  <a:pt x="1770" y="256"/>
                </a:lnTo>
                <a:lnTo>
                  <a:pt x="1825" y="210"/>
                </a:lnTo>
                <a:lnTo>
                  <a:pt x="1890" y="156"/>
                </a:lnTo>
                <a:lnTo>
                  <a:pt x="1963" y="119"/>
                </a:lnTo>
                <a:lnTo>
                  <a:pt x="2037" y="64"/>
                </a:lnTo>
                <a:lnTo>
                  <a:pt x="2129" y="28"/>
                </a:lnTo>
                <a:lnTo>
                  <a:pt x="2222" y="9"/>
                </a:lnTo>
                <a:lnTo>
                  <a:pt x="2341" y="9"/>
                </a:lnTo>
                <a:lnTo>
                  <a:pt x="2415" y="0"/>
                </a:lnTo>
                <a:lnTo>
                  <a:pt x="2498" y="9"/>
                </a:lnTo>
                <a:lnTo>
                  <a:pt x="2563" y="28"/>
                </a:lnTo>
                <a:lnTo>
                  <a:pt x="2636" y="55"/>
                </a:lnTo>
                <a:lnTo>
                  <a:pt x="2682" y="83"/>
                </a:lnTo>
                <a:lnTo>
                  <a:pt x="2738" y="119"/>
                </a:lnTo>
                <a:lnTo>
                  <a:pt x="2793" y="156"/>
                </a:lnTo>
                <a:lnTo>
                  <a:pt x="2848" y="192"/>
                </a:lnTo>
                <a:lnTo>
                  <a:pt x="2894" y="220"/>
                </a:lnTo>
                <a:lnTo>
                  <a:pt x="2950" y="256"/>
                </a:lnTo>
                <a:lnTo>
                  <a:pt x="3005" y="293"/>
                </a:lnTo>
                <a:lnTo>
                  <a:pt x="3060" y="320"/>
                </a:lnTo>
                <a:lnTo>
                  <a:pt x="3116" y="338"/>
                </a:lnTo>
                <a:lnTo>
                  <a:pt x="3180" y="366"/>
                </a:lnTo>
                <a:lnTo>
                  <a:pt x="3245" y="375"/>
                </a:lnTo>
                <a:lnTo>
                  <a:pt x="3328" y="384"/>
                </a:lnTo>
                <a:lnTo>
                  <a:pt x="3401" y="375"/>
                </a:lnTo>
                <a:lnTo>
                  <a:pt x="3466" y="357"/>
                </a:lnTo>
                <a:lnTo>
                  <a:pt x="3530" y="338"/>
                </a:lnTo>
                <a:lnTo>
                  <a:pt x="3586" y="320"/>
                </a:lnTo>
                <a:lnTo>
                  <a:pt x="3632" y="293"/>
                </a:lnTo>
                <a:lnTo>
                  <a:pt x="3687" y="256"/>
                </a:lnTo>
                <a:lnTo>
                  <a:pt x="3733" y="220"/>
                </a:lnTo>
                <a:lnTo>
                  <a:pt x="3789" y="192"/>
                </a:lnTo>
                <a:lnTo>
                  <a:pt x="3825" y="156"/>
                </a:lnTo>
                <a:lnTo>
                  <a:pt x="3872" y="119"/>
                </a:lnTo>
                <a:lnTo>
                  <a:pt x="3927" y="92"/>
                </a:lnTo>
                <a:lnTo>
                  <a:pt x="3982" y="64"/>
                </a:lnTo>
                <a:lnTo>
                  <a:pt x="4047" y="37"/>
                </a:lnTo>
                <a:lnTo>
                  <a:pt x="4111" y="28"/>
                </a:lnTo>
                <a:lnTo>
                  <a:pt x="4185" y="9"/>
                </a:lnTo>
                <a:lnTo>
                  <a:pt x="4268" y="19"/>
                </a:lnTo>
                <a:lnTo>
                  <a:pt x="4342" y="19"/>
                </a:lnTo>
                <a:lnTo>
                  <a:pt x="4415" y="28"/>
                </a:lnTo>
                <a:lnTo>
                  <a:pt x="4471" y="46"/>
                </a:lnTo>
                <a:lnTo>
                  <a:pt x="4526" y="83"/>
                </a:lnTo>
                <a:lnTo>
                  <a:pt x="4572" y="110"/>
                </a:lnTo>
                <a:lnTo>
                  <a:pt x="4627" y="146"/>
                </a:lnTo>
                <a:lnTo>
                  <a:pt x="4673" y="183"/>
                </a:lnTo>
                <a:lnTo>
                  <a:pt x="4720" y="220"/>
                </a:lnTo>
                <a:lnTo>
                  <a:pt x="4756" y="256"/>
                </a:lnTo>
                <a:lnTo>
                  <a:pt x="4812" y="293"/>
                </a:lnTo>
                <a:lnTo>
                  <a:pt x="4858" y="329"/>
                </a:lnTo>
                <a:lnTo>
                  <a:pt x="4922" y="357"/>
                </a:lnTo>
                <a:lnTo>
                  <a:pt x="4978" y="375"/>
                </a:lnTo>
                <a:lnTo>
                  <a:pt x="5061" y="393"/>
                </a:lnTo>
                <a:lnTo>
                  <a:pt x="5144" y="402"/>
                </a:lnTo>
                <a:lnTo>
                  <a:pt x="5245" y="412"/>
                </a:lnTo>
                <a:lnTo>
                  <a:pt x="5263" y="841"/>
                </a:lnTo>
                <a:lnTo>
                  <a:pt x="3106" y="1225"/>
                </a:lnTo>
                <a:lnTo>
                  <a:pt x="0" y="1198"/>
                </a:lnTo>
                <a:lnTo>
                  <a:pt x="46" y="247"/>
                </a:lnTo>
                <a:lnTo>
                  <a:pt x="442" y="92"/>
                </a:lnTo>
                <a:close/>
              </a:path>
            </a:pathLst>
          </a:custGeom>
          <a:solidFill>
            <a:srgbClr val="DBE8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5" name="Freeform 73">
            <a:extLst>
              <a:ext uri="{FF2B5EF4-FFF2-40B4-BE49-F238E27FC236}">
                <a16:creationId xmlns="" xmlns:a16="http://schemas.microsoft.com/office/drawing/2014/main" id="{00000000-0008-0000-0400-00004B000000}"/>
              </a:ext>
            </a:extLst>
          </xdr:cNvPr>
          <xdr:cNvSpPr>
            <a:spLocks/>
          </xdr:cNvSpPr>
        </xdr:nvSpPr>
        <xdr:spPr bwMode="auto">
          <a:xfrm>
            <a:off x="345838" y="123844"/>
            <a:ext cx="422512" cy="83396"/>
          </a:xfrm>
          <a:custGeom>
            <a:avLst/>
            <a:gdLst>
              <a:gd name="T0" fmla="*/ 452 w 5273"/>
              <a:gd name="T1" fmla="*/ 73 h 1042"/>
              <a:gd name="T2" fmla="*/ 507 w 5273"/>
              <a:gd name="T3" fmla="*/ 64 h 1042"/>
              <a:gd name="T4" fmla="*/ 590 w 5273"/>
              <a:gd name="T5" fmla="*/ 64 h 1042"/>
              <a:gd name="T6" fmla="*/ 673 w 5273"/>
              <a:gd name="T7" fmla="*/ 73 h 1042"/>
              <a:gd name="T8" fmla="*/ 765 w 5273"/>
              <a:gd name="T9" fmla="*/ 83 h 1042"/>
              <a:gd name="T10" fmla="*/ 866 w 5273"/>
              <a:gd name="T11" fmla="*/ 119 h 1042"/>
              <a:gd name="T12" fmla="*/ 977 w 5273"/>
              <a:gd name="T13" fmla="*/ 156 h 1042"/>
              <a:gd name="T14" fmla="*/ 1152 w 5273"/>
              <a:gd name="T15" fmla="*/ 256 h 1042"/>
              <a:gd name="T16" fmla="*/ 1364 w 5273"/>
              <a:gd name="T17" fmla="*/ 329 h 1042"/>
              <a:gd name="T18" fmla="*/ 1521 w 5273"/>
              <a:gd name="T19" fmla="*/ 339 h 1042"/>
              <a:gd name="T20" fmla="*/ 1650 w 5273"/>
              <a:gd name="T21" fmla="*/ 302 h 1042"/>
              <a:gd name="T22" fmla="*/ 1770 w 5273"/>
              <a:gd name="T23" fmla="*/ 220 h 1042"/>
              <a:gd name="T24" fmla="*/ 1899 w 5273"/>
              <a:gd name="T25" fmla="*/ 137 h 1042"/>
              <a:gd name="T26" fmla="*/ 2037 w 5273"/>
              <a:gd name="T27" fmla="*/ 64 h 1042"/>
              <a:gd name="T28" fmla="*/ 2222 w 5273"/>
              <a:gd name="T29" fmla="*/ 9 h 1042"/>
              <a:gd name="T30" fmla="*/ 2415 w 5273"/>
              <a:gd name="T31" fmla="*/ 0 h 1042"/>
              <a:gd name="T32" fmla="*/ 2563 w 5273"/>
              <a:gd name="T33" fmla="*/ 28 h 1042"/>
              <a:gd name="T34" fmla="*/ 2682 w 5273"/>
              <a:gd name="T35" fmla="*/ 73 h 1042"/>
              <a:gd name="T36" fmla="*/ 2793 w 5273"/>
              <a:gd name="T37" fmla="*/ 128 h 1042"/>
              <a:gd name="T38" fmla="*/ 2894 w 5273"/>
              <a:gd name="T39" fmla="*/ 192 h 1042"/>
              <a:gd name="T40" fmla="*/ 3005 w 5273"/>
              <a:gd name="T41" fmla="*/ 247 h 1042"/>
              <a:gd name="T42" fmla="*/ 3116 w 5273"/>
              <a:gd name="T43" fmla="*/ 293 h 1042"/>
              <a:gd name="T44" fmla="*/ 3245 w 5273"/>
              <a:gd name="T45" fmla="*/ 329 h 1042"/>
              <a:gd name="T46" fmla="*/ 3401 w 5273"/>
              <a:gd name="T47" fmla="*/ 320 h 1042"/>
              <a:gd name="T48" fmla="*/ 3530 w 5273"/>
              <a:gd name="T49" fmla="*/ 293 h 1042"/>
              <a:gd name="T50" fmla="*/ 3632 w 5273"/>
              <a:gd name="T51" fmla="*/ 247 h 1042"/>
              <a:gd name="T52" fmla="*/ 3733 w 5273"/>
              <a:gd name="T53" fmla="*/ 192 h 1042"/>
              <a:gd name="T54" fmla="*/ 3825 w 5273"/>
              <a:gd name="T55" fmla="*/ 137 h 1042"/>
              <a:gd name="T56" fmla="*/ 3927 w 5273"/>
              <a:gd name="T57" fmla="*/ 83 h 1042"/>
              <a:gd name="T58" fmla="*/ 4047 w 5273"/>
              <a:gd name="T59" fmla="*/ 46 h 1042"/>
              <a:gd name="T60" fmla="*/ 4185 w 5273"/>
              <a:gd name="T61" fmla="*/ 19 h 1042"/>
              <a:gd name="T62" fmla="*/ 4351 w 5273"/>
              <a:gd name="T63" fmla="*/ 19 h 1042"/>
              <a:gd name="T64" fmla="*/ 4480 w 5273"/>
              <a:gd name="T65" fmla="*/ 46 h 1042"/>
              <a:gd name="T66" fmla="*/ 4581 w 5273"/>
              <a:gd name="T67" fmla="*/ 92 h 1042"/>
              <a:gd name="T68" fmla="*/ 4683 w 5273"/>
              <a:gd name="T69" fmla="*/ 156 h 1042"/>
              <a:gd name="T70" fmla="*/ 4766 w 5273"/>
              <a:gd name="T71" fmla="*/ 220 h 1042"/>
              <a:gd name="T72" fmla="*/ 4858 w 5273"/>
              <a:gd name="T73" fmla="*/ 284 h 1042"/>
              <a:gd name="T74" fmla="*/ 4987 w 5273"/>
              <a:gd name="T75" fmla="*/ 320 h 1042"/>
              <a:gd name="T76" fmla="*/ 5153 w 5273"/>
              <a:gd name="T77" fmla="*/ 348 h 1042"/>
              <a:gd name="T78" fmla="*/ 5273 w 5273"/>
              <a:gd name="T79" fmla="*/ 713 h 1042"/>
              <a:gd name="T80" fmla="*/ 0 w 5273"/>
              <a:gd name="T81" fmla="*/ 1015 h 1042"/>
              <a:gd name="T82" fmla="*/ 442 w 5273"/>
              <a:gd name="T83" fmla="*/ 83 h 10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1042">
                <a:moveTo>
                  <a:pt x="442" y="83"/>
                </a:moveTo>
                <a:lnTo>
                  <a:pt x="452" y="73"/>
                </a:lnTo>
                <a:lnTo>
                  <a:pt x="489" y="73"/>
                </a:lnTo>
                <a:lnTo>
                  <a:pt x="507" y="64"/>
                </a:lnTo>
                <a:lnTo>
                  <a:pt x="544" y="64"/>
                </a:lnTo>
                <a:lnTo>
                  <a:pt x="590" y="64"/>
                </a:lnTo>
                <a:lnTo>
                  <a:pt x="627" y="73"/>
                </a:lnTo>
                <a:lnTo>
                  <a:pt x="673" y="73"/>
                </a:lnTo>
                <a:lnTo>
                  <a:pt x="719" y="83"/>
                </a:lnTo>
                <a:lnTo>
                  <a:pt x="765" y="83"/>
                </a:lnTo>
                <a:lnTo>
                  <a:pt x="820" y="110"/>
                </a:lnTo>
                <a:lnTo>
                  <a:pt x="866" y="119"/>
                </a:lnTo>
                <a:lnTo>
                  <a:pt x="922" y="137"/>
                </a:lnTo>
                <a:lnTo>
                  <a:pt x="977" y="156"/>
                </a:lnTo>
                <a:lnTo>
                  <a:pt x="1032" y="192"/>
                </a:lnTo>
                <a:lnTo>
                  <a:pt x="1152" y="256"/>
                </a:lnTo>
                <a:lnTo>
                  <a:pt x="1263" y="302"/>
                </a:lnTo>
                <a:lnTo>
                  <a:pt x="1364" y="329"/>
                </a:lnTo>
                <a:lnTo>
                  <a:pt x="1456" y="348"/>
                </a:lnTo>
                <a:lnTo>
                  <a:pt x="1521" y="339"/>
                </a:lnTo>
                <a:lnTo>
                  <a:pt x="1595" y="329"/>
                </a:lnTo>
                <a:lnTo>
                  <a:pt x="1650" y="302"/>
                </a:lnTo>
                <a:lnTo>
                  <a:pt x="1724" y="265"/>
                </a:lnTo>
                <a:lnTo>
                  <a:pt x="1770" y="220"/>
                </a:lnTo>
                <a:lnTo>
                  <a:pt x="1825" y="183"/>
                </a:lnTo>
                <a:lnTo>
                  <a:pt x="1899" y="137"/>
                </a:lnTo>
                <a:lnTo>
                  <a:pt x="1963" y="101"/>
                </a:lnTo>
                <a:lnTo>
                  <a:pt x="2037" y="64"/>
                </a:lnTo>
                <a:lnTo>
                  <a:pt x="2129" y="37"/>
                </a:lnTo>
                <a:lnTo>
                  <a:pt x="2222" y="9"/>
                </a:lnTo>
                <a:lnTo>
                  <a:pt x="2351" y="9"/>
                </a:lnTo>
                <a:lnTo>
                  <a:pt x="2415" y="0"/>
                </a:lnTo>
                <a:lnTo>
                  <a:pt x="2498" y="19"/>
                </a:lnTo>
                <a:lnTo>
                  <a:pt x="2563" y="28"/>
                </a:lnTo>
                <a:lnTo>
                  <a:pt x="2636" y="55"/>
                </a:lnTo>
                <a:lnTo>
                  <a:pt x="2682" y="73"/>
                </a:lnTo>
                <a:lnTo>
                  <a:pt x="2738" y="110"/>
                </a:lnTo>
                <a:lnTo>
                  <a:pt x="2793" y="128"/>
                </a:lnTo>
                <a:lnTo>
                  <a:pt x="2848" y="174"/>
                </a:lnTo>
                <a:lnTo>
                  <a:pt x="2894" y="192"/>
                </a:lnTo>
                <a:lnTo>
                  <a:pt x="2950" y="220"/>
                </a:lnTo>
                <a:lnTo>
                  <a:pt x="3005" y="247"/>
                </a:lnTo>
                <a:lnTo>
                  <a:pt x="3060" y="284"/>
                </a:lnTo>
                <a:lnTo>
                  <a:pt x="3116" y="293"/>
                </a:lnTo>
                <a:lnTo>
                  <a:pt x="3180" y="311"/>
                </a:lnTo>
                <a:lnTo>
                  <a:pt x="3245" y="329"/>
                </a:lnTo>
                <a:lnTo>
                  <a:pt x="3328" y="329"/>
                </a:lnTo>
                <a:lnTo>
                  <a:pt x="3401" y="320"/>
                </a:lnTo>
                <a:lnTo>
                  <a:pt x="3466" y="311"/>
                </a:lnTo>
                <a:lnTo>
                  <a:pt x="3530" y="293"/>
                </a:lnTo>
                <a:lnTo>
                  <a:pt x="3595" y="275"/>
                </a:lnTo>
                <a:lnTo>
                  <a:pt x="3632" y="247"/>
                </a:lnTo>
                <a:lnTo>
                  <a:pt x="3687" y="220"/>
                </a:lnTo>
                <a:lnTo>
                  <a:pt x="3733" y="192"/>
                </a:lnTo>
                <a:lnTo>
                  <a:pt x="3789" y="174"/>
                </a:lnTo>
                <a:lnTo>
                  <a:pt x="3825" y="137"/>
                </a:lnTo>
                <a:lnTo>
                  <a:pt x="3872" y="110"/>
                </a:lnTo>
                <a:lnTo>
                  <a:pt x="3927" y="83"/>
                </a:lnTo>
                <a:lnTo>
                  <a:pt x="3982" y="64"/>
                </a:lnTo>
                <a:lnTo>
                  <a:pt x="4047" y="46"/>
                </a:lnTo>
                <a:lnTo>
                  <a:pt x="4111" y="28"/>
                </a:lnTo>
                <a:lnTo>
                  <a:pt x="4185" y="19"/>
                </a:lnTo>
                <a:lnTo>
                  <a:pt x="4268" y="19"/>
                </a:lnTo>
                <a:lnTo>
                  <a:pt x="4351" y="19"/>
                </a:lnTo>
                <a:lnTo>
                  <a:pt x="4415" y="37"/>
                </a:lnTo>
                <a:lnTo>
                  <a:pt x="4480" y="46"/>
                </a:lnTo>
                <a:lnTo>
                  <a:pt x="4535" y="73"/>
                </a:lnTo>
                <a:lnTo>
                  <a:pt x="4581" y="92"/>
                </a:lnTo>
                <a:lnTo>
                  <a:pt x="4637" y="128"/>
                </a:lnTo>
                <a:lnTo>
                  <a:pt x="4683" y="156"/>
                </a:lnTo>
                <a:lnTo>
                  <a:pt x="4729" y="192"/>
                </a:lnTo>
                <a:lnTo>
                  <a:pt x="4766" y="220"/>
                </a:lnTo>
                <a:lnTo>
                  <a:pt x="4812" y="256"/>
                </a:lnTo>
                <a:lnTo>
                  <a:pt x="4858" y="284"/>
                </a:lnTo>
                <a:lnTo>
                  <a:pt x="4922" y="302"/>
                </a:lnTo>
                <a:lnTo>
                  <a:pt x="4987" y="320"/>
                </a:lnTo>
                <a:lnTo>
                  <a:pt x="5070" y="339"/>
                </a:lnTo>
                <a:lnTo>
                  <a:pt x="5153" y="348"/>
                </a:lnTo>
                <a:lnTo>
                  <a:pt x="5254" y="357"/>
                </a:lnTo>
                <a:lnTo>
                  <a:pt x="5273" y="713"/>
                </a:lnTo>
                <a:lnTo>
                  <a:pt x="3116" y="1042"/>
                </a:lnTo>
                <a:lnTo>
                  <a:pt x="0" y="1015"/>
                </a:lnTo>
                <a:lnTo>
                  <a:pt x="46" y="211"/>
                </a:lnTo>
                <a:lnTo>
                  <a:pt x="442" y="83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6" name="Freeform 74">
            <a:extLst>
              <a:ext uri="{FF2B5EF4-FFF2-40B4-BE49-F238E27FC236}">
                <a16:creationId xmlns="" xmlns:a16="http://schemas.microsoft.com/office/drawing/2014/main" id="{00000000-0008-0000-0400-00004C000000}"/>
              </a:ext>
            </a:extLst>
          </xdr:cNvPr>
          <xdr:cNvSpPr>
            <a:spLocks/>
          </xdr:cNvSpPr>
        </xdr:nvSpPr>
        <xdr:spPr bwMode="auto">
          <a:xfrm>
            <a:off x="341317" y="133183"/>
            <a:ext cx="422453" cy="67335"/>
          </a:xfrm>
          <a:custGeom>
            <a:avLst/>
            <a:gdLst>
              <a:gd name="T0" fmla="*/ 461 w 5273"/>
              <a:gd name="T1" fmla="*/ 45 h 841"/>
              <a:gd name="T2" fmla="*/ 516 w 5273"/>
              <a:gd name="T3" fmla="*/ 36 h 841"/>
              <a:gd name="T4" fmla="*/ 590 w 5273"/>
              <a:gd name="T5" fmla="*/ 36 h 841"/>
              <a:gd name="T6" fmla="*/ 673 w 5273"/>
              <a:gd name="T7" fmla="*/ 45 h 841"/>
              <a:gd name="T8" fmla="*/ 765 w 5273"/>
              <a:gd name="T9" fmla="*/ 55 h 841"/>
              <a:gd name="T10" fmla="*/ 866 w 5273"/>
              <a:gd name="T11" fmla="*/ 82 h 841"/>
              <a:gd name="T12" fmla="*/ 977 w 5273"/>
              <a:gd name="T13" fmla="*/ 119 h 841"/>
              <a:gd name="T14" fmla="*/ 1161 w 5273"/>
              <a:gd name="T15" fmla="*/ 201 h 841"/>
              <a:gd name="T16" fmla="*/ 1373 w 5273"/>
              <a:gd name="T17" fmla="*/ 256 h 841"/>
              <a:gd name="T18" fmla="*/ 1521 w 5273"/>
              <a:gd name="T19" fmla="*/ 265 h 841"/>
              <a:gd name="T20" fmla="*/ 1650 w 5273"/>
              <a:gd name="T21" fmla="*/ 228 h 841"/>
              <a:gd name="T22" fmla="*/ 1779 w 5273"/>
              <a:gd name="T23" fmla="*/ 173 h 841"/>
              <a:gd name="T24" fmla="*/ 1899 w 5273"/>
              <a:gd name="T25" fmla="*/ 100 h 841"/>
              <a:gd name="T26" fmla="*/ 2046 w 5273"/>
              <a:gd name="T27" fmla="*/ 36 h 841"/>
              <a:gd name="T28" fmla="*/ 2231 w 5273"/>
              <a:gd name="T29" fmla="*/ 0 h 841"/>
              <a:gd name="T30" fmla="*/ 2424 w 5273"/>
              <a:gd name="T31" fmla="*/ 0 h 841"/>
              <a:gd name="T32" fmla="*/ 2572 w 5273"/>
              <a:gd name="T33" fmla="*/ 18 h 841"/>
              <a:gd name="T34" fmla="*/ 2692 w 5273"/>
              <a:gd name="T35" fmla="*/ 55 h 841"/>
              <a:gd name="T36" fmla="*/ 2802 w 5273"/>
              <a:gd name="T37" fmla="*/ 100 h 841"/>
              <a:gd name="T38" fmla="*/ 2904 w 5273"/>
              <a:gd name="T39" fmla="*/ 146 h 841"/>
              <a:gd name="T40" fmla="*/ 3005 w 5273"/>
              <a:gd name="T41" fmla="*/ 192 h 841"/>
              <a:gd name="T42" fmla="*/ 3125 w 5273"/>
              <a:gd name="T43" fmla="*/ 228 h 841"/>
              <a:gd name="T44" fmla="*/ 3254 w 5273"/>
              <a:gd name="T45" fmla="*/ 256 h 841"/>
              <a:gd name="T46" fmla="*/ 3411 w 5273"/>
              <a:gd name="T47" fmla="*/ 247 h 841"/>
              <a:gd name="T48" fmla="*/ 3530 w 5273"/>
              <a:gd name="T49" fmla="*/ 219 h 841"/>
              <a:gd name="T50" fmla="*/ 3641 w 5273"/>
              <a:gd name="T51" fmla="*/ 192 h 841"/>
              <a:gd name="T52" fmla="*/ 3742 w 5273"/>
              <a:gd name="T53" fmla="*/ 146 h 841"/>
              <a:gd name="T54" fmla="*/ 3835 w 5273"/>
              <a:gd name="T55" fmla="*/ 100 h 841"/>
              <a:gd name="T56" fmla="*/ 3936 w 5273"/>
              <a:gd name="T57" fmla="*/ 55 h 841"/>
              <a:gd name="T58" fmla="*/ 4047 w 5273"/>
              <a:gd name="T59" fmla="*/ 18 h 841"/>
              <a:gd name="T60" fmla="*/ 4194 w 5273"/>
              <a:gd name="T61" fmla="*/ 0 h 841"/>
              <a:gd name="T62" fmla="*/ 4351 w 5273"/>
              <a:gd name="T63" fmla="*/ 9 h 841"/>
              <a:gd name="T64" fmla="*/ 4480 w 5273"/>
              <a:gd name="T65" fmla="*/ 27 h 841"/>
              <a:gd name="T66" fmla="*/ 4581 w 5273"/>
              <a:gd name="T67" fmla="*/ 64 h 841"/>
              <a:gd name="T68" fmla="*/ 4683 w 5273"/>
              <a:gd name="T69" fmla="*/ 119 h 841"/>
              <a:gd name="T70" fmla="*/ 4766 w 5273"/>
              <a:gd name="T71" fmla="*/ 173 h 841"/>
              <a:gd name="T72" fmla="*/ 4858 w 5273"/>
              <a:gd name="T73" fmla="*/ 210 h 841"/>
              <a:gd name="T74" fmla="*/ 4987 w 5273"/>
              <a:gd name="T75" fmla="*/ 256 h 841"/>
              <a:gd name="T76" fmla="*/ 5153 w 5273"/>
              <a:gd name="T77" fmla="*/ 274 h 841"/>
              <a:gd name="T78" fmla="*/ 5273 w 5273"/>
              <a:gd name="T79" fmla="*/ 585 h 841"/>
              <a:gd name="T80" fmla="*/ 0 w 5273"/>
              <a:gd name="T81" fmla="*/ 822 h 841"/>
              <a:gd name="T82" fmla="*/ 452 w 5273"/>
              <a:gd name="T83" fmla="*/ 55 h 8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841">
                <a:moveTo>
                  <a:pt x="452" y="55"/>
                </a:moveTo>
                <a:lnTo>
                  <a:pt x="461" y="45"/>
                </a:lnTo>
                <a:lnTo>
                  <a:pt x="498" y="45"/>
                </a:lnTo>
                <a:lnTo>
                  <a:pt x="516" y="36"/>
                </a:lnTo>
                <a:lnTo>
                  <a:pt x="553" y="36"/>
                </a:lnTo>
                <a:lnTo>
                  <a:pt x="590" y="36"/>
                </a:lnTo>
                <a:lnTo>
                  <a:pt x="627" y="45"/>
                </a:lnTo>
                <a:lnTo>
                  <a:pt x="673" y="45"/>
                </a:lnTo>
                <a:lnTo>
                  <a:pt x="719" y="45"/>
                </a:lnTo>
                <a:lnTo>
                  <a:pt x="765" y="55"/>
                </a:lnTo>
                <a:lnTo>
                  <a:pt x="820" y="73"/>
                </a:lnTo>
                <a:lnTo>
                  <a:pt x="866" y="82"/>
                </a:lnTo>
                <a:lnTo>
                  <a:pt x="922" y="100"/>
                </a:lnTo>
                <a:lnTo>
                  <a:pt x="977" y="119"/>
                </a:lnTo>
                <a:lnTo>
                  <a:pt x="1042" y="146"/>
                </a:lnTo>
                <a:lnTo>
                  <a:pt x="1161" y="201"/>
                </a:lnTo>
                <a:lnTo>
                  <a:pt x="1272" y="237"/>
                </a:lnTo>
                <a:lnTo>
                  <a:pt x="1373" y="256"/>
                </a:lnTo>
                <a:lnTo>
                  <a:pt x="1456" y="274"/>
                </a:lnTo>
                <a:lnTo>
                  <a:pt x="1521" y="265"/>
                </a:lnTo>
                <a:lnTo>
                  <a:pt x="1595" y="256"/>
                </a:lnTo>
                <a:lnTo>
                  <a:pt x="1650" y="228"/>
                </a:lnTo>
                <a:lnTo>
                  <a:pt x="1724" y="210"/>
                </a:lnTo>
                <a:lnTo>
                  <a:pt x="1779" y="173"/>
                </a:lnTo>
                <a:lnTo>
                  <a:pt x="1834" y="137"/>
                </a:lnTo>
                <a:lnTo>
                  <a:pt x="1899" y="100"/>
                </a:lnTo>
                <a:lnTo>
                  <a:pt x="1973" y="73"/>
                </a:lnTo>
                <a:lnTo>
                  <a:pt x="2046" y="36"/>
                </a:lnTo>
                <a:lnTo>
                  <a:pt x="2129" y="18"/>
                </a:lnTo>
                <a:lnTo>
                  <a:pt x="2231" y="0"/>
                </a:lnTo>
                <a:lnTo>
                  <a:pt x="2351" y="0"/>
                </a:lnTo>
                <a:lnTo>
                  <a:pt x="2424" y="0"/>
                </a:lnTo>
                <a:lnTo>
                  <a:pt x="2507" y="0"/>
                </a:lnTo>
                <a:lnTo>
                  <a:pt x="2572" y="18"/>
                </a:lnTo>
                <a:lnTo>
                  <a:pt x="2636" y="36"/>
                </a:lnTo>
                <a:lnTo>
                  <a:pt x="2692" y="55"/>
                </a:lnTo>
                <a:lnTo>
                  <a:pt x="2747" y="73"/>
                </a:lnTo>
                <a:lnTo>
                  <a:pt x="2802" y="100"/>
                </a:lnTo>
                <a:lnTo>
                  <a:pt x="2858" y="128"/>
                </a:lnTo>
                <a:lnTo>
                  <a:pt x="2904" y="146"/>
                </a:lnTo>
                <a:lnTo>
                  <a:pt x="2959" y="173"/>
                </a:lnTo>
                <a:lnTo>
                  <a:pt x="3005" y="192"/>
                </a:lnTo>
                <a:lnTo>
                  <a:pt x="3070" y="210"/>
                </a:lnTo>
                <a:lnTo>
                  <a:pt x="3125" y="228"/>
                </a:lnTo>
                <a:lnTo>
                  <a:pt x="3189" y="247"/>
                </a:lnTo>
                <a:lnTo>
                  <a:pt x="3254" y="256"/>
                </a:lnTo>
                <a:lnTo>
                  <a:pt x="3337" y="256"/>
                </a:lnTo>
                <a:lnTo>
                  <a:pt x="3411" y="247"/>
                </a:lnTo>
                <a:lnTo>
                  <a:pt x="3475" y="237"/>
                </a:lnTo>
                <a:lnTo>
                  <a:pt x="3530" y="219"/>
                </a:lnTo>
                <a:lnTo>
                  <a:pt x="3595" y="210"/>
                </a:lnTo>
                <a:lnTo>
                  <a:pt x="3641" y="192"/>
                </a:lnTo>
                <a:lnTo>
                  <a:pt x="3696" y="173"/>
                </a:lnTo>
                <a:lnTo>
                  <a:pt x="3742" y="146"/>
                </a:lnTo>
                <a:lnTo>
                  <a:pt x="3789" y="128"/>
                </a:lnTo>
                <a:lnTo>
                  <a:pt x="3835" y="100"/>
                </a:lnTo>
                <a:lnTo>
                  <a:pt x="3881" y="73"/>
                </a:lnTo>
                <a:lnTo>
                  <a:pt x="3936" y="55"/>
                </a:lnTo>
                <a:lnTo>
                  <a:pt x="3991" y="36"/>
                </a:lnTo>
                <a:lnTo>
                  <a:pt x="4047" y="18"/>
                </a:lnTo>
                <a:lnTo>
                  <a:pt x="4120" y="9"/>
                </a:lnTo>
                <a:lnTo>
                  <a:pt x="4194" y="0"/>
                </a:lnTo>
                <a:lnTo>
                  <a:pt x="4277" y="9"/>
                </a:lnTo>
                <a:lnTo>
                  <a:pt x="4351" y="9"/>
                </a:lnTo>
                <a:lnTo>
                  <a:pt x="4415" y="18"/>
                </a:lnTo>
                <a:lnTo>
                  <a:pt x="4480" y="27"/>
                </a:lnTo>
                <a:lnTo>
                  <a:pt x="4535" y="45"/>
                </a:lnTo>
                <a:lnTo>
                  <a:pt x="4581" y="64"/>
                </a:lnTo>
                <a:lnTo>
                  <a:pt x="4637" y="91"/>
                </a:lnTo>
                <a:lnTo>
                  <a:pt x="4683" y="119"/>
                </a:lnTo>
                <a:lnTo>
                  <a:pt x="4729" y="146"/>
                </a:lnTo>
                <a:lnTo>
                  <a:pt x="4766" y="173"/>
                </a:lnTo>
                <a:lnTo>
                  <a:pt x="4812" y="192"/>
                </a:lnTo>
                <a:lnTo>
                  <a:pt x="4858" y="210"/>
                </a:lnTo>
                <a:lnTo>
                  <a:pt x="4922" y="237"/>
                </a:lnTo>
                <a:lnTo>
                  <a:pt x="4987" y="256"/>
                </a:lnTo>
                <a:lnTo>
                  <a:pt x="5070" y="265"/>
                </a:lnTo>
                <a:lnTo>
                  <a:pt x="5153" y="274"/>
                </a:lnTo>
                <a:lnTo>
                  <a:pt x="5254" y="274"/>
                </a:lnTo>
                <a:lnTo>
                  <a:pt x="5273" y="585"/>
                </a:lnTo>
                <a:lnTo>
                  <a:pt x="3116" y="841"/>
                </a:lnTo>
                <a:lnTo>
                  <a:pt x="0" y="822"/>
                </a:lnTo>
                <a:lnTo>
                  <a:pt x="46" y="164"/>
                </a:lnTo>
                <a:lnTo>
                  <a:pt x="452" y="55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7" name="Freeform 75">
            <a:extLst>
              <a:ext uri="{FF2B5EF4-FFF2-40B4-BE49-F238E27FC236}">
                <a16:creationId xmlns="" xmlns:a16="http://schemas.microsoft.com/office/drawing/2014/main" id="{00000000-0008-0000-0400-00004D000000}"/>
              </a:ext>
            </a:extLst>
          </xdr:cNvPr>
          <xdr:cNvSpPr>
            <a:spLocks/>
          </xdr:cNvSpPr>
        </xdr:nvSpPr>
        <xdr:spPr bwMode="auto">
          <a:xfrm>
            <a:off x="212000" y="94341"/>
            <a:ext cx="176547" cy="184517"/>
          </a:xfrm>
          <a:custGeom>
            <a:avLst/>
            <a:gdLst>
              <a:gd name="T0" fmla="*/ 2203 w 2203"/>
              <a:gd name="T1" fmla="*/ 0 h 2304"/>
              <a:gd name="T2" fmla="*/ 1973 w 2203"/>
              <a:gd name="T3" fmla="*/ 0 h 2304"/>
              <a:gd name="T4" fmla="*/ 1751 w 2203"/>
              <a:gd name="T5" fmla="*/ 37 h 2304"/>
              <a:gd name="T6" fmla="*/ 1539 w 2203"/>
              <a:gd name="T7" fmla="*/ 83 h 2304"/>
              <a:gd name="T8" fmla="*/ 1336 w 2203"/>
              <a:gd name="T9" fmla="*/ 156 h 2304"/>
              <a:gd name="T10" fmla="*/ 1143 w 2203"/>
              <a:gd name="T11" fmla="*/ 220 h 2304"/>
              <a:gd name="T12" fmla="*/ 968 w 2203"/>
              <a:gd name="T13" fmla="*/ 320 h 2304"/>
              <a:gd name="T14" fmla="*/ 802 w 2203"/>
              <a:gd name="T15" fmla="*/ 430 h 2304"/>
              <a:gd name="T16" fmla="*/ 654 w 2203"/>
              <a:gd name="T17" fmla="*/ 549 h 2304"/>
              <a:gd name="T18" fmla="*/ 498 w 2203"/>
              <a:gd name="T19" fmla="*/ 677 h 2304"/>
              <a:gd name="T20" fmla="*/ 378 w 2203"/>
              <a:gd name="T21" fmla="*/ 814 h 2304"/>
              <a:gd name="T22" fmla="*/ 267 w 2203"/>
              <a:gd name="T23" fmla="*/ 960 h 2304"/>
              <a:gd name="T24" fmla="*/ 175 w 2203"/>
              <a:gd name="T25" fmla="*/ 1106 h 2304"/>
              <a:gd name="T26" fmla="*/ 101 w 2203"/>
              <a:gd name="T27" fmla="*/ 1262 h 2304"/>
              <a:gd name="T28" fmla="*/ 46 w 2203"/>
              <a:gd name="T29" fmla="*/ 1426 h 2304"/>
              <a:gd name="T30" fmla="*/ 18 w 2203"/>
              <a:gd name="T31" fmla="*/ 1582 h 2304"/>
              <a:gd name="T32" fmla="*/ 0 w 2203"/>
              <a:gd name="T33" fmla="*/ 1746 h 2304"/>
              <a:gd name="T34" fmla="*/ 18 w 2203"/>
              <a:gd name="T35" fmla="*/ 1746 h 2304"/>
              <a:gd name="T36" fmla="*/ 92 w 2203"/>
              <a:gd name="T37" fmla="*/ 1774 h 2304"/>
              <a:gd name="T38" fmla="*/ 193 w 2203"/>
              <a:gd name="T39" fmla="*/ 1801 h 2304"/>
              <a:gd name="T40" fmla="*/ 341 w 2203"/>
              <a:gd name="T41" fmla="*/ 1838 h 2304"/>
              <a:gd name="T42" fmla="*/ 498 w 2203"/>
              <a:gd name="T43" fmla="*/ 1874 h 2304"/>
              <a:gd name="T44" fmla="*/ 691 w 2203"/>
              <a:gd name="T45" fmla="*/ 1920 h 2304"/>
              <a:gd name="T46" fmla="*/ 885 w 2203"/>
              <a:gd name="T47" fmla="*/ 1975 h 2304"/>
              <a:gd name="T48" fmla="*/ 1097 w 2203"/>
              <a:gd name="T49" fmla="*/ 2030 h 2304"/>
              <a:gd name="T50" fmla="*/ 1300 w 2203"/>
              <a:gd name="T51" fmla="*/ 2075 h 2304"/>
              <a:gd name="T52" fmla="*/ 1502 w 2203"/>
              <a:gd name="T53" fmla="*/ 2130 h 2304"/>
              <a:gd name="T54" fmla="*/ 1678 w 2203"/>
              <a:gd name="T55" fmla="*/ 2176 h 2304"/>
              <a:gd name="T56" fmla="*/ 1853 w 2203"/>
              <a:gd name="T57" fmla="*/ 2212 h 2304"/>
              <a:gd name="T58" fmla="*/ 1982 w 2203"/>
              <a:gd name="T59" fmla="*/ 2249 h 2304"/>
              <a:gd name="T60" fmla="*/ 2102 w 2203"/>
              <a:gd name="T61" fmla="*/ 2276 h 2304"/>
              <a:gd name="T62" fmla="*/ 2166 w 2203"/>
              <a:gd name="T63" fmla="*/ 2295 h 2304"/>
              <a:gd name="T64" fmla="*/ 2203 w 2203"/>
              <a:gd name="T65" fmla="*/ 2304 h 2304"/>
              <a:gd name="T66" fmla="*/ 2203 w 2203"/>
              <a:gd name="T67" fmla="*/ 0 h 2304"/>
              <a:gd name="T68" fmla="*/ 2203 w 2203"/>
              <a:gd name="T69" fmla="*/ 0 h 23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203" h="2304">
                <a:moveTo>
                  <a:pt x="2203" y="0"/>
                </a:moveTo>
                <a:lnTo>
                  <a:pt x="1973" y="0"/>
                </a:lnTo>
                <a:lnTo>
                  <a:pt x="1751" y="37"/>
                </a:lnTo>
                <a:lnTo>
                  <a:pt x="1539" y="83"/>
                </a:lnTo>
                <a:lnTo>
                  <a:pt x="1336" y="156"/>
                </a:lnTo>
                <a:lnTo>
                  <a:pt x="1143" y="220"/>
                </a:lnTo>
                <a:lnTo>
                  <a:pt x="968" y="320"/>
                </a:lnTo>
                <a:lnTo>
                  <a:pt x="802" y="430"/>
                </a:lnTo>
                <a:lnTo>
                  <a:pt x="654" y="549"/>
                </a:lnTo>
                <a:lnTo>
                  <a:pt x="498" y="677"/>
                </a:lnTo>
                <a:lnTo>
                  <a:pt x="378" y="814"/>
                </a:lnTo>
                <a:lnTo>
                  <a:pt x="267" y="960"/>
                </a:lnTo>
                <a:lnTo>
                  <a:pt x="175" y="1106"/>
                </a:lnTo>
                <a:lnTo>
                  <a:pt x="101" y="1262"/>
                </a:lnTo>
                <a:lnTo>
                  <a:pt x="46" y="1426"/>
                </a:lnTo>
                <a:lnTo>
                  <a:pt x="18" y="1582"/>
                </a:lnTo>
                <a:lnTo>
                  <a:pt x="0" y="1746"/>
                </a:lnTo>
                <a:lnTo>
                  <a:pt x="18" y="1746"/>
                </a:lnTo>
                <a:lnTo>
                  <a:pt x="92" y="1774"/>
                </a:lnTo>
                <a:lnTo>
                  <a:pt x="193" y="1801"/>
                </a:lnTo>
                <a:lnTo>
                  <a:pt x="341" y="1838"/>
                </a:lnTo>
                <a:lnTo>
                  <a:pt x="498" y="1874"/>
                </a:lnTo>
                <a:lnTo>
                  <a:pt x="691" y="1920"/>
                </a:lnTo>
                <a:lnTo>
                  <a:pt x="885" y="1975"/>
                </a:lnTo>
                <a:lnTo>
                  <a:pt x="1097" y="2030"/>
                </a:lnTo>
                <a:lnTo>
                  <a:pt x="1300" y="2075"/>
                </a:lnTo>
                <a:lnTo>
                  <a:pt x="1502" y="2130"/>
                </a:lnTo>
                <a:lnTo>
                  <a:pt x="1678" y="2176"/>
                </a:lnTo>
                <a:lnTo>
                  <a:pt x="1853" y="2212"/>
                </a:lnTo>
                <a:lnTo>
                  <a:pt x="1982" y="2249"/>
                </a:lnTo>
                <a:lnTo>
                  <a:pt x="2102" y="2276"/>
                </a:lnTo>
                <a:lnTo>
                  <a:pt x="2166" y="2295"/>
                </a:lnTo>
                <a:lnTo>
                  <a:pt x="2203" y="2304"/>
                </a:lnTo>
                <a:lnTo>
                  <a:pt x="2203" y="0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8" name="Freeform 76">
            <a:extLst>
              <a:ext uri="{FF2B5EF4-FFF2-40B4-BE49-F238E27FC236}">
                <a16:creationId xmlns="" xmlns:a16="http://schemas.microsoft.com/office/drawing/2014/main" id="{00000000-0008-0000-0400-00004E000000}"/>
              </a:ext>
            </a:extLst>
          </xdr:cNvPr>
          <xdr:cNvSpPr>
            <a:spLocks/>
          </xdr:cNvSpPr>
        </xdr:nvSpPr>
        <xdr:spPr bwMode="auto">
          <a:xfrm>
            <a:off x="239422" y="15126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B8B8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9" name="Freeform 77">
            <a:extLst>
              <a:ext uri="{FF2B5EF4-FFF2-40B4-BE49-F238E27FC236}">
                <a16:creationId xmlns="" xmlns:a16="http://schemas.microsoft.com/office/drawing/2014/main" id="{00000000-0008-0000-0400-00004F000000}"/>
              </a:ext>
            </a:extLst>
          </xdr:cNvPr>
          <xdr:cNvSpPr>
            <a:spLocks/>
          </xdr:cNvSpPr>
        </xdr:nvSpPr>
        <xdr:spPr bwMode="auto">
          <a:xfrm>
            <a:off x="0" y="163877"/>
            <a:ext cx="762996" cy="236922"/>
          </a:xfrm>
          <a:custGeom>
            <a:avLst/>
            <a:gdLst>
              <a:gd name="T0" fmla="*/ 0 w 9522"/>
              <a:gd name="T1" fmla="*/ 2961 h 2961"/>
              <a:gd name="T2" fmla="*/ 9522 w 9522"/>
              <a:gd name="T3" fmla="*/ 2961 h 2961"/>
              <a:gd name="T4" fmla="*/ 9522 w 9522"/>
              <a:gd name="T5" fmla="*/ 0 h 2961"/>
              <a:gd name="T6" fmla="*/ 0 w 9522"/>
              <a:gd name="T7" fmla="*/ 0 h 2961"/>
              <a:gd name="T8" fmla="*/ 0 w 9522"/>
              <a:gd name="T9" fmla="*/ 2961 h 2961"/>
              <a:gd name="T10" fmla="*/ 0 w 9522"/>
              <a:gd name="T11" fmla="*/ 2961 h 29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9522" h="2961">
                <a:moveTo>
                  <a:pt x="0" y="2961"/>
                </a:moveTo>
                <a:lnTo>
                  <a:pt x="9522" y="2961"/>
                </a:lnTo>
                <a:lnTo>
                  <a:pt x="9522" y="0"/>
                </a:lnTo>
                <a:lnTo>
                  <a:pt x="0" y="0"/>
                </a:lnTo>
                <a:lnTo>
                  <a:pt x="0" y="2961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0" name="Freeform 78">
            <a:extLst>
              <a:ext uri="{FF2B5EF4-FFF2-40B4-BE49-F238E27FC236}">
                <a16:creationId xmlns="" xmlns:a16="http://schemas.microsoft.com/office/drawing/2014/main" id="{00000000-0008-0000-0400-000050000000}"/>
              </a:ext>
            </a:extLst>
          </xdr:cNvPr>
          <xdr:cNvSpPr>
            <a:spLocks/>
          </xdr:cNvSpPr>
        </xdr:nvSpPr>
        <xdr:spPr bwMode="auto">
          <a:xfrm>
            <a:off x="204683" y="140440"/>
            <a:ext cx="92319" cy="124439"/>
          </a:xfrm>
          <a:custGeom>
            <a:avLst/>
            <a:gdLst>
              <a:gd name="T0" fmla="*/ 728 w 1152"/>
              <a:gd name="T1" fmla="*/ 0 h 1554"/>
              <a:gd name="T2" fmla="*/ 709 w 1152"/>
              <a:gd name="T3" fmla="*/ 0 h 1554"/>
              <a:gd name="T4" fmla="*/ 682 w 1152"/>
              <a:gd name="T5" fmla="*/ 28 h 1554"/>
              <a:gd name="T6" fmla="*/ 645 w 1152"/>
              <a:gd name="T7" fmla="*/ 55 h 1554"/>
              <a:gd name="T8" fmla="*/ 608 w 1152"/>
              <a:gd name="T9" fmla="*/ 119 h 1554"/>
              <a:gd name="T10" fmla="*/ 544 w 1152"/>
              <a:gd name="T11" fmla="*/ 174 h 1554"/>
              <a:gd name="T12" fmla="*/ 488 w 1152"/>
              <a:gd name="T13" fmla="*/ 247 h 1554"/>
              <a:gd name="T14" fmla="*/ 415 w 1152"/>
              <a:gd name="T15" fmla="*/ 338 h 1554"/>
              <a:gd name="T16" fmla="*/ 350 w 1152"/>
              <a:gd name="T17" fmla="*/ 448 h 1554"/>
              <a:gd name="T18" fmla="*/ 285 w 1152"/>
              <a:gd name="T19" fmla="*/ 558 h 1554"/>
              <a:gd name="T20" fmla="*/ 221 w 1152"/>
              <a:gd name="T21" fmla="*/ 667 h 1554"/>
              <a:gd name="T22" fmla="*/ 156 w 1152"/>
              <a:gd name="T23" fmla="*/ 795 h 1554"/>
              <a:gd name="T24" fmla="*/ 101 w 1152"/>
              <a:gd name="T25" fmla="*/ 942 h 1554"/>
              <a:gd name="T26" fmla="*/ 46 w 1152"/>
              <a:gd name="T27" fmla="*/ 1070 h 1554"/>
              <a:gd name="T28" fmla="*/ 18 w 1152"/>
              <a:gd name="T29" fmla="*/ 1225 h 1554"/>
              <a:gd name="T30" fmla="*/ 0 w 1152"/>
              <a:gd name="T31" fmla="*/ 1380 h 1554"/>
              <a:gd name="T32" fmla="*/ 0 w 1152"/>
              <a:gd name="T33" fmla="*/ 1554 h 1554"/>
              <a:gd name="T34" fmla="*/ 18 w 1152"/>
              <a:gd name="T35" fmla="*/ 1554 h 1554"/>
              <a:gd name="T36" fmla="*/ 46 w 1152"/>
              <a:gd name="T37" fmla="*/ 1554 h 1554"/>
              <a:gd name="T38" fmla="*/ 92 w 1152"/>
              <a:gd name="T39" fmla="*/ 1554 h 1554"/>
              <a:gd name="T40" fmla="*/ 129 w 1152"/>
              <a:gd name="T41" fmla="*/ 1554 h 1554"/>
              <a:gd name="T42" fmla="*/ 184 w 1152"/>
              <a:gd name="T43" fmla="*/ 1554 h 1554"/>
              <a:gd name="T44" fmla="*/ 239 w 1152"/>
              <a:gd name="T45" fmla="*/ 1554 h 1554"/>
              <a:gd name="T46" fmla="*/ 304 w 1152"/>
              <a:gd name="T47" fmla="*/ 1554 h 1554"/>
              <a:gd name="T48" fmla="*/ 350 w 1152"/>
              <a:gd name="T49" fmla="*/ 1545 h 1554"/>
              <a:gd name="T50" fmla="*/ 415 w 1152"/>
              <a:gd name="T51" fmla="*/ 1536 h 1554"/>
              <a:gd name="T52" fmla="*/ 461 w 1152"/>
              <a:gd name="T53" fmla="*/ 1527 h 1554"/>
              <a:gd name="T54" fmla="*/ 516 w 1152"/>
              <a:gd name="T55" fmla="*/ 1527 h 1554"/>
              <a:gd name="T56" fmla="*/ 553 w 1152"/>
              <a:gd name="T57" fmla="*/ 1527 h 1554"/>
              <a:gd name="T58" fmla="*/ 580 w 1152"/>
              <a:gd name="T59" fmla="*/ 1527 h 1554"/>
              <a:gd name="T60" fmla="*/ 599 w 1152"/>
              <a:gd name="T61" fmla="*/ 1527 h 1554"/>
              <a:gd name="T62" fmla="*/ 617 w 1152"/>
              <a:gd name="T63" fmla="*/ 1527 h 1554"/>
              <a:gd name="T64" fmla="*/ 1152 w 1152"/>
              <a:gd name="T65" fmla="*/ 274 h 1554"/>
              <a:gd name="T66" fmla="*/ 728 w 1152"/>
              <a:gd name="T67" fmla="*/ 274 h 1554"/>
              <a:gd name="T68" fmla="*/ 728 w 1152"/>
              <a:gd name="T69" fmla="*/ 0 h 1554"/>
              <a:gd name="T70" fmla="*/ 728 w 1152"/>
              <a:gd name="T71" fmla="*/ 0 h 15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1152" h="1554">
                <a:moveTo>
                  <a:pt x="728" y="0"/>
                </a:moveTo>
                <a:lnTo>
                  <a:pt x="709" y="0"/>
                </a:lnTo>
                <a:lnTo>
                  <a:pt x="682" y="28"/>
                </a:lnTo>
                <a:lnTo>
                  <a:pt x="645" y="55"/>
                </a:lnTo>
                <a:lnTo>
                  <a:pt x="608" y="119"/>
                </a:lnTo>
                <a:lnTo>
                  <a:pt x="544" y="174"/>
                </a:lnTo>
                <a:lnTo>
                  <a:pt x="488" y="247"/>
                </a:lnTo>
                <a:lnTo>
                  <a:pt x="415" y="338"/>
                </a:lnTo>
                <a:lnTo>
                  <a:pt x="350" y="448"/>
                </a:lnTo>
                <a:lnTo>
                  <a:pt x="285" y="558"/>
                </a:lnTo>
                <a:lnTo>
                  <a:pt x="221" y="667"/>
                </a:lnTo>
                <a:lnTo>
                  <a:pt x="156" y="795"/>
                </a:lnTo>
                <a:lnTo>
                  <a:pt x="101" y="942"/>
                </a:lnTo>
                <a:lnTo>
                  <a:pt x="46" y="1070"/>
                </a:lnTo>
                <a:lnTo>
                  <a:pt x="18" y="1225"/>
                </a:lnTo>
                <a:lnTo>
                  <a:pt x="0" y="1380"/>
                </a:lnTo>
                <a:lnTo>
                  <a:pt x="0" y="1554"/>
                </a:lnTo>
                <a:lnTo>
                  <a:pt x="18" y="1554"/>
                </a:lnTo>
                <a:lnTo>
                  <a:pt x="46" y="1554"/>
                </a:lnTo>
                <a:lnTo>
                  <a:pt x="92" y="1554"/>
                </a:lnTo>
                <a:lnTo>
                  <a:pt x="129" y="1554"/>
                </a:lnTo>
                <a:lnTo>
                  <a:pt x="184" y="1554"/>
                </a:lnTo>
                <a:lnTo>
                  <a:pt x="239" y="1554"/>
                </a:lnTo>
                <a:lnTo>
                  <a:pt x="304" y="1554"/>
                </a:lnTo>
                <a:lnTo>
                  <a:pt x="350" y="1545"/>
                </a:lnTo>
                <a:lnTo>
                  <a:pt x="415" y="1536"/>
                </a:lnTo>
                <a:lnTo>
                  <a:pt x="461" y="1527"/>
                </a:lnTo>
                <a:lnTo>
                  <a:pt x="516" y="1527"/>
                </a:lnTo>
                <a:lnTo>
                  <a:pt x="553" y="1527"/>
                </a:lnTo>
                <a:lnTo>
                  <a:pt x="580" y="1527"/>
                </a:lnTo>
                <a:lnTo>
                  <a:pt x="599" y="1527"/>
                </a:lnTo>
                <a:lnTo>
                  <a:pt x="617" y="1527"/>
                </a:lnTo>
                <a:lnTo>
                  <a:pt x="1152" y="274"/>
                </a:lnTo>
                <a:lnTo>
                  <a:pt x="728" y="274"/>
                </a:lnTo>
                <a:lnTo>
                  <a:pt x="728" y="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1" name="Freeform 79">
            <a:extLst>
              <a:ext uri="{FF2B5EF4-FFF2-40B4-BE49-F238E27FC236}">
                <a16:creationId xmlns="" xmlns:a16="http://schemas.microsoft.com/office/drawing/2014/main" id="{00000000-0008-0000-0400-000051000000}"/>
              </a:ext>
            </a:extLst>
          </xdr:cNvPr>
          <xdr:cNvSpPr>
            <a:spLocks/>
          </xdr:cNvSpPr>
        </xdr:nvSpPr>
        <xdr:spPr bwMode="auto">
          <a:xfrm>
            <a:off x="50383" y="252091"/>
            <a:ext cx="181722" cy="45326"/>
          </a:xfrm>
          <a:custGeom>
            <a:avLst/>
            <a:gdLst>
              <a:gd name="T0" fmla="*/ 2194 w 2268"/>
              <a:gd name="T1" fmla="*/ 64 h 567"/>
              <a:gd name="T2" fmla="*/ 2120 w 2268"/>
              <a:gd name="T3" fmla="*/ 36 h 567"/>
              <a:gd name="T4" fmla="*/ 2028 w 2268"/>
              <a:gd name="T5" fmla="*/ 9 h 567"/>
              <a:gd name="T6" fmla="*/ 1963 w 2268"/>
              <a:gd name="T7" fmla="*/ 9 h 567"/>
              <a:gd name="T8" fmla="*/ 1880 w 2268"/>
              <a:gd name="T9" fmla="*/ 0 h 567"/>
              <a:gd name="T10" fmla="*/ 1807 w 2268"/>
              <a:gd name="T11" fmla="*/ 9 h 567"/>
              <a:gd name="T12" fmla="*/ 1715 w 2268"/>
              <a:gd name="T13" fmla="*/ 36 h 567"/>
              <a:gd name="T14" fmla="*/ 1641 w 2268"/>
              <a:gd name="T15" fmla="*/ 55 h 567"/>
              <a:gd name="T16" fmla="*/ 1576 w 2268"/>
              <a:gd name="T17" fmla="*/ 100 h 567"/>
              <a:gd name="T18" fmla="*/ 1503 w 2268"/>
              <a:gd name="T19" fmla="*/ 164 h 567"/>
              <a:gd name="T20" fmla="*/ 1420 w 2268"/>
              <a:gd name="T21" fmla="*/ 210 h 567"/>
              <a:gd name="T22" fmla="*/ 1318 w 2268"/>
              <a:gd name="T23" fmla="*/ 247 h 567"/>
              <a:gd name="T24" fmla="*/ 1244 w 2268"/>
              <a:gd name="T25" fmla="*/ 256 h 567"/>
              <a:gd name="T26" fmla="*/ 1180 w 2268"/>
              <a:gd name="T27" fmla="*/ 237 h 567"/>
              <a:gd name="T28" fmla="*/ 1106 w 2268"/>
              <a:gd name="T29" fmla="*/ 210 h 567"/>
              <a:gd name="T30" fmla="*/ 1032 w 2268"/>
              <a:gd name="T31" fmla="*/ 183 h 567"/>
              <a:gd name="T32" fmla="*/ 949 w 2268"/>
              <a:gd name="T33" fmla="*/ 155 h 567"/>
              <a:gd name="T34" fmla="*/ 866 w 2268"/>
              <a:gd name="T35" fmla="*/ 128 h 567"/>
              <a:gd name="T36" fmla="*/ 784 w 2268"/>
              <a:gd name="T37" fmla="*/ 119 h 567"/>
              <a:gd name="T38" fmla="*/ 682 w 2268"/>
              <a:gd name="T39" fmla="*/ 119 h 567"/>
              <a:gd name="T40" fmla="*/ 590 w 2268"/>
              <a:gd name="T41" fmla="*/ 137 h 567"/>
              <a:gd name="T42" fmla="*/ 498 w 2268"/>
              <a:gd name="T43" fmla="*/ 164 h 567"/>
              <a:gd name="T44" fmla="*/ 415 w 2268"/>
              <a:gd name="T45" fmla="*/ 210 h 567"/>
              <a:gd name="T46" fmla="*/ 341 w 2268"/>
              <a:gd name="T47" fmla="*/ 237 h 567"/>
              <a:gd name="T48" fmla="*/ 267 w 2268"/>
              <a:gd name="T49" fmla="*/ 274 h 567"/>
              <a:gd name="T50" fmla="*/ 175 w 2268"/>
              <a:gd name="T51" fmla="*/ 329 h 567"/>
              <a:gd name="T52" fmla="*/ 92 w 2268"/>
              <a:gd name="T53" fmla="*/ 347 h 567"/>
              <a:gd name="T54" fmla="*/ 28 w 2268"/>
              <a:gd name="T55" fmla="*/ 356 h 567"/>
              <a:gd name="T56" fmla="*/ 0 w 2268"/>
              <a:gd name="T57" fmla="*/ 356 h 567"/>
              <a:gd name="T58" fmla="*/ 28 w 2268"/>
              <a:gd name="T59" fmla="*/ 365 h 567"/>
              <a:gd name="T60" fmla="*/ 101 w 2268"/>
              <a:gd name="T61" fmla="*/ 384 h 567"/>
              <a:gd name="T62" fmla="*/ 194 w 2268"/>
              <a:gd name="T63" fmla="*/ 402 h 567"/>
              <a:gd name="T64" fmla="*/ 267 w 2268"/>
              <a:gd name="T65" fmla="*/ 402 h 567"/>
              <a:gd name="T66" fmla="*/ 350 w 2268"/>
              <a:gd name="T67" fmla="*/ 402 h 567"/>
              <a:gd name="T68" fmla="*/ 433 w 2268"/>
              <a:gd name="T69" fmla="*/ 384 h 567"/>
              <a:gd name="T70" fmla="*/ 507 w 2268"/>
              <a:gd name="T71" fmla="*/ 356 h 567"/>
              <a:gd name="T72" fmla="*/ 590 w 2268"/>
              <a:gd name="T73" fmla="*/ 338 h 567"/>
              <a:gd name="T74" fmla="*/ 691 w 2268"/>
              <a:gd name="T75" fmla="*/ 329 h 567"/>
              <a:gd name="T76" fmla="*/ 820 w 2268"/>
              <a:gd name="T77" fmla="*/ 356 h 567"/>
              <a:gd name="T78" fmla="*/ 922 w 2268"/>
              <a:gd name="T79" fmla="*/ 402 h 567"/>
              <a:gd name="T80" fmla="*/ 1005 w 2268"/>
              <a:gd name="T81" fmla="*/ 439 h 567"/>
              <a:gd name="T82" fmla="*/ 1078 w 2268"/>
              <a:gd name="T83" fmla="*/ 475 h 567"/>
              <a:gd name="T84" fmla="*/ 1152 w 2268"/>
              <a:gd name="T85" fmla="*/ 512 h 567"/>
              <a:gd name="T86" fmla="*/ 1244 w 2268"/>
              <a:gd name="T87" fmla="*/ 539 h 567"/>
              <a:gd name="T88" fmla="*/ 1364 w 2268"/>
              <a:gd name="T89" fmla="*/ 557 h 567"/>
              <a:gd name="T90" fmla="*/ 1466 w 2268"/>
              <a:gd name="T91" fmla="*/ 539 h 567"/>
              <a:gd name="T92" fmla="*/ 1549 w 2268"/>
              <a:gd name="T93" fmla="*/ 512 h 567"/>
              <a:gd name="T94" fmla="*/ 1650 w 2268"/>
              <a:gd name="T95" fmla="*/ 466 h 567"/>
              <a:gd name="T96" fmla="*/ 1751 w 2268"/>
              <a:gd name="T97" fmla="*/ 429 h 567"/>
              <a:gd name="T98" fmla="*/ 1844 w 2268"/>
              <a:gd name="T99" fmla="*/ 402 h 567"/>
              <a:gd name="T100" fmla="*/ 1963 w 2268"/>
              <a:gd name="T101" fmla="*/ 420 h 567"/>
              <a:gd name="T102" fmla="*/ 2083 w 2268"/>
              <a:gd name="T103" fmla="*/ 457 h 567"/>
              <a:gd name="T104" fmla="*/ 2194 w 2268"/>
              <a:gd name="T105" fmla="*/ 512 h 567"/>
              <a:gd name="T106" fmla="*/ 2258 w 2268"/>
              <a:gd name="T107" fmla="*/ 557 h 567"/>
              <a:gd name="T108" fmla="*/ 2203 w 2268"/>
              <a:gd name="T109" fmla="*/ 73 h 5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268" h="567">
                <a:moveTo>
                  <a:pt x="2203" y="73"/>
                </a:moveTo>
                <a:lnTo>
                  <a:pt x="2194" y="64"/>
                </a:lnTo>
                <a:lnTo>
                  <a:pt x="2166" y="55"/>
                </a:lnTo>
                <a:lnTo>
                  <a:pt x="2120" y="36"/>
                </a:lnTo>
                <a:lnTo>
                  <a:pt x="2074" y="27"/>
                </a:lnTo>
                <a:lnTo>
                  <a:pt x="2028" y="9"/>
                </a:lnTo>
                <a:lnTo>
                  <a:pt x="2000" y="9"/>
                </a:lnTo>
                <a:lnTo>
                  <a:pt x="1963" y="9"/>
                </a:lnTo>
                <a:lnTo>
                  <a:pt x="1927" y="9"/>
                </a:lnTo>
                <a:lnTo>
                  <a:pt x="1880" y="0"/>
                </a:lnTo>
                <a:lnTo>
                  <a:pt x="1844" y="9"/>
                </a:lnTo>
                <a:lnTo>
                  <a:pt x="1807" y="9"/>
                </a:lnTo>
                <a:lnTo>
                  <a:pt x="1770" y="27"/>
                </a:lnTo>
                <a:lnTo>
                  <a:pt x="1715" y="36"/>
                </a:lnTo>
                <a:lnTo>
                  <a:pt x="1678" y="46"/>
                </a:lnTo>
                <a:lnTo>
                  <a:pt x="1641" y="55"/>
                </a:lnTo>
                <a:lnTo>
                  <a:pt x="1622" y="82"/>
                </a:lnTo>
                <a:lnTo>
                  <a:pt x="1576" y="100"/>
                </a:lnTo>
                <a:lnTo>
                  <a:pt x="1539" y="137"/>
                </a:lnTo>
                <a:lnTo>
                  <a:pt x="1503" y="164"/>
                </a:lnTo>
                <a:lnTo>
                  <a:pt x="1466" y="183"/>
                </a:lnTo>
                <a:lnTo>
                  <a:pt x="1420" y="210"/>
                </a:lnTo>
                <a:lnTo>
                  <a:pt x="1355" y="247"/>
                </a:lnTo>
                <a:lnTo>
                  <a:pt x="1318" y="247"/>
                </a:lnTo>
                <a:lnTo>
                  <a:pt x="1281" y="256"/>
                </a:lnTo>
                <a:lnTo>
                  <a:pt x="1244" y="256"/>
                </a:lnTo>
                <a:lnTo>
                  <a:pt x="1217" y="256"/>
                </a:lnTo>
                <a:lnTo>
                  <a:pt x="1180" y="237"/>
                </a:lnTo>
                <a:lnTo>
                  <a:pt x="1134" y="228"/>
                </a:lnTo>
                <a:lnTo>
                  <a:pt x="1106" y="210"/>
                </a:lnTo>
                <a:lnTo>
                  <a:pt x="1069" y="210"/>
                </a:lnTo>
                <a:lnTo>
                  <a:pt x="1032" y="183"/>
                </a:lnTo>
                <a:lnTo>
                  <a:pt x="986" y="174"/>
                </a:lnTo>
                <a:lnTo>
                  <a:pt x="949" y="155"/>
                </a:lnTo>
                <a:lnTo>
                  <a:pt x="913" y="146"/>
                </a:lnTo>
                <a:lnTo>
                  <a:pt x="866" y="128"/>
                </a:lnTo>
                <a:lnTo>
                  <a:pt x="830" y="119"/>
                </a:lnTo>
                <a:lnTo>
                  <a:pt x="784" y="119"/>
                </a:lnTo>
                <a:lnTo>
                  <a:pt x="737" y="119"/>
                </a:lnTo>
                <a:lnTo>
                  <a:pt x="682" y="119"/>
                </a:lnTo>
                <a:lnTo>
                  <a:pt x="636" y="128"/>
                </a:lnTo>
                <a:lnTo>
                  <a:pt x="590" y="137"/>
                </a:lnTo>
                <a:lnTo>
                  <a:pt x="544" y="155"/>
                </a:lnTo>
                <a:lnTo>
                  <a:pt x="498" y="164"/>
                </a:lnTo>
                <a:lnTo>
                  <a:pt x="461" y="183"/>
                </a:lnTo>
                <a:lnTo>
                  <a:pt x="415" y="210"/>
                </a:lnTo>
                <a:lnTo>
                  <a:pt x="378" y="228"/>
                </a:lnTo>
                <a:lnTo>
                  <a:pt x="341" y="237"/>
                </a:lnTo>
                <a:lnTo>
                  <a:pt x="304" y="256"/>
                </a:lnTo>
                <a:lnTo>
                  <a:pt x="267" y="274"/>
                </a:lnTo>
                <a:lnTo>
                  <a:pt x="240" y="292"/>
                </a:lnTo>
                <a:lnTo>
                  <a:pt x="175" y="329"/>
                </a:lnTo>
                <a:lnTo>
                  <a:pt x="138" y="347"/>
                </a:lnTo>
                <a:lnTo>
                  <a:pt x="92" y="347"/>
                </a:lnTo>
                <a:lnTo>
                  <a:pt x="46" y="356"/>
                </a:lnTo>
                <a:lnTo>
                  <a:pt x="28" y="356"/>
                </a:lnTo>
                <a:lnTo>
                  <a:pt x="9" y="356"/>
                </a:lnTo>
                <a:lnTo>
                  <a:pt x="0" y="356"/>
                </a:lnTo>
                <a:lnTo>
                  <a:pt x="9" y="365"/>
                </a:lnTo>
                <a:lnTo>
                  <a:pt x="28" y="365"/>
                </a:lnTo>
                <a:lnTo>
                  <a:pt x="55" y="375"/>
                </a:lnTo>
                <a:lnTo>
                  <a:pt x="101" y="384"/>
                </a:lnTo>
                <a:lnTo>
                  <a:pt x="166" y="402"/>
                </a:lnTo>
                <a:lnTo>
                  <a:pt x="194" y="402"/>
                </a:lnTo>
                <a:lnTo>
                  <a:pt x="230" y="402"/>
                </a:lnTo>
                <a:lnTo>
                  <a:pt x="267" y="402"/>
                </a:lnTo>
                <a:lnTo>
                  <a:pt x="313" y="402"/>
                </a:lnTo>
                <a:lnTo>
                  <a:pt x="350" y="402"/>
                </a:lnTo>
                <a:lnTo>
                  <a:pt x="387" y="402"/>
                </a:lnTo>
                <a:lnTo>
                  <a:pt x="433" y="384"/>
                </a:lnTo>
                <a:lnTo>
                  <a:pt x="479" y="384"/>
                </a:lnTo>
                <a:lnTo>
                  <a:pt x="507" y="356"/>
                </a:lnTo>
                <a:lnTo>
                  <a:pt x="544" y="347"/>
                </a:lnTo>
                <a:lnTo>
                  <a:pt x="590" y="338"/>
                </a:lnTo>
                <a:lnTo>
                  <a:pt x="627" y="338"/>
                </a:lnTo>
                <a:lnTo>
                  <a:pt x="691" y="329"/>
                </a:lnTo>
                <a:lnTo>
                  <a:pt x="765" y="338"/>
                </a:lnTo>
                <a:lnTo>
                  <a:pt x="820" y="356"/>
                </a:lnTo>
                <a:lnTo>
                  <a:pt x="894" y="384"/>
                </a:lnTo>
                <a:lnTo>
                  <a:pt x="922" y="402"/>
                </a:lnTo>
                <a:lnTo>
                  <a:pt x="959" y="420"/>
                </a:lnTo>
                <a:lnTo>
                  <a:pt x="1005" y="439"/>
                </a:lnTo>
                <a:lnTo>
                  <a:pt x="1051" y="466"/>
                </a:lnTo>
                <a:lnTo>
                  <a:pt x="1078" y="475"/>
                </a:lnTo>
                <a:lnTo>
                  <a:pt x="1115" y="493"/>
                </a:lnTo>
                <a:lnTo>
                  <a:pt x="1152" y="512"/>
                </a:lnTo>
                <a:lnTo>
                  <a:pt x="1189" y="521"/>
                </a:lnTo>
                <a:lnTo>
                  <a:pt x="1244" y="539"/>
                </a:lnTo>
                <a:lnTo>
                  <a:pt x="1309" y="557"/>
                </a:lnTo>
                <a:lnTo>
                  <a:pt x="1364" y="557"/>
                </a:lnTo>
                <a:lnTo>
                  <a:pt x="1420" y="557"/>
                </a:lnTo>
                <a:lnTo>
                  <a:pt x="1466" y="539"/>
                </a:lnTo>
                <a:lnTo>
                  <a:pt x="1512" y="539"/>
                </a:lnTo>
                <a:lnTo>
                  <a:pt x="1549" y="512"/>
                </a:lnTo>
                <a:lnTo>
                  <a:pt x="1604" y="484"/>
                </a:lnTo>
                <a:lnTo>
                  <a:pt x="1650" y="466"/>
                </a:lnTo>
                <a:lnTo>
                  <a:pt x="1705" y="448"/>
                </a:lnTo>
                <a:lnTo>
                  <a:pt x="1751" y="429"/>
                </a:lnTo>
                <a:lnTo>
                  <a:pt x="1797" y="420"/>
                </a:lnTo>
                <a:lnTo>
                  <a:pt x="1844" y="402"/>
                </a:lnTo>
                <a:lnTo>
                  <a:pt x="1899" y="411"/>
                </a:lnTo>
                <a:lnTo>
                  <a:pt x="1963" y="420"/>
                </a:lnTo>
                <a:lnTo>
                  <a:pt x="2028" y="439"/>
                </a:lnTo>
                <a:lnTo>
                  <a:pt x="2083" y="457"/>
                </a:lnTo>
                <a:lnTo>
                  <a:pt x="2148" y="484"/>
                </a:lnTo>
                <a:lnTo>
                  <a:pt x="2194" y="512"/>
                </a:lnTo>
                <a:lnTo>
                  <a:pt x="2231" y="539"/>
                </a:lnTo>
                <a:lnTo>
                  <a:pt x="2258" y="557"/>
                </a:lnTo>
                <a:lnTo>
                  <a:pt x="2268" y="567"/>
                </a:lnTo>
                <a:lnTo>
                  <a:pt x="2203" y="73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2" name="Freeform 80">
            <a:extLst>
              <a:ext uri="{FF2B5EF4-FFF2-40B4-BE49-F238E27FC236}">
                <a16:creationId xmlns="" xmlns:a16="http://schemas.microsoft.com/office/drawing/2014/main" id="{00000000-0008-0000-0400-000052000000}"/>
              </a:ext>
            </a:extLst>
          </xdr:cNvPr>
          <xdr:cNvSpPr>
            <a:spLocks/>
          </xdr:cNvSpPr>
        </xdr:nvSpPr>
        <xdr:spPr bwMode="auto">
          <a:xfrm>
            <a:off x="396161" y="267675"/>
            <a:ext cx="172740" cy="170539"/>
          </a:xfrm>
          <a:custGeom>
            <a:avLst/>
            <a:gdLst>
              <a:gd name="T0" fmla="*/ 857 w 2157"/>
              <a:gd name="T1" fmla="*/ 2130 h 2130"/>
              <a:gd name="T2" fmla="*/ 1032 w 2157"/>
              <a:gd name="T3" fmla="*/ 2038 h 2130"/>
              <a:gd name="T4" fmla="*/ 1189 w 2157"/>
              <a:gd name="T5" fmla="*/ 1947 h 2130"/>
              <a:gd name="T6" fmla="*/ 1336 w 2157"/>
              <a:gd name="T7" fmla="*/ 1837 h 2130"/>
              <a:gd name="T8" fmla="*/ 1475 w 2157"/>
              <a:gd name="T9" fmla="*/ 1718 h 2130"/>
              <a:gd name="T10" fmla="*/ 1585 w 2157"/>
              <a:gd name="T11" fmla="*/ 1590 h 2130"/>
              <a:gd name="T12" fmla="*/ 1696 w 2157"/>
              <a:gd name="T13" fmla="*/ 1453 h 2130"/>
              <a:gd name="T14" fmla="*/ 1788 w 2157"/>
              <a:gd name="T15" fmla="*/ 1316 h 2130"/>
              <a:gd name="T16" fmla="*/ 1871 w 2157"/>
              <a:gd name="T17" fmla="*/ 1170 h 2130"/>
              <a:gd name="T18" fmla="*/ 1935 w 2157"/>
              <a:gd name="T19" fmla="*/ 1014 h 2130"/>
              <a:gd name="T20" fmla="*/ 1991 w 2157"/>
              <a:gd name="T21" fmla="*/ 868 h 2130"/>
              <a:gd name="T22" fmla="*/ 2037 w 2157"/>
              <a:gd name="T23" fmla="*/ 713 h 2130"/>
              <a:gd name="T24" fmla="*/ 2083 w 2157"/>
              <a:gd name="T25" fmla="*/ 566 h 2130"/>
              <a:gd name="T26" fmla="*/ 2111 w 2157"/>
              <a:gd name="T27" fmla="*/ 420 h 2130"/>
              <a:gd name="T28" fmla="*/ 2138 w 2157"/>
              <a:gd name="T29" fmla="*/ 274 h 2130"/>
              <a:gd name="T30" fmla="*/ 2147 w 2157"/>
              <a:gd name="T31" fmla="*/ 137 h 2130"/>
              <a:gd name="T32" fmla="*/ 2157 w 2157"/>
              <a:gd name="T33" fmla="*/ 9 h 2130"/>
              <a:gd name="T34" fmla="*/ 2129 w 2157"/>
              <a:gd name="T35" fmla="*/ 0 h 2130"/>
              <a:gd name="T36" fmla="*/ 2064 w 2157"/>
              <a:gd name="T37" fmla="*/ 0 h 2130"/>
              <a:gd name="T38" fmla="*/ 1954 w 2157"/>
              <a:gd name="T39" fmla="*/ 0 h 2130"/>
              <a:gd name="T40" fmla="*/ 1816 w 2157"/>
              <a:gd name="T41" fmla="*/ 0 h 2130"/>
              <a:gd name="T42" fmla="*/ 1650 w 2157"/>
              <a:gd name="T43" fmla="*/ 0 h 2130"/>
              <a:gd name="T44" fmla="*/ 1465 w 2157"/>
              <a:gd name="T45" fmla="*/ 0 h 2130"/>
              <a:gd name="T46" fmla="*/ 1272 w 2157"/>
              <a:gd name="T47" fmla="*/ 0 h 2130"/>
              <a:gd name="T48" fmla="*/ 1078 w 2157"/>
              <a:gd name="T49" fmla="*/ 9 h 2130"/>
              <a:gd name="T50" fmla="*/ 866 w 2157"/>
              <a:gd name="T51" fmla="*/ 9 h 2130"/>
              <a:gd name="T52" fmla="*/ 673 w 2157"/>
              <a:gd name="T53" fmla="*/ 9 h 2130"/>
              <a:gd name="T54" fmla="*/ 497 w 2157"/>
              <a:gd name="T55" fmla="*/ 9 h 2130"/>
              <a:gd name="T56" fmla="*/ 332 w 2157"/>
              <a:gd name="T57" fmla="*/ 18 h 2130"/>
              <a:gd name="T58" fmla="*/ 184 w 2157"/>
              <a:gd name="T59" fmla="*/ 18 h 2130"/>
              <a:gd name="T60" fmla="*/ 83 w 2157"/>
              <a:gd name="T61" fmla="*/ 18 h 2130"/>
              <a:gd name="T62" fmla="*/ 18 w 2157"/>
              <a:gd name="T63" fmla="*/ 18 h 2130"/>
              <a:gd name="T64" fmla="*/ 0 w 2157"/>
              <a:gd name="T65" fmla="*/ 18 h 2130"/>
              <a:gd name="T66" fmla="*/ 857 w 2157"/>
              <a:gd name="T67" fmla="*/ 2130 h 2130"/>
              <a:gd name="T68" fmla="*/ 857 w 2157"/>
              <a:gd name="T69" fmla="*/ 2130 h 21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157" h="2130">
                <a:moveTo>
                  <a:pt x="857" y="2130"/>
                </a:moveTo>
                <a:lnTo>
                  <a:pt x="1032" y="2038"/>
                </a:lnTo>
                <a:lnTo>
                  <a:pt x="1189" y="1947"/>
                </a:lnTo>
                <a:lnTo>
                  <a:pt x="1336" y="1837"/>
                </a:lnTo>
                <a:lnTo>
                  <a:pt x="1475" y="1718"/>
                </a:lnTo>
                <a:lnTo>
                  <a:pt x="1585" y="1590"/>
                </a:lnTo>
                <a:lnTo>
                  <a:pt x="1696" y="1453"/>
                </a:lnTo>
                <a:lnTo>
                  <a:pt x="1788" y="1316"/>
                </a:lnTo>
                <a:lnTo>
                  <a:pt x="1871" y="1170"/>
                </a:lnTo>
                <a:lnTo>
                  <a:pt x="1935" y="1014"/>
                </a:lnTo>
                <a:lnTo>
                  <a:pt x="1991" y="868"/>
                </a:lnTo>
                <a:lnTo>
                  <a:pt x="2037" y="713"/>
                </a:lnTo>
                <a:lnTo>
                  <a:pt x="2083" y="566"/>
                </a:lnTo>
                <a:lnTo>
                  <a:pt x="2111" y="420"/>
                </a:lnTo>
                <a:lnTo>
                  <a:pt x="2138" y="274"/>
                </a:lnTo>
                <a:lnTo>
                  <a:pt x="2147" y="137"/>
                </a:lnTo>
                <a:lnTo>
                  <a:pt x="2157" y="9"/>
                </a:lnTo>
                <a:lnTo>
                  <a:pt x="2129" y="0"/>
                </a:lnTo>
                <a:lnTo>
                  <a:pt x="2064" y="0"/>
                </a:lnTo>
                <a:lnTo>
                  <a:pt x="1954" y="0"/>
                </a:lnTo>
                <a:lnTo>
                  <a:pt x="1816" y="0"/>
                </a:lnTo>
                <a:lnTo>
                  <a:pt x="1650" y="0"/>
                </a:lnTo>
                <a:lnTo>
                  <a:pt x="1465" y="0"/>
                </a:lnTo>
                <a:lnTo>
                  <a:pt x="1272" y="0"/>
                </a:lnTo>
                <a:lnTo>
                  <a:pt x="1078" y="9"/>
                </a:lnTo>
                <a:lnTo>
                  <a:pt x="866" y="9"/>
                </a:lnTo>
                <a:lnTo>
                  <a:pt x="673" y="9"/>
                </a:lnTo>
                <a:lnTo>
                  <a:pt x="497" y="9"/>
                </a:lnTo>
                <a:lnTo>
                  <a:pt x="332" y="18"/>
                </a:lnTo>
                <a:lnTo>
                  <a:pt x="184" y="18"/>
                </a:lnTo>
                <a:lnTo>
                  <a:pt x="83" y="18"/>
                </a:lnTo>
                <a:lnTo>
                  <a:pt x="18" y="18"/>
                </a:lnTo>
                <a:lnTo>
                  <a:pt x="0" y="18"/>
                </a:lnTo>
                <a:lnTo>
                  <a:pt x="857" y="213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3" name="Freeform 81">
            <a:extLst>
              <a:ext uri="{FF2B5EF4-FFF2-40B4-BE49-F238E27FC236}">
                <a16:creationId xmlns="" xmlns:a16="http://schemas.microsoft.com/office/drawing/2014/main" id="{00000000-0008-0000-0400-000053000000}"/>
              </a:ext>
            </a:extLst>
          </xdr:cNvPr>
          <xdr:cNvSpPr>
            <a:spLocks/>
          </xdr:cNvSpPr>
        </xdr:nvSpPr>
        <xdr:spPr bwMode="auto">
          <a:xfrm>
            <a:off x="235555" y="128484"/>
            <a:ext cx="307233" cy="305090"/>
          </a:xfrm>
          <a:custGeom>
            <a:avLst/>
            <a:gdLst>
              <a:gd name="T0" fmla="*/ 2101 w 3834"/>
              <a:gd name="T1" fmla="*/ 3793 h 3812"/>
              <a:gd name="T2" fmla="*/ 2470 w 3834"/>
              <a:gd name="T3" fmla="*/ 3711 h 3812"/>
              <a:gd name="T4" fmla="*/ 2820 w 3834"/>
              <a:gd name="T5" fmla="*/ 3574 h 3812"/>
              <a:gd name="T6" fmla="*/ 3125 w 3834"/>
              <a:gd name="T7" fmla="*/ 3364 h 3812"/>
              <a:gd name="T8" fmla="*/ 3383 w 3834"/>
              <a:gd name="T9" fmla="*/ 3108 h 3812"/>
              <a:gd name="T10" fmla="*/ 3595 w 3834"/>
              <a:gd name="T11" fmla="*/ 2806 h 3812"/>
              <a:gd name="T12" fmla="*/ 3733 w 3834"/>
              <a:gd name="T13" fmla="*/ 2459 h 3812"/>
              <a:gd name="T14" fmla="*/ 3825 w 3834"/>
              <a:gd name="T15" fmla="*/ 2093 h 3812"/>
              <a:gd name="T16" fmla="*/ 3825 w 3834"/>
              <a:gd name="T17" fmla="*/ 1709 h 3812"/>
              <a:gd name="T18" fmla="*/ 3733 w 3834"/>
              <a:gd name="T19" fmla="*/ 1335 h 3812"/>
              <a:gd name="T20" fmla="*/ 3595 w 3834"/>
              <a:gd name="T21" fmla="*/ 987 h 3812"/>
              <a:gd name="T22" fmla="*/ 3383 w 3834"/>
              <a:gd name="T23" fmla="*/ 686 h 3812"/>
              <a:gd name="T24" fmla="*/ 3125 w 3834"/>
              <a:gd name="T25" fmla="*/ 430 h 3812"/>
              <a:gd name="T26" fmla="*/ 2820 w 3834"/>
              <a:gd name="T27" fmla="*/ 229 h 3812"/>
              <a:gd name="T28" fmla="*/ 2470 w 3834"/>
              <a:gd name="T29" fmla="*/ 82 h 3812"/>
              <a:gd name="T30" fmla="*/ 2101 w 3834"/>
              <a:gd name="T31" fmla="*/ 9 h 3812"/>
              <a:gd name="T32" fmla="*/ 1714 w 3834"/>
              <a:gd name="T33" fmla="*/ 9 h 3812"/>
              <a:gd name="T34" fmla="*/ 1336 w 3834"/>
              <a:gd name="T35" fmla="*/ 82 h 3812"/>
              <a:gd name="T36" fmla="*/ 995 w 3834"/>
              <a:gd name="T37" fmla="*/ 229 h 3812"/>
              <a:gd name="T38" fmla="*/ 691 w 3834"/>
              <a:gd name="T39" fmla="*/ 430 h 3812"/>
              <a:gd name="T40" fmla="*/ 424 w 3834"/>
              <a:gd name="T41" fmla="*/ 686 h 3812"/>
              <a:gd name="T42" fmla="*/ 230 w 3834"/>
              <a:gd name="T43" fmla="*/ 987 h 3812"/>
              <a:gd name="T44" fmla="*/ 74 w 3834"/>
              <a:gd name="T45" fmla="*/ 1335 h 3812"/>
              <a:gd name="T46" fmla="*/ 9 w 3834"/>
              <a:gd name="T47" fmla="*/ 1709 h 3812"/>
              <a:gd name="T48" fmla="*/ 9 w 3834"/>
              <a:gd name="T49" fmla="*/ 2093 h 3812"/>
              <a:gd name="T50" fmla="*/ 74 w 3834"/>
              <a:gd name="T51" fmla="*/ 2459 h 3812"/>
              <a:gd name="T52" fmla="*/ 230 w 3834"/>
              <a:gd name="T53" fmla="*/ 2806 h 3812"/>
              <a:gd name="T54" fmla="*/ 424 w 3834"/>
              <a:gd name="T55" fmla="*/ 3108 h 3812"/>
              <a:gd name="T56" fmla="*/ 691 w 3834"/>
              <a:gd name="T57" fmla="*/ 3364 h 3812"/>
              <a:gd name="T58" fmla="*/ 995 w 3834"/>
              <a:gd name="T59" fmla="*/ 3574 h 3812"/>
              <a:gd name="T60" fmla="*/ 1336 w 3834"/>
              <a:gd name="T61" fmla="*/ 3711 h 3812"/>
              <a:gd name="T62" fmla="*/ 1714 w 3834"/>
              <a:gd name="T63" fmla="*/ 3793 h 3812"/>
              <a:gd name="T64" fmla="*/ 1917 w 3834"/>
              <a:gd name="T65" fmla="*/ 3812 h 38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834" h="3812">
                <a:moveTo>
                  <a:pt x="1917" y="3812"/>
                </a:moveTo>
                <a:lnTo>
                  <a:pt x="2101" y="3793"/>
                </a:lnTo>
                <a:lnTo>
                  <a:pt x="2295" y="3766"/>
                </a:lnTo>
                <a:lnTo>
                  <a:pt x="2470" y="3711"/>
                </a:lnTo>
                <a:lnTo>
                  <a:pt x="2655" y="3656"/>
                </a:lnTo>
                <a:lnTo>
                  <a:pt x="2820" y="3574"/>
                </a:lnTo>
                <a:lnTo>
                  <a:pt x="2977" y="3474"/>
                </a:lnTo>
                <a:lnTo>
                  <a:pt x="3125" y="3364"/>
                </a:lnTo>
                <a:lnTo>
                  <a:pt x="3272" y="3245"/>
                </a:lnTo>
                <a:lnTo>
                  <a:pt x="3383" y="3108"/>
                </a:lnTo>
                <a:lnTo>
                  <a:pt x="3493" y="2962"/>
                </a:lnTo>
                <a:lnTo>
                  <a:pt x="3595" y="2806"/>
                </a:lnTo>
                <a:lnTo>
                  <a:pt x="3678" y="2642"/>
                </a:lnTo>
                <a:lnTo>
                  <a:pt x="3733" y="2459"/>
                </a:lnTo>
                <a:lnTo>
                  <a:pt x="3788" y="2276"/>
                </a:lnTo>
                <a:lnTo>
                  <a:pt x="3825" y="2093"/>
                </a:lnTo>
                <a:lnTo>
                  <a:pt x="3834" y="1901"/>
                </a:lnTo>
                <a:lnTo>
                  <a:pt x="3825" y="1709"/>
                </a:lnTo>
                <a:lnTo>
                  <a:pt x="3788" y="1517"/>
                </a:lnTo>
                <a:lnTo>
                  <a:pt x="3733" y="1335"/>
                </a:lnTo>
                <a:lnTo>
                  <a:pt x="3678" y="1161"/>
                </a:lnTo>
                <a:lnTo>
                  <a:pt x="3595" y="987"/>
                </a:lnTo>
                <a:lnTo>
                  <a:pt x="3493" y="841"/>
                </a:lnTo>
                <a:lnTo>
                  <a:pt x="3383" y="686"/>
                </a:lnTo>
                <a:lnTo>
                  <a:pt x="3272" y="558"/>
                </a:lnTo>
                <a:lnTo>
                  <a:pt x="3125" y="430"/>
                </a:lnTo>
                <a:lnTo>
                  <a:pt x="2977" y="320"/>
                </a:lnTo>
                <a:lnTo>
                  <a:pt x="2820" y="229"/>
                </a:lnTo>
                <a:lnTo>
                  <a:pt x="2655" y="146"/>
                </a:lnTo>
                <a:lnTo>
                  <a:pt x="2470" y="82"/>
                </a:lnTo>
                <a:lnTo>
                  <a:pt x="2295" y="37"/>
                </a:lnTo>
                <a:lnTo>
                  <a:pt x="2101" y="9"/>
                </a:lnTo>
                <a:lnTo>
                  <a:pt x="1917" y="0"/>
                </a:lnTo>
                <a:lnTo>
                  <a:pt x="1714" y="9"/>
                </a:lnTo>
                <a:lnTo>
                  <a:pt x="1530" y="37"/>
                </a:lnTo>
                <a:lnTo>
                  <a:pt x="1336" y="82"/>
                </a:lnTo>
                <a:lnTo>
                  <a:pt x="1161" y="146"/>
                </a:lnTo>
                <a:lnTo>
                  <a:pt x="995" y="229"/>
                </a:lnTo>
                <a:lnTo>
                  <a:pt x="839" y="320"/>
                </a:lnTo>
                <a:lnTo>
                  <a:pt x="691" y="430"/>
                </a:lnTo>
                <a:lnTo>
                  <a:pt x="553" y="558"/>
                </a:lnTo>
                <a:lnTo>
                  <a:pt x="424" y="686"/>
                </a:lnTo>
                <a:lnTo>
                  <a:pt x="322" y="841"/>
                </a:lnTo>
                <a:lnTo>
                  <a:pt x="230" y="987"/>
                </a:lnTo>
                <a:lnTo>
                  <a:pt x="147" y="1161"/>
                </a:lnTo>
                <a:lnTo>
                  <a:pt x="74" y="1335"/>
                </a:lnTo>
                <a:lnTo>
                  <a:pt x="37" y="1517"/>
                </a:lnTo>
                <a:lnTo>
                  <a:pt x="9" y="1709"/>
                </a:lnTo>
                <a:lnTo>
                  <a:pt x="0" y="1901"/>
                </a:lnTo>
                <a:lnTo>
                  <a:pt x="9" y="2093"/>
                </a:lnTo>
                <a:lnTo>
                  <a:pt x="37" y="2276"/>
                </a:lnTo>
                <a:lnTo>
                  <a:pt x="74" y="2459"/>
                </a:lnTo>
                <a:lnTo>
                  <a:pt x="147" y="2642"/>
                </a:lnTo>
                <a:lnTo>
                  <a:pt x="230" y="2806"/>
                </a:lnTo>
                <a:lnTo>
                  <a:pt x="322" y="2962"/>
                </a:lnTo>
                <a:lnTo>
                  <a:pt x="424" y="3108"/>
                </a:lnTo>
                <a:lnTo>
                  <a:pt x="553" y="3245"/>
                </a:lnTo>
                <a:lnTo>
                  <a:pt x="691" y="3364"/>
                </a:lnTo>
                <a:lnTo>
                  <a:pt x="839" y="3474"/>
                </a:lnTo>
                <a:lnTo>
                  <a:pt x="995" y="3574"/>
                </a:lnTo>
                <a:lnTo>
                  <a:pt x="1161" y="3656"/>
                </a:lnTo>
                <a:lnTo>
                  <a:pt x="1336" y="3711"/>
                </a:lnTo>
                <a:lnTo>
                  <a:pt x="1530" y="3766"/>
                </a:lnTo>
                <a:lnTo>
                  <a:pt x="1714" y="3793"/>
                </a:lnTo>
                <a:lnTo>
                  <a:pt x="1917" y="3812"/>
                </a:lnTo>
                <a:close/>
              </a:path>
            </a:pathLst>
          </a:custGeom>
          <a:solidFill>
            <a:srgbClr val="E6FF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4" name="Freeform 82">
            <a:extLst>
              <a:ext uri="{FF2B5EF4-FFF2-40B4-BE49-F238E27FC236}">
                <a16:creationId xmlns="" xmlns:a16="http://schemas.microsoft.com/office/drawing/2014/main" id="{00000000-0008-0000-0400-000054000000}"/>
              </a:ext>
            </a:extLst>
          </xdr:cNvPr>
          <xdr:cNvSpPr>
            <a:spLocks/>
          </xdr:cNvSpPr>
        </xdr:nvSpPr>
        <xdr:spPr bwMode="auto">
          <a:xfrm>
            <a:off x="234722" y="128068"/>
            <a:ext cx="258575" cy="256790"/>
          </a:xfrm>
          <a:custGeom>
            <a:avLst/>
            <a:gdLst>
              <a:gd name="T0" fmla="*/ 1779 w 3227"/>
              <a:gd name="T1" fmla="*/ 3190 h 3208"/>
              <a:gd name="T2" fmla="*/ 2083 w 3227"/>
              <a:gd name="T3" fmla="*/ 3126 h 3208"/>
              <a:gd name="T4" fmla="*/ 2369 w 3227"/>
              <a:gd name="T5" fmla="*/ 2998 h 3208"/>
              <a:gd name="T6" fmla="*/ 2627 w 3227"/>
              <a:gd name="T7" fmla="*/ 2825 h 3208"/>
              <a:gd name="T8" fmla="*/ 2849 w 3227"/>
              <a:gd name="T9" fmla="*/ 2605 h 3208"/>
              <a:gd name="T10" fmla="*/ 3024 w 3227"/>
              <a:gd name="T11" fmla="*/ 2349 h 3208"/>
              <a:gd name="T12" fmla="*/ 3153 w 3227"/>
              <a:gd name="T13" fmla="*/ 2066 h 3208"/>
              <a:gd name="T14" fmla="*/ 3217 w 3227"/>
              <a:gd name="T15" fmla="*/ 1755 h 3208"/>
              <a:gd name="T16" fmla="*/ 3217 w 3227"/>
              <a:gd name="T17" fmla="*/ 1426 h 3208"/>
              <a:gd name="T18" fmla="*/ 3153 w 3227"/>
              <a:gd name="T19" fmla="*/ 1124 h 3208"/>
              <a:gd name="T20" fmla="*/ 3024 w 3227"/>
              <a:gd name="T21" fmla="*/ 832 h 3208"/>
              <a:gd name="T22" fmla="*/ 2849 w 3227"/>
              <a:gd name="T23" fmla="*/ 585 h 3208"/>
              <a:gd name="T24" fmla="*/ 2627 w 3227"/>
              <a:gd name="T25" fmla="*/ 366 h 3208"/>
              <a:gd name="T26" fmla="*/ 2369 w 3227"/>
              <a:gd name="T27" fmla="*/ 192 h 3208"/>
              <a:gd name="T28" fmla="*/ 2083 w 3227"/>
              <a:gd name="T29" fmla="*/ 64 h 3208"/>
              <a:gd name="T30" fmla="*/ 1779 w 3227"/>
              <a:gd name="T31" fmla="*/ 9 h 3208"/>
              <a:gd name="T32" fmla="*/ 1438 w 3227"/>
              <a:gd name="T33" fmla="*/ 9 h 3208"/>
              <a:gd name="T34" fmla="*/ 1125 w 3227"/>
              <a:gd name="T35" fmla="*/ 64 h 3208"/>
              <a:gd name="T36" fmla="*/ 839 w 3227"/>
              <a:gd name="T37" fmla="*/ 192 h 3208"/>
              <a:gd name="T38" fmla="*/ 581 w 3227"/>
              <a:gd name="T39" fmla="*/ 366 h 3208"/>
              <a:gd name="T40" fmla="*/ 369 w 3227"/>
              <a:gd name="T41" fmla="*/ 585 h 3208"/>
              <a:gd name="T42" fmla="*/ 194 w 3227"/>
              <a:gd name="T43" fmla="*/ 832 h 3208"/>
              <a:gd name="T44" fmla="*/ 65 w 3227"/>
              <a:gd name="T45" fmla="*/ 1124 h 3208"/>
              <a:gd name="T46" fmla="*/ 9 w 3227"/>
              <a:gd name="T47" fmla="*/ 1426 h 3208"/>
              <a:gd name="T48" fmla="*/ 9 w 3227"/>
              <a:gd name="T49" fmla="*/ 1755 h 3208"/>
              <a:gd name="T50" fmla="*/ 65 w 3227"/>
              <a:gd name="T51" fmla="*/ 2066 h 3208"/>
              <a:gd name="T52" fmla="*/ 194 w 3227"/>
              <a:gd name="T53" fmla="*/ 2349 h 3208"/>
              <a:gd name="T54" fmla="*/ 369 w 3227"/>
              <a:gd name="T55" fmla="*/ 2605 h 3208"/>
              <a:gd name="T56" fmla="*/ 581 w 3227"/>
              <a:gd name="T57" fmla="*/ 2825 h 3208"/>
              <a:gd name="T58" fmla="*/ 839 w 3227"/>
              <a:gd name="T59" fmla="*/ 2998 h 3208"/>
              <a:gd name="T60" fmla="*/ 1125 w 3227"/>
              <a:gd name="T61" fmla="*/ 3126 h 3208"/>
              <a:gd name="T62" fmla="*/ 1438 w 3227"/>
              <a:gd name="T63" fmla="*/ 3190 h 3208"/>
              <a:gd name="T64" fmla="*/ 1613 w 3227"/>
              <a:gd name="T65" fmla="*/ 3208 h 3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227" h="3208">
                <a:moveTo>
                  <a:pt x="1613" y="3208"/>
                </a:moveTo>
                <a:lnTo>
                  <a:pt x="1779" y="3190"/>
                </a:lnTo>
                <a:lnTo>
                  <a:pt x="1936" y="3163"/>
                </a:lnTo>
                <a:lnTo>
                  <a:pt x="2083" y="3126"/>
                </a:lnTo>
                <a:lnTo>
                  <a:pt x="2240" y="3080"/>
                </a:lnTo>
                <a:lnTo>
                  <a:pt x="2369" y="2998"/>
                </a:lnTo>
                <a:lnTo>
                  <a:pt x="2508" y="2925"/>
                </a:lnTo>
                <a:lnTo>
                  <a:pt x="2627" y="2825"/>
                </a:lnTo>
                <a:lnTo>
                  <a:pt x="2756" y="2733"/>
                </a:lnTo>
                <a:lnTo>
                  <a:pt x="2849" y="2605"/>
                </a:lnTo>
                <a:lnTo>
                  <a:pt x="2941" y="2486"/>
                </a:lnTo>
                <a:lnTo>
                  <a:pt x="3024" y="2349"/>
                </a:lnTo>
                <a:lnTo>
                  <a:pt x="3097" y="2221"/>
                </a:lnTo>
                <a:lnTo>
                  <a:pt x="3153" y="2066"/>
                </a:lnTo>
                <a:lnTo>
                  <a:pt x="3190" y="1920"/>
                </a:lnTo>
                <a:lnTo>
                  <a:pt x="3217" y="1755"/>
                </a:lnTo>
                <a:lnTo>
                  <a:pt x="3227" y="1600"/>
                </a:lnTo>
                <a:lnTo>
                  <a:pt x="3217" y="1426"/>
                </a:lnTo>
                <a:lnTo>
                  <a:pt x="3190" y="1280"/>
                </a:lnTo>
                <a:lnTo>
                  <a:pt x="3153" y="1124"/>
                </a:lnTo>
                <a:lnTo>
                  <a:pt x="3097" y="978"/>
                </a:lnTo>
                <a:lnTo>
                  <a:pt x="3024" y="832"/>
                </a:lnTo>
                <a:lnTo>
                  <a:pt x="2941" y="704"/>
                </a:lnTo>
                <a:lnTo>
                  <a:pt x="2849" y="585"/>
                </a:lnTo>
                <a:lnTo>
                  <a:pt x="2756" y="475"/>
                </a:lnTo>
                <a:lnTo>
                  <a:pt x="2627" y="366"/>
                </a:lnTo>
                <a:lnTo>
                  <a:pt x="2508" y="274"/>
                </a:lnTo>
                <a:lnTo>
                  <a:pt x="2369" y="192"/>
                </a:lnTo>
                <a:lnTo>
                  <a:pt x="2240" y="128"/>
                </a:lnTo>
                <a:lnTo>
                  <a:pt x="2083" y="64"/>
                </a:lnTo>
                <a:lnTo>
                  <a:pt x="1936" y="37"/>
                </a:lnTo>
                <a:lnTo>
                  <a:pt x="1779" y="9"/>
                </a:lnTo>
                <a:lnTo>
                  <a:pt x="1613" y="0"/>
                </a:lnTo>
                <a:lnTo>
                  <a:pt x="1438" y="9"/>
                </a:lnTo>
                <a:lnTo>
                  <a:pt x="1282" y="37"/>
                </a:lnTo>
                <a:lnTo>
                  <a:pt x="1125" y="64"/>
                </a:lnTo>
                <a:lnTo>
                  <a:pt x="987" y="128"/>
                </a:lnTo>
                <a:lnTo>
                  <a:pt x="839" y="192"/>
                </a:lnTo>
                <a:lnTo>
                  <a:pt x="710" y="274"/>
                </a:lnTo>
                <a:lnTo>
                  <a:pt x="581" y="366"/>
                </a:lnTo>
                <a:lnTo>
                  <a:pt x="470" y="475"/>
                </a:lnTo>
                <a:lnTo>
                  <a:pt x="369" y="585"/>
                </a:lnTo>
                <a:lnTo>
                  <a:pt x="277" y="704"/>
                </a:lnTo>
                <a:lnTo>
                  <a:pt x="194" y="832"/>
                </a:lnTo>
                <a:lnTo>
                  <a:pt x="129" y="978"/>
                </a:lnTo>
                <a:lnTo>
                  <a:pt x="65" y="1124"/>
                </a:lnTo>
                <a:lnTo>
                  <a:pt x="37" y="1280"/>
                </a:lnTo>
                <a:lnTo>
                  <a:pt x="9" y="1426"/>
                </a:lnTo>
                <a:lnTo>
                  <a:pt x="0" y="1600"/>
                </a:lnTo>
                <a:lnTo>
                  <a:pt x="9" y="1755"/>
                </a:lnTo>
                <a:lnTo>
                  <a:pt x="37" y="1920"/>
                </a:lnTo>
                <a:lnTo>
                  <a:pt x="65" y="2066"/>
                </a:lnTo>
                <a:lnTo>
                  <a:pt x="129" y="2221"/>
                </a:lnTo>
                <a:lnTo>
                  <a:pt x="194" y="2349"/>
                </a:lnTo>
                <a:lnTo>
                  <a:pt x="277" y="2486"/>
                </a:lnTo>
                <a:lnTo>
                  <a:pt x="369" y="2605"/>
                </a:lnTo>
                <a:lnTo>
                  <a:pt x="470" y="2733"/>
                </a:lnTo>
                <a:lnTo>
                  <a:pt x="581" y="2825"/>
                </a:lnTo>
                <a:lnTo>
                  <a:pt x="710" y="2925"/>
                </a:lnTo>
                <a:lnTo>
                  <a:pt x="839" y="2998"/>
                </a:lnTo>
                <a:lnTo>
                  <a:pt x="987" y="3080"/>
                </a:lnTo>
                <a:lnTo>
                  <a:pt x="1125" y="3126"/>
                </a:lnTo>
                <a:lnTo>
                  <a:pt x="1282" y="3163"/>
                </a:lnTo>
                <a:lnTo>
                  <a:pt x="1438" y="3190"/>
                </a:lnTo>
                <a:lnTo>
                  <a:pt x="1613" y="3208"/>
                </a:lnTo>
                <a:close/>
              </a:path>
            </a:pathLst>
          </a:custGeom>
          <a:solidFill>
            <a:srgbClr val="EDFF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5" name="Freeform 83">
            <a:extLst>
              <a:ext uri="{FF2B5EF4-FFF2-40B4-BE49-F238E27FC236}">
                <a16:creationId xmlns="" xmlns:a16="http://schemas.microsoft.com/office/drawing/2014/main" id="{00000000-0008-0000-0400-000055000000}"/>
              </a:ext>
            </a:extLst>
          </xdr:cNvPr>
          <xdr:cNvSpPr>
            <a:spLocks/>
          </xdr:cNvSpPr>
        </xdr:nvSpPr>
        <xdr:spPr bwMode="auto">
          <a:xfrm>
            <a:off x="256315" y="144901"/>
            <a:ext cx="209799" cy="208489"/>
          </a:xfrm>
          <a:custGeom>
            <a:avLst/>
            <a:gdLst>
              <a:gd name="T0" fmla="*/ 1438 w 2618"/>
              <a:gd name="T1" fmla="*/ 2587 h 2605"/>
              <a:gd name="T2" fmla="*/ 1687 w 2618"/>
              <a:gd name="T3" fmla="*/ 2532 h 2605"/>
              <a:gd name="T4" fmla="*/ 1926 w 2618"/>
              <a:gd name="T5" fmla="*/ 2431 h 2605"/>
              <a:gd name="T6" fmla="*/ 2129 w 2618"/>
              <a:gd name="T7" fmla="*/ 2294 h 2605"/>
              <a:gd name="T8" fmla="*/ 2304 w 2618"/>
              <a:gd name="T9" fmla="*/ 2121 h 2605"/>
              <a:gd name="T10" fmla="*/ 2452 w 2618"/>
              <a:gd name="T11" fmla="*/ 1910 h 2605"/>
              <a:gd name="T12" fmla="*/ 2544 w 2618"/>
              <a:gd name="T13" fmla="*/ 1682 h 2605"/>
              <a:gd name="T14" fmla="*/ 2609 w 2618"/>
              <a:gd name="T15" fmla="*/ 1435 h 2605"/>
              <a:gd name="T16" fmla="*/ 2609 w 2618"/>
              <a:gd name="T17" fmla="*/ 1170 h 2605"/>
              <a:gd name="T18" fmla="*/ 2544 w 2618"/>
              <a:gd name="T19" fmla="*/ 914 h 2605"/>
              <a:gd name="T20" fmla="*/ 2452 w 2618"/>
              <a:gd name="T21" fmla="*/ 676 h 2605"/>
              <a:gd name="T22" fmla="*/ 2304 w 2618"/>
              <a:gd name="T23" fmla="*/ 466 h 2605"/>
              <a:gd name="T24" fmla="*/ 2129 w 2618"/>
              <a:gd name="T25" fmla="*/ 292 h 2605"/>
              <a:gd name="T26" fmla="*/ 1926 w 2618"/>
              <a:gd name="T27" fmla="*/ 155 h 2605"/>
              <a:gd name="T28" fmla="*/ 1687 w 2618"/>
              <a:gd name="T29" fmla="*/ 55 h 2605"/>
              <a:gd name="T30" fmla="*/ 1438 w 2618"/>
              <a:gd name="T31" fmla="*/ 0 h 2605"/>
              <a:gd name="T32" fmla="*/ 1171 w 2618"/>
              <a:gd name="T33" fmla="*/ 0 h 2605"/>
              <a:gd name="T34" fmla="*/ 913 w 2618"/>
              <a:gd name="T35" fmla="*/ 55 h 2605"/>
              <a:gd name="T36" fmla="*/ 673 w 2618"/>
              <a:gd name="T37" fmla="*/ 155 h 2605"/>
              <a:gd name="T38" fmla="*/ 470 w 2618"/>
              <a:gd name="T39" fmla="*/ 292 h 2605"/>
              <a:gd name="T40" fmla="*/ 295 w 2618"/>
              <a:gd name="T41" fmla="*/ 466 h 2605"/>
              <a:gd name="T42" fmla="*/ 147 w 2618"/>
              <a:gd name="T43" fmla="*/ 676 h 2605"/>
              <a:gd name="T44" fmla="*/ 55 w 2618"/>
              <a:gd name="T45" fmla="*/ 914 h 2605"/>
              <a:gd name="T46" fmla="*/ 0 w 2618"/>
              <a:gd name="T47" fmla="*/ 1170 h 2605"/>
              <a:gd name="T48" fmla="*/ 0 w 2618"/>
              <a:gd name="T49" fmla="*/ 1435 h 2605"/>
              <a:gd name="T50" fmla="*/ 55 w 2618"/>
              <a:gd name="T51" fmla="*/ 1682 h 2605"/>
              <a:gd name="T52" fmla="*/ 147 w 2618"/>
              <a:gd name="T53" fmla="*/ 1910 h 2605"/>
              <a:gd name="T54" fmla="*/ 295 w 2618"/>
              <a:gd name="T55" fmla="*/ 2121 h 2605"/>
              <a:gd name="T56" fmla="*/ 470 w 2618"/>
              <a:gd name="T57" fmla="*/ 2294 h 2605"/>
              <a:gd name="T58" fmla="*/ 673 w 2618"/>
              <a:gd name="T59" fmla="*/ 2431 h 2605"/>
              <a:gd name="T60" fmla="*/ 913 w 2618"/>
              <a:gd name="T61" fmla="*/ 2532 h 2605"/>
              <a:gd name="T62" fmla="*/ 1171 w 2618"/>
              <a:gd name="T63" fmla="*/ 2587 h 2605"/>
              <a:gd name="T64" fmla="*/ 1309 w 2618"/>
              <a:gd name="T65" fmla="*/ 2605 h 26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618" h="2605">
                <a:moveTo>
                  <a:pt x="1309" y="2605"/>
                </a:moveTo>
                <a:lnTo>
                  <a:pt x="1438" y="2587"/>
                </a:lnTo>
                <a:lnTo>
                  <a:pt x="1567" y="2569"/>
                </a:lnTo>
                <a:lnTo>
                  <a:pt x="1687" y="2532"/>
                </a:lnTo>
                <a:lnTo>
                  <a:pt x="1816" y="2495"/>
                </a:lnTo>
                <a:lnTo>
                  <a:pt x="1926" y="2431"/>
                </a:lnTo>
                <a:lnTo>
                  <a:pt x="2037" y="2367"/>
                </a:lnTo>
                <a:lnTo>
                  <a:pt x="2129" y="2294"/>
                </a:lnTo>
                <a:lnTo>
                  <a:pt x="2231" y="2212"/>
                </a:lnTo>
                <a:lnTo>
                  <a:pt x="2304" y="2121"/>
                </a:lnTo>
                <a:lnTo>
                  <a:pt x="2387" y="2020"/>
                </a:lnTo>
                <a:lnTo>
                  <a:pt x="2452" y="1910"/>
                </a:lnTo>
                <a:lnTo>
                  <a:pt x="2507" y="1801"/>
                </a:lnTo>
                <a:lnTo>
                  <a:pt x="2544" y="1682"/>
                </a:lnTo>
                <a:lnTo>
                  <a:pt x="2581" y="1563"/>
                </a:lnTo>
                <a:lnTo>
                  <a:pt x="2609" y="1435"/>
                </a:lnTo>
                <a:lnTo>
                  <a:pt x="2618" y="1298"/>
                </a:lnTo>
                <a:lnTo>
                  <a:pt x="2609" y="1170"/>
                </a:lnTo>
                <a:lnTo>
                  <a:pt x="2581" y="1042"/>
                </a:lnTo>
                <a:lnTo>
                  <a:pt x="2544" y="914"/>
                </a:lnTo>
                <a:lnTo>
                  <a:pt x="2507" y="795"/>
                </a:lnTo>
                <a:lnTo>
                  <a:pt x="2452" y="676"/>
                </a:lnTo>
                <a:lnTo>
                  <a:pt x="2387" y="567"/>
                </a:lnTo>
                <a:lnTo>
                  <a:pt x="2304" y="466"/>
                </a:lnTo>
                <a:lnTo>
                  <a:pt x="2231" y="384"/>
                </a:lnTo>
                <a:lnTo>
                  <a:pt x="2129" y="292"/>
                </a:lnTo>
                <a:lnTo>
                  <a:pt x="2037" y="219"/>
                </a:lnTo>
                <a:lnTo>
                  <a:pt x="1926" y="155"/>
                </a:lnTo>
                <a:lnTo>
                  <a:pt x="1816" y="101"/>
                </a:lnTo>
                <a:lnTo>
                  <a:pt x="1687" y="55"/>
                </a:lnTo>
                <a:lnTo>
                  <a:pt x="1567" y="27"/>
                </a:lnTo>
                <a:lnTo>
                  <a:pt x="1438" y="0"/>
                </a:lnTo>
                <a:lnTo>
                  <a:pt x="1309" y="0"/>
                </a:lnTo>
                <a:lnTo>
                  <a:pt x="1171" y="0"/>
                </a:lnTo>
                <a:lnTo>
                  <a:pt x="1042" y="27"/>
                </a:lnTo>
                <a:lnTo>
                  <a:pt x="913" y="55"/>
                </a:lnTo>
                <a:lnTo>
                  <a:pt x="802" y="101"/>
                </a:lnTo>
                <a:lnTo>
                  <a:pt x="673" y="155"/>
                </a:lnTo>
                <a:lnTo>
                  <a:pt x="571" y="219"/>
                </a:lnTo>
                <a:lnTo>
                  <a:pt x="470" y="292"/>
                </a:lnTo>
                <a:lnTo>
                  <a:pt x="387" y="384"/>
                </a:lnTo>
                <a:lnTo>
                  <a:pt x="295" y="466"/>
                </a:lnTo>
                <a:lnTo>
                  <a:pt x="212" y="567"/>
                </a:lnTo>
                <a:lnTo>
                  <a:pt x="147" y="676"/>
                </a:lnTo>
                <a:lnTo>
                  <a:pt x="101" y="795"/>
                </a:lnTo>
                <a:lnTo>
                  <a:pt x="55" y="914"/>
                </a:lnTo>
                <a:lnTo>
                  <a:pt x="18" y="1042"/>
                </a:lnTo>
                <a:lnTo>
                  <a:pt x="0" y="1170"/>
                </a:lnTo>
                <a:lnTo>
                  <a:pt x="0" y="1298"/>
                </a:lnTo>
                <a:lnTo>
                  <a:pt x="0" y="1435"/>
                </a:lnTo>
                <a:lnTo>
                  <a:pt x="18" y="1563"/>
                </a:lnTo>
                <a:lnTo>
                  <a:pt x="55" y="1682"/>
                </a:lnTo>
                <a:lnTo>
                  <a:pt x="101" y="1801"/>
                </a:lnTo>
                <a:lnTo>
                  <a:pt x="147" y="1910"/>
                </a:lnTo>
                <a:lnTo>
                  <a:pt x="212" y="2020"/>
                </a:lnTo>
                <a:lnTo>
                  <a:pt x="295" y="2121"/>
                </a:lnTo>
                <a:lnTo>
                  <a:pt x="387" y="2212"/>
                </a:lnTo>
                <a:lnTo>
                  <a:pt x="470" y="2294"/>
                </a:lnTo>
                <a:lnTo>
                  <a:pt x="571" y="2367"/>
                </a:lnTo>
                <a:lnTo>
                  <a:pt x="673" y="2431"/>
                </a:lnTo>
                <a:lnTo>
                  <a:pt x="802" y="2495"/>
                </a:lnTo>
                <a:lnTo>
                  <a:pt x="913" y="2532"/>
                </a:lnTo>
                <a:lnTo>
                  <a:pt x="1042" y="2569"/>
                </a:lnTo>
                <a:lnTo>
                  <a:pt x="1171" y="2587"/>
                </a:lnTo>
                <a:lnTo>
                  <a:pt x="1309" y="2605"/>
                </a:lnTo>
                <a:close/>
              </a:path>
            </a:pathLst>
          </a:custGeom>
          <a:solidFill>
            <a:srgbClr val="F0FCD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6" name="Freeform 84">
            <a:extLst>
              <a:ext uri="{FF2B5EF4-FFF2-40B4-BE49-F238E27FC236}">
                <a16:creationId xmlns="" xmlns:a16="http://schemas.microsoft.com/office/drawing/2014/main" id="{00000000-0008-0000-0400-000056000000}"/>
              </a:ext>
            </a:extLst>
          </xdr:cNvPr>
          <xdr:cNvSpPr>
            <a:spLocks/>
          </xdr:cNvSpPr>
        </xdr:nvSpPr>
        <xdr:spPr bwMode="auto">
          <a:xfrm>
            <a:off x="268093" y="155073"/>
            <a:ext cx="161082" cy="159534"/>
          </a:xfrm>
          <a:custGeom>
            <a:avLst/>
            <a:gdLst>
              <a:gd name="T0" fmla="*/ 1107 w 2010"/>
              <a:gd name="T1" fmla="*/ 1974 h 1993"/>
              <a:gd name="T2" fmla="*/ 1291 w 2010"/>
              <a:gd name="T3" fmla="*/ 1938 h 1993"/>
              <a:gd name="T4" fmla="*/ 1475 w 2010"/>
              <a:gd name="T5" fmla="*/ 1865 h 1993"/>
              <a:gd name="T6" fmla="*/ 1632 w 2010"/>
              <a:gd name="T7" fmla="*/ 1755 h 1993"/>
              <a:gd name="T8" fmla="*/ 1770 w 2010"/>
              <a:gd name="T9" fmla="*/ 1618 h 1993"/>
              <a:gd name="T10" fmla="*/ 1881 w 2010"/>
              <a:gd name="T11" fmla="*/ 1462 h 1993"/>
              <a:gd name="T12" fmla="*/ 1955 w 2010"/>
              <a:gd name="T13" fmla="*/ 1280 h 1993"/>
              <a:gd name="T14" fmla="*/ 2001 w 2010"/>
              <a:gd name="T15" fmla="*/ 1097 h 1993"/>
              <a:gd name="T16" fmla="*/ 2001 w 2010"/>
              <a:gd name="T17" fmla="*/ 887 h 1993"/>
              <a:gd name="T18" fmla="*/ 1955 w 2010"/>
              <a:gd name="T19" fmla="*/ 695 h 1993"/>
              <a:gd name="T20" fmla="*/ 1881 w 2010"/>
              <a:gd name="T21" fmla="*/ 512 h 1993"/>
              <a:gd name="T22" fmla="*/ 1770 w 2010"/>
              <a:gd name="T23" fmla="*/ 356 h 1993"/>
              <a:gd name="T24" fmla="*/ 1632 w 2010"/>
              <a:gd name="T25" fmla="*/ 219 h 1993"/>
              <a:gd name="T26" fmla="*/ 1475 w 2010"/>
              <a:gd name="T27" fmla="*/ 110 h 1993"/>
              <a:gd name="T28" fmla="*/ 1291 w 2010"/>
              <a:gd name="T29" fmla="*/ 46 h 1993"/>
              <a:gd name="T30" fmla="*/ 1107 w 2010"/>
              <a:gd name="T31" fmla="*/ 0 h 1993"/>
              <a:gd name="T32" fmla="*/ 895 w 2010"/>
              <a:gd name="T33" fmla="*/ 0 h 1993"/>
              <a:gd name="T34" fmla="*/ 701 w 2010"/>
              <a:gd name="T35" fmla="*/ 46 h 1993"/>
              <a:gd name="T36" fmla="*/ 517 w 2010"/>
              <a:gd name="T37" fmla="*/ 110 h 1993"/>
              <a:gd name="T38" fmla="*/ 360 w 2010"/>
              <a:gd name="T39" fmla="*/ 219 h 1993"/>
              <a:gd name="T40" fmla="*/ 222 w 2010"/>
              <a:gd name="T41" fmla="*/ 356 h 1993"/>
              <a:gd name="T42" fmla="*/ 111 w 2010"/>
              <a:gd name="T43" fmla="*/ 512 h 1993"/>
              <a:gd name="T44" fmla="*/ 47 w 2010"/>
              <a:gd name="T45" fmla="*/ 695 h 1993"/>
              <a:gd name="T46" fmla="*/ 0 w 2010"/>
              <a:gd name="T47" fmla="*/ 887 h 1993"/>
              <a:gd name="T48" fmla="*/ 0 w 2010"/>
              <a:gd name="T49" fmla="*/ 1097 h 1993"/>
              <a:gd name="T50" fmla="*/ 47 w 2010"/>
              <a:gd name="T51" fmla="*/ 1280 h 1993"/>
              <a:gd name="T52" fmla="*/ 111 w 2010"/>
              <a:gd name="T53" fmla="*/ 1462 h 1993"/>
              <a:gd name="T54" fmla="*/ 222 w 2010"/>
              <a:gd name="T55" fmla="*/ 1618 h 1993"/>
              <a:gd name="T56" fmla="*/ 360 w 2010"/>
              <a:gd name="T57" fmla="*/ 1755 h 1993"/>
              <a:gd name="T58" fmla="*/ 517 w 2010"/>
              <a:gd name="T59" fmla="*/ 1865 h 1993"/>
              <a:gd name="T60" fmla="*/ 701 w 2010"/>
              <a:gd name="T61" fmla="*/ 1938 h 1993"/>
              <a:gd name="T62" fmla="*/ 895 w 2010"/>
              <a:gd name="T63" fmla="*/ 1974 h 1993"/>
              <a:gd name="T64" fmla="*/ 1005 w 2010"/>
              <a:gd name="T65" fmla="*/ 1993 h 19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0" h="1993">
                <a:moveTo>
                  <a:pt x="1005" y="1993"/>
                </a:moveTo>
                <a:lnTo>
                  <a:pt x="1107" y="1974"/>
                </a:lnTo>
                <a:lnTo>
                  <a:pt x="1199" y="1965"/>
                </a:lnTo>
                <a:lnTo>
                  <a:pt x="1291" y="1938"/>
                </a:lnTo>
                <a:lnTo>
                  <a:pt x="1392" y="1910"/>
                </a:lnTo>
                <a:lnTo>
                  <a:pt x="1475" y="1865"/>
                </a:lnTo>
                <a:lnTo>
                  <a:pt x="1558" y="1810"/>
                </a:lnTo>
                <a:lnTo>
                  <a:pt x="1632" y="1755"/>
                </a:lnTo>
                <a:lnTo>
                  <a:pt x="1715" y="1700"/>
                </a:lnTo>
                <a:lnTo>
                  <a:pt x="1770" y="1618"/>
                </a:lnTo>
                <a:lnTo>
                  <a:pt x="1826" y="1545"/>
                </a:lnTo>
                <a:lnTo>
                  <a:pt x="1881" y="1462"/>
                </a:lnTo>
                <a:lnTo>
                  <a:pt x="1927" y="1380"/>
                </a:lnTo>
                <a:lnTo>
                  <a:pt x="1955" y="1280"/>
                </a:lnTo>
                <a:lnTo>
                  <a:pt x="1982" y="1197"/>
                </a:lnTo>
                <a:lnTo>
                  <a:pt x="2001" y="1097"/>
                </a:lnTo>
                <a:lnTo>
                  <a:pt x="2010" y="996"/>
                </a:lnTo>
                <a:lnTo>
                  <a:pt x="2001" y="887"/>
                </a:lnTo>
                <a:lnTo>
                  <a:pt x="1982" y="795"/>
                </a:lnTo>
                <a:lnTo>
                  <a:pt x="1955" y="695"/>
                </a:lnTo>
                <a:lnTo>
                  <a:pt x="1927" y="612"/>
                </a:lnTo>
                <a:lnTo>
                  <a:pt x="1881" y="512"/>
                </a:lnTo>
                <a:lnTo>
                  <a:pt x="1826" y="439"/>
                </a:lnTo>
                <a:lnTo>
                  <a:pt x="1770" y="356"/>
                </a:lnTo>
                <a:lnTo>
                  <a:pt x="1715" y="292"/>
                </a:lnTo>
                <a:lnTo>
                  <a:pt x="1632" y="219"/>
                </a:lnTo>
                <a:lnTo>
                  <a:pt x="1558" y="164"/>
                </a:lnTo>
                <a:lnTo>
                  <a:pt x="1475" y="110"/>
                </a:lnTo>
                <a:lnTo>
                  <a:pt x="1392" y="82"/>
                </a:lnTo>
                <a:lnTo>
                  <a:pt x="1291" y="46"/>
                </a:lnTo>
                <a:lnTo>
                  <a:pt x="1199" y="27"/>
                </a:lnTo>
                <a:lnTo>
                  <a:pt x="1107" y="0"/>
                </a:lnTo>
                <a:lnTo>
                  <a:pt x="1005" y="0"/>
                </a:lnTo>
                <a:lnTo>
                  <a:pt x="895" y="0"/>
                </a:lnTo>
                <a:lnTo>
                  <a:pt x="802" y="27"/>
                </a:lnTo>
                <a:lnTo>
                  <a:pt x="701" y="46"/>
                </a:lnTo>
                <a:lnTo>
                  <a:pt x="609" y="82"/>
                </a:lnTo>
                <a:lnTo>
                  <a:pt x="517" y="110"/>
                </a:lnTo>
                <a:lnTo>
                  <a:pt x="434" y="164"/>
                </a:lnTo>
                <a:lnTo>
                  <a:pt x="360" y="219"/>
                </a:lnTo>
                <a:lnTo>
                  <a:pt x="295" y="292"/>
                </a:lnTo>
                <a:lnTo>
                  <a:pt x="222" y="356"/>
                </a:lnTo>
                <a:lnTo>
                  <a:pt x="166" y="439"/>
                </a:lnTo>
                <a:lnTo>
                  <a:pt x="111" y="512"/>
                </a:lnTo>
                <a:lnTo>
                  <a:pt x="83" y="612"/>
                </a:lnTo>
                <a:lnTo>
                  <a:pt x="47" y="695"/>
                </a:lnTo>
                <a:lnTo>
                  <a:pt x="19" y="795"/>
                </a:lnTo>
                <a:lnTo>
                  <a:pt x="0" y="887"/>
                </a:lnTo>
                <a:lnTo>
                  <a:pt x="0" y="996"/>
                </a:lnTo>
                <a:lnTo>
                  <a:pt x="0" y="1097"/>
                </a:lnTo>
                <a:lnTo>
                  <a:pt x="19" y="1197"/>
                </a:lnTo>
                <a:lnTo>
                  <a:pt x="47" y="1280"/>
                </a:lnTo>
                <a:lnTo>
                  <a:pt x="83" y="1380"/>
                </a:lnTo>
                <a:lnTo>
                  <a:pt x="111" y="1462"/>
                </a:lnTo>
                <a:lnTo>
                  <a:pt x="166" y="1545"/>
                </a:lnTo>
                <a:lnTo>
                  <a:pt x="222" y="1618"/>
                </a:lnTo>
                <a:lnTo>
                  <a:pt x="295" y="1700"/>
                </a:lnTo>
                <a:lnTo>
                  <a:pt x="360" y="1755"/>
                </a:lnTo>
                <a:lnTo>
                  <a:pt x="434" y="1810"/>
                </a:lnTo>
                <a:lnTo>
                  <a:pt x="517" y="1865"/>
                </a:lnTo>
                <a:lnTo>
                  <a:pt x="609" y="1910"/>
                </a:lnTo>
                <a:lnTo>
                  <a:pt x="701" y="1938"/>
                </a:lnTo>
                <a:lnTo>
                  <a:pt x="802" y="1965"/>
                </a:lnTo>
                <a:lnTo>
                  <a:pt x="895" y="1974"/>
                </a:lnTo>
                <a:lnTo>
                  <a:pt x="1005" y="1993"/>
                </a:lnTo>
                <a:close/>
              </a:path>
            </a:pathLst>
          </a:custGeom>
          <a:solidFill>
            <a:srgbClr val="F5FA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7" name="Freeform 85">
            <a:extLst>
              <a:ext uri="{FF2B5EF4-FFF2-40B4-BE49-F238E27FC236}">
                <a16:creationId xmlns="" xmlns:a16="http://schemas.microsoft.com/office/drawing/2014/main" id="{00000000-0008-0000-0400-000057000000}"/>
              </a:ext>
            </a:extLst>
          </xdr:cNvPr>
          <xdr:cNvSpPr>
            <a:spLocks/>
          </xdr:cNvSpPr>
        </xdr:nvSpPr>
        <xdr:spPr bwMode="auto">
          <a:xfrm>
            <a:off x="524467" y="232758"/>
            <a:ext cx="239303" cy="8744"/>
          </a:xfrm>
          <a:custGeom>
            <a:avLst/>
            <a:gdLst>
              <a:gd name="T0" fmla="*/ 0 w 2987"/>
              <a:gd name="T1" fmla="*/ 110 h 110"/>
              <a:gd name="T2" fmla="*/ 2987 w 2987"/>
              <a:gd name="T3" fmla="*/ 110 h 110"/>
              <a:gd name="T4" fmla="*/ 2987 w 2987"/>
              <a:gd name="T5" fmla="*/ 0 h 110"/>
              <a:gd name="T6" fmla="*/ 0 w 2987"/>
              <a:gd name="T7" fmla="*/ 0 h 110"/>
              <a:gd name="T8" fmla="*/ 0 w 2987"/>
              <a:gd name="T9" fmla="*/ 110 h 110"/>
              <a:gd name="T10" fmla="*/ 0 w 2987"/>
              <a:gd name="T11" fmla="*/ 110 h 1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987" h="110">
                <a:moveTo>
                  <a:pt x="0" y="110"/>
                </a:moveTo>
                <a:lnTo>
                  <a:pt x="2987" y="110"/>
                </a:lnTo>
                <a:lnTo>
                  <a:pt x="2987" y="0"/>
                </a:lnTo>
                <a:lnTo>
                  <a:pt x="0" y="0"/>
                </a:lnTo>
                <a:lnTo>
                  <a:pt x="0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8" name="Freeform 86">
            <a:extLst>
              <a:ext uri="{FF2B5EF4-FFF2-40B4-BE49-F238E27FC236}">
                <a16:creationId xmlns="" xmlns:a16="http://schemas.microsoft.com/office/drawing/2014/main" id="{00000000-0008-0000-0400-000058000000}"/>
              </a:ext>
            </a:extLst>
          </xdr:cNvPr>
          <xdr:cNvSpPr>
            <a:spLocks/>
          </xdr:cNvSpPr>
        </xdr:nvSpPr>
        <xdr:spPr bwMode="auto">
          <a:xfrm>
            <a:off x="288139" y="167029"/>
            <a:ext cx="111532" cy="111234"/>
          </a:xfrm>
          <a:custGeom>
            <a:avLst/>
            <a:gdLst>
              <a:gd name="T0" fmla="*/ 756 w 1392"/>
              <a:gd name="T1" fmla="*/ 1380 h 1389"/>
              <a:gd name="T2" fmla="*/ 894 w 1392"/>
              <a:gd name="T3" fmla="*/ 1353 h 1389"/>
              <a:gd name="T4" fmla="*/ 1023 w 1392"/>
              <a:gd name="T5" fmla="*/ 1298 h 1389"/>
              <a:gd name="T6" fmla="*/ 1134 w 1392"/>
              <a:gd name="T7" fmla="*/ 1216 h 1389"/>
              <a:gd name="T8" fmla="*/ 1226 w 1392"/>
              <a:gd name="T9" fmla="*/ 1133 h 1389"/>
              <a:gd name="T10" fmla="*/ 1300 w 1392"/>
              <a:gd name="T11" fmla="*/ 1024 h 1389"/>
              <a:gd name="T12" fmla="*/ 1355 w 1392"/>
              <a:gd name="T13" fmla="*/ 896 h 1389"/>
              <a:gd name="T14" fmla="*/ 1383 w 1392"/>
              <a:gd name="T15" fmla="*/ 759 h 1389"/>
              <a:gd name="T16" fmla="*/ 1383 w 1392"/>
              <a:gd name="T17" fmla="*/ 612 h 1389"/>
              <a:gd name="T18" fmla="*/ 1355 w 1392"/>
              <a:gd name="T19" fmla="*/ 475 h 1389"/>
              <a:gd name="T20" fmla="*/ 1300 w 1392"/>
              <a:gd name="T21" fmla="*/ 356 h 1389"/>
              <a:gd name="T22" fmla="*/ 1226 w 1392"/>
              <a:gd name="T23" fmla="*/ 247 h 1389"/>
              <a:gd name="T24" fmla="*/ 1134 w 1392"/>
              <a:gd name="T25" fmla="*/ 155 h 1389"/>
              <a:gd name="T26" fmla="*/ 1023 w 1392"/>
              <a:gd name="T27" fmla="*/ 73 h 1389"/>
              <a:gd name="T28" fmla="*/ 894 w 1392"/>
              <a:gd name="T29" fmla="*/ 27 h 1389"/>
              <a:gd name="T30" fmla="*/ 756 w 1392"/>
              <a:gd name="T31" fmla="*/ 0 h 1389"/>
              <a:gd name="T32" fmla="*/ 618 w 1392"/>
              <a:gd name="T33" fmla="*/ 0 h 1389"/>
              <a:gd name="T34" fmla="*/ 470 w 1392"/>
              <a:gd name="T35" fmla="*/ 27 h 1389"/>
              <a:gd name="T36" fmla="*/ 360 w 1392"/>
              <a:gd name="T37" fmla="*/ 73 h 1389"/>
              <a:gd name="T38" fmla="*/ 240 w 1392"/>
              <a:gd name="T39" fmla="*/ 155 h 1389"/>
              <a:gd name="T40" fmla="*/ 148 w 1392"/>
              <a:gd name="T41" fmla="*/ 247 h 1389"/>
              <a:gd name="T42" fmla="*/ 74 w 1392"/>
              <a:gd name="T43" fmla="*/ 356 h 1389"/>
              <a:gd name="T44" fmla="*/ 28 w 1392"/>
              <a:gd name="T45" fmla="*/ 475 h 1389"/>
              <a:gd name="T46" fmla="*/ 0 w 1392"/>
              <a:gd name="T47" fmla="*/ 612 h 1389"/>
              <a:gd name="T48" fmla="*/ 0 w 1392"/>
              <a:gd name="T49" fmla="*/ 759 h 1389"/>
              <a:gd name="T50" fmla="*/ 28 w 1392"/>
              <a:gd name="T51" fmla="*/ 896 h 1389"/>
              <a:gd name="T52" fmla="*/ 74 w 1392"/>
              <a:gd name="T53" fmla="*/ 1024 h 1389"/>
              <a:gd name="T54" fmla="*/ 148 w 1392"/>
              <a:gd name="T55" fmla="*/ 1133 h 1389"/>
              <a:gd name="T56" fmla="*/ 240 w 1392"/>
              <a:gd name="T57" fmla="*/ 1216 h 1389"/>
              <a:gd name="T58" fmla="*/ 360 w 1392"/>
              <a:gd name="T59" fmla="*/ 1298 h 1389"/>
              <a:gd name="T60" fmla="*/ 470 w 1392"/>
              <a:gd name="T61" fmla="*/ 1353 h 1389"/>
              <a:gd name="T62" fmla="*/ 618 w 1392"/>
              <a:gd name="T63" fmla="*/ 1380 h 1389"/>
              <a:gd name="T64" fmla="*/ 691 w 1392"/>
              <a:gd name="T65" fmla="*/ 1389 h 13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392" h="1389">
                <a:moveTo>
                  <a:pt x="691" y="1389"/>
                </a:moveTo>
                <a:lnTo>
                  <a:pt x="756" y="1380"/>
                </a:lnTo>
                <a:lnTo>
                  <a:pt x="830" y="1371"/>
                </a:lnTo>
                <a:lnTo>
                  <a:pt x="894" y="1353"/>
                </a:lnTo>
                <a:lnTo>
                  <a:pt x="968" y="1325"/>
                </a:lnTo>
                <a:lnTo>
                  <a:pt x="1023" y="1298"/>
                </a:lnTo>
                <a:lnTo>
                  <a:pt x="1079" y="1261"/>
                </a:lnTo>
                <a:lnTo>
                  <a:pt x="1134" y="1216"/>
                </a:lnTo>
                <a:lnTo>
                  <a:pt x="1189" y="1179"/>
                </a:lnTo>
                <a:lnTo>
                  <a:pt x="1226" y="1133"/>
                </a:lnTo>
                <a:lnTo>
                  <a:pt x="1272" y="1079"/>
                </a:lnTo>
                <a:lnTo>
                  <a:pt x="1300" y="1024"/>
                </a:lnTo>
                <a:lnTo>
                  <a:pt x="1337" y="960"/>
                </a:lnTo>
                <a:lnTo>
                  <a:pt x="1355" y="896"/>
                </a:lnTo>
                <a:lnTo>
                  <a:pt x="1374" y="832"/>
                </a:lnTo>
                <a:lnTo>
                  <a:pt x="1383" y="759"/>
                </a:lnTo>
                <a:lnTo>
                  <a:pt x="1392" y="695"/>
                </a:lnTo>
                <a:lnTo>
                  <a:pt x="1383" y="612"/>
                </a:lnTo>
                <a:lnTo>
                  <a:pt x="1374" y="548"/>
                </a:lnTo>
                <a:lnTo>
                  <a:pt x="1355" y="475"/>
                </a:lnTo>
                <a:lnTo>
                  <a:pt x="1337" y="420"/>
                </a:lnTo>
                <a:lnTo>
                  <a:pt x="1300" y="356"/>
                </a:lnTo>
                <a:lnTo>
                  <a:pt x="1272" y="302"/>
                </a:lnTo>
                <a:lnTo>
                  <a:pt x="1226" y="247"/>
                </a:lnTo>
                <a:lnTo>
                  <a:pt x="1189" y="201"/>
                </a:lnTo>
                <a:lnTo>
                  <a:pt x="1134" y="155"/>
                </a:lnTo>
                <a:lnTo>
                  <a:pt x="1079" y="110"/>
                </a:lnTo>
                <a:lnTo>
                  <a:pt x="1023" y="73"/>
                </a:lnTo>
                <a:lnTo>
                  <a:pt x="968" y="55"/>
                </a:lnTo>
                <a:lnTo>
                  <a:pt x="894" y="27"/>
                </a:lnTo>
                <a:lnTo>
                  <a:pt x="830" y="18"/>
                </a:lnTo>
                <a:lnTo>
                  <a:pt x="756" y="0"/>
                </a:lnTo>
                <a:lnTo>
                  <a:pt x="691" y="0"/>
                </a:lnTo>
                <a:lnTo>
                  <a:pt x="618" y="0"/>
                </a:lnTo>
                <a:lnTo>
                  <a:pt x="544" y="18"/>
                </a:lnTo>
                <a:lnTo>
                  <a:pt x="470" y="27"/>
                </a:lnTo>
                <a:lnTo>
                  <a:pt x="415" y="55"/>
                </a:lnTo>
                <a:lnTo>
                  <a:pt x="360" y="73"/>
                </a:lnTo>
                <a:lnTo>
                  <a:pt x="295" y="110"/>
                </a:lnTo>
                <a:lnTo>
                  <a:pt x="240" y="155"/>
                </a:lnTo>
                <a:lnTo>
                  <a:pt x="203" y="201"/>
                </a:lnTo>
                <a:lnTo>
                  <a:pt x="148" y="247"/>
                </a:lnTo>
                <a:lnTo>
                  <a:pt x="111" y="302"/>
                </a:lnTo>
                <a:lnTo>
                  <a:pt x="74" y="356"/>
                </a:lnTo>
                <a:lnTo>
                  <a:pt x="55" y="420"/>
                </a:lnTo>
                <a:lnTo>
                  <a:pt x="28" y="475"/>
                </a:lnTo>
                <a:lnTo>
                  <a:pt x="9" y="548"/>
                </a:lnTo>
                <a:lnTo>
                  <a:pt x="0" y="612"/>
                </a:lnTo>
                <a:lnTo>
                  <a:pt x="0" y="695"/>
                </a:lnTo>
                <a:lnTo>
                  <a:pt x="0" y="759"/>
                </a:lnTo>
                <a:lnTo>
                  <a:pt x="9" y="832"/>
                </a:lnTo>
                <a:lnTo>
                  <a:pt x="28" y="896"/>
                </a:lnTo>
                <a:lnTo>
                  <a:pt x="55" y="960"/>
                </a:lnTo>
                <a:lnTo>
                  <a:pt x="74" y="1024"/>
                </a:lnTo>
                <a:lnTo>
                  <a:pt x="111" y="1079"/>
                </a:lnTo>
                <a:lnTo>
                  <a:pt x="148" y="1133"/>
                </a:lnTo>
                <a:lnTo>
                  <a:pt x="203" y="1179"/>
                </a:lnTo>
                <a:lnTo>
                  <a:pt x="240" y="1216"/>
                </a:lnTo>
                <a:lnTo>
                  <a:pt x="295" y="1261"/>
                </a:lnTo>
                <a:lnTo>
                  <a:pt x="360" y="1298"/>
                </a:lnTo>
                <a:lnTo>
                  <a:pt x="415" y="1325"/>
                </a:lnTo>
                <a:lnTo>
                  <a:pt x="470" y="1353"/>
                </a:lnTo>
                <a:lnTo>
                  <a:pt x="544" y="1371"/>
                </a:lnTo>
                <a:lnTo>
                  <a:pt x="618" y="1380"/>
                </a:lnTo>
                <a:lnTo>
                  <a:pt x="691" y="1389"/>
                </a:lnTo>
                <a:close/>
              </a:path>
            </a:pathLst>
          </a:custGeom>
          <a:solidFill>
            <a:srgbClr val="FAFA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9" name="Freeform 87">
            <a:extLst>
              <a:ext uri="{FF2B5EF4-FFF2-40B4-BE49-F238E27FC236}">
                <a16:creationId xmlns="" xmlns:a16="http://schemas.microsoft.com/office/drawing/2014/main" id="{00000000-0008-0000-0400-000059000000}"/>
              </a:ext>
            </a:extLst>
          </xdr:cNvPr>
          <xdr:cNvSpPr>
            <a:spLocks/>
          </xdr:cNvSpPr>
        </xdr:nvSpPr>
        <xdr:spPr bwMode="auto">
          <a:xfrm>
            <a:off x="535472" y="252507"/>
            <a:ext cx="228298" cy="7911"/>
          </a:xfrm>
          <a:custGeom>
            <a:avLst/>
            <a:gdLst>
              <a:gd name="T0" fmla="*/ 0 w 2849"/>
              <a:gd name="T1" fmla="*/ 100 h 100"/>
              <a:gd name="T2" fmla="*/ 2849 w 2849"/>
              <a:gd name="T3" fmla="*/ 100 h 100"/>
              <a:gd name="T4" fmla="*/ 2849 w 2849"/>
              <a:gd name="T5" fmla="*/ 0 h 100"/>
              <a:gd name="T6" fmla="*/ 0 w 2849"/>
              <a:gd name="T7" fmla="*/ 0 h 100"/>
              <a:gd name="T8" fmla="*/ 0 w 2849"/>
              <a:gd name="T9" fmla="*/ 100 h 100"/>
              <a:gd name="T10" fmla="*/ 0 w 2849"/>
              <a:gd name="T11" fmla="*/ 100 h 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49" h="100">
                <a:moveTo>
                  <a:pt x="0" y="100"/>
                </a:moveTo>
                <a:lnTo>
                  <a:pt x="2849" y="100"/>
                </a:lnTo>
                <a:lnTo>
                  <a:pt x="2849" y="0"/>
                </a:lnTo>
                <a:lnTo>
                  <a:pt x="0" y="0"/>
                </a:lnTo>
                <a:lnTo>
                  <a:pt x="0" y="10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0" name="Freeform 88">
            <a:extLst>
              <a:ext uri="{FF2B5EF4-FFF2-40B4-BE49-F238E27FC236}">
                <a16:creationId xmlns="" xmlns:a16="http://schemas.microsoft.com/office/drawing/2014/main" id="{00000000-0008-0000-0400-00005A000000}"/>
              </a:ext>
            </a:extLst>
          </xdr:cNvPr>
          <xdr:cNvSpPr>
            <a:spLocks/>
          </xdr:cNvSpPr>
        </xdr:nvSpPr>
        <xdr:spPr bwMode="auto">
          <a:xfrm>
            <a:off x="244894" y="167029"/>
            <a:ext cx="199389" cy="265653"/>
          </a:xfrm>
          <a:custGeom>
            <a:avLst/>
            <a:gdLst>
              <a:gd name="T0" fmla="*/ 2046 w 2488"/>
              <a:gd name="T1" fmla="*/ 2842 h 3318"/>
              <a:gd name="T2" fmla="*/ 2138 w 2488"/>
              <a:gd name="T3" fmla="*/ 2733 h 3318"/>
              <a:gd name="T4" fmla="*/ 2193 w 2488"/>
              <a:gd name="T5" fmla="*/ 2678 h 3318"/>
              <a:gd name="T6" fmla="*/ 2488 w 2488"/>
              <a:gd name="T7" fmla="*/ 2312 h 3318"/>
              <a:gd name="T8" fmla="*/ 1576 w 2488"/>
              <a:gd name="T9" fmla="*/ 1873 h 3318"/>
              <a:gd name="T10" fmla="*/ 1152 w 2488"/>
              <a:gd name="T11" fmla="*/ 2047 h 3318"/>
              <a:gd name="T12" fmla="*/ 940 w 2488"/>
              <a:gd name="T13" fmla="*/ 1718 h 3318"/>
              <a:gd name="T14" fmla="*/ 617 w 2488"/>
              <a:gd name="T15" fmla="*/ 1718 h 3318"/>
              <a:gd name="T16" fmla="*/ 1336 w 2488"/>
              <a:gd name="T17" fmla="*/ 1764 h 3318"/>
              <a:gd name="T18" fmla="*/ 1419 w 2488"/>
              <a:gd name="T19" fmla="*/ 1425 h 3318"/>
              <a:gd name="T20" fmla="*/ 1447 w 2488"/>
              <a:gd name="T21" fmla="*/ 968 h 3318"/>
              <a:gd name="T22" fmla="*/ 1742 w 2488"/>
              <a:gd name="T23" fmla="*/ 685 h 3318"/>
              <a:gd name="T24" fmla="*/ 1779 w 2488"/>
              <a:gd name="T25" fmla="*/ 292 h 3318"/>
              <a:gd name="T26" fmla="*/ 1309 w 2488"/>
              <a:gd name="T27" fmla="*/ 466 h 3318"/>
              <a:gd name="T28" fmla="*/ 1170 w 2488"/>
              <a:gd name="T29" fmla="*/ 685 h 3318"/>
              <a:gd name="T30" fmla="*/ 1133 w 2488"/>
              <a:gd name="T31" fmla="*/ 338 h 3318"/>
              <a:gd name="T32" fmla="*/ 931 w 2488"/>
              <a:gd name="T33" fmla="*/ 173 h 3318"/>
              <a:gd name="T34" fmla="*/ 1336 w 2488"/>
              <a:gd name="T35" fmla="*/ 173 h 3318"/>
              <a:gd name="T36" fmla="*/ 1115 w 2488"/>
              <a:gd name="T37" fmla="*/ 63 h 3318"/>
              <a:gd name="T38" fmla="*/ 700 w 2488"/>
              <a:gd name="T39" fmla="*/ 109 h 3318"/>
              <a:gd name="T40" fmla="*/ 350 w 2488"/>
              <a:gd name="T41" fmla="*/ 210 h 3318"/>
              <a:gd name="T42" fmla="*/ 230 w 2488"/>
              <a:gd name="T43" fmla="*/ 338 h 3318"/>
              <a:gd name="T44" fmla="*/ 110 w 2488"/>
              <a:gd name="T45" fmla="*/ 511 h 3318"/>
              <a:gd name="T46" fmla="*/ 64 w 2488"/>
              <a:gd name="T47" fmla="*/ 612 h 3318"/>
              <a:gd name="T48" fmla="*/ 46 w 2488"/>
              <a:gd name="T49" fmla="*/ 722 h 3318"/>
              <a:gd name="T50" fmla="*/ 92 w 2488"/>
              <a:gd name="T51" fmla="*/ 886 h 3318"/>
              <a:gd name="T52" fmla="*/ 119 w 2488"/>
              <a:gd name="T53" fmla="*/ 987 h 3318"/>
              <a:gd name="T54" fmla="*/ 18 w 2488"/>
              <a:gd name="T55" fmla="*/ 1206 h 3318"/>
              <a:gd name="T56" fmla="*/ 27 w 2488"/>
              <a:gd name="T57" fmla="*/ 1307 h 3318"/>
              <a:gd name="T58" fmla="*/ 110 w 2488"/>
              <a:gd name="T59" fmla="*/ 1416 h 3318"/>
              <a:gd name="T60" fmla="*/ 175 w 2488"/>
              <a:gd name="T61" fmla="*/ 1526 h 3318"/>
              <a:gd name="T62" fmla="*/ 239 w 2488"/>
              <a:gd name="T63" fmla="*/ 1636 h 3318"/>
              <a:gd name="T64" fmla="*/ 322 w 2488"/>
              <a:gd name="T65" fmla="*/ 1672 h 3318"/>
              <a:gd name="T66" fmla="*/ 442 w 2488"/>
              <a:gd name="T67" fmla="*/ 1709 h 3318"/>
              <a:gd name="T68" fmla="*/ 1087 w 2488"/>
              <a:gd name="T69" fmla="*/ 2047 h 3318"/>
              <a:gd name="T70" fmla="*/ 1179 w 2488"/>
              <a:gd name="T71" fmla="*/ 2221 h 3318"/>
              <a:gd name="T72" fmla="*/ 1281 w 2488"/>
              <a:gd name="T73" fmla="*/ 2449 h 3318"/>
              <a:gd name="T74" fmla="*/ 1364 w 2488"/>
              <a:gd name="T75" fmla="*/ 2513 h 3318"/>
              <a:gd name="T76" fmla="*/ 1465 w 2488"/>
              <a:gd name="T77" fmla="*/ 2531 h 3318"/>
              <a:gd name="T78" fmla="*/ 1567 w 2488"/>
              <a:gd name="T79" fmla="*/ 2605 h 3318"/>
              <a:gd name="T80" fmla="*/ 1484 w 2488"/>
              <a:gd name="T81" fmla="*/ 2769 h 3318"/>
              <a:gd name="T82" fmla="*/ 1484 w 2488"/>
              <a:gd name="T83" fmla="*/ 2861 h 3318"/>
              <a:gd name="T84" fmla="*/ 1493 w 2488"/>
              <a:gd name="T85" fmla="*/ 2961 h 3318"/>
              <a:gd name="T86" fmla="*/ 1521 w 2488"/>
              <a:gd name="T87" fmla="*/ 3043 h 3318"/>
              <a:gd name="T88" fmla="*/ 1521 w 2488"/>
              <a:gd name="T89" fmla="*/ 3180 h 3318"/>
              <a:gd name="T90" fmla="*/ 1521 w 2488"/>
              <a:gd name="T91" fmla="*/ 3281 h 3318"/>
              <a:gd name="T92" fmla="*/ 1557 w 2488"/>
              <a:gd name="T93" fmla="*/ 3308 h 3318"/>
              <a:gd name="T94" fmla="*/ 1668 w 2488"/>
              <a:gd name="T95" fmla="*/ 3263 h 3318"/>
              <a:gd name="T96" fmla="*/ 1760 w 2488"/>
              <a:gd name="T97" fmla="*/ 3180 h 3318"/>
              <a:gd name="T98" fmla="*/ 1871 w 2488"/>
              <a:gd name="T99" fmla="*/ 3089 h 3318"/>
              <a:gd name="T100" fmla="*/ 1981 w 2488"/>
              <a:gd name="T101" fmla="*/ 2952 h 33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2488" h="3318">
                <a:moveTo>
                  <a:pt x="2009" y="2897"/>
                </a:moveTo>
                <a:lnTo>
                  <a:pt x="2018" y="2870"/>
                </a:lnTo>
                <a:lnTo>
                  <a:pt x="2046" y="2842"/>
                </a:lnTo>
                <a:lnTo>
                  <a:pt x="2074" y="2806"/>
                </a:lnTo>
                <a:lnTo>
                  <a:pt x="2110" y="2769"/>
                </a:lnTo>
                <a:lnTo>
                  <a:pt x="2138" y="2733"/>
                </a:lnTo>
                <a:lnTo>
                  <a:pt x="2157" y="2705"/>
                </a:lnTo>
                <a:lnTo>
                  <a:pt x="2175" y="2678"/>
                </a:lnTo>
                <a:lnTo>
                  <a:pt x="2193" y="2678"/>
                </a:lnTo>
                <a:lnTo>
                  <a:pt x="2258" y="2504"/>
                </a:lnTo>
                <a:lnTo>
                  <a:pt x="2424" y="2404"/>
                </a:lnTo>
                <a:lnTo>
                  <a:pt x="2488" y="2312"/>
                </a:lnTo>
                <a:lnTo>
                  <a:pt x="2313" y="2230"/>
                </a:lnTo>
                <a:lnTo>
                  <a:pt x="2000" y="1956"/>
                </a:lnTo>
                <a:lnTo>
                  <a:pt x="1576" y="1873"/>
                </a:lnTo>
                <a:lnTo>
                  <a:pt x="1336" y="1992"/>
                </a:lnTo>
                <a:lnTo>
                  <a:pt x="1281" y="2111"/>
                </a:lnTo>
                <a:lnTo>
                  <a:pt x="1152" y="2047"/>
                </a:lnTo>
                <a:lnTo>
                  <a:pt x="1032" y="1974"/>
                </a:lnTo>
                <a:lnTo>
                  <a:pt x="1004" y="1764"/>
                </a:lnTo>
                <a:lnTo>
                  <a:pt x="940" y="1718"/>
                </a:lnTo>
                <a:lnTo>
                  <a:pt x="875" y="1773"/>
                </a:lnTo>
                <a:lnTo>
                  <a:pt x="746" y="1819"/>
                </a:lnTo>
                <a:lnTo>
                  <a:pt x="617" y="1718"/>
                </a:lnTo>
                <a:lnTo>
                  <a:pt x="765" y="1489"/>
                </a:lnTo>
                <a:lnTo>
                  <a:pt x="1179" y="1599"/>
                </a:lnTo>
                <a:lnTo>
                  <a:pt x="1336" y="1764"/>
                </a:lnTo>
                <a:lnTo>
                  <a:pt x="1392" y="1745"/>
                </a:lnTo>
                <a:lnTo>
                  <a:pt x="1272" y="1553"/>
                </a:lnTo>
                <a:lnTo>
                  <a:pt x="1419" y="1425"/>
                </a:lnTo>
                <a:lnTo>
                  <a:pt x="1392" y="1224"/>
                </a:lnTo>
                <a:lnTo>
                  <a:pt x="1309" y="1060"/>
                </a:lnTo>
                <a:lnTo>
                  <a:pt x="1447" y="968"/>
                </a:lnTo>
                <a:lnTo>
                  <a:pt x="1631" y="895"/>
                </a:lnTo>
                <a:lnTo>
                  <a:pt x="1585" y="776"/>
                </a:lnTo>
                <a:lnTo>
                  <a:pt x="1742" y="685"/>
                </a:lnTo>
                <a:lnTo>
                  <a:pt x="1945" y="630"/>
                </a:lnTo>
                <a:lnTo>
                  <a:pt x="1917" y="521"/>
                </a:lnTo>
                <a:lnTo>
                  <a:pt x="1779" y="292"/>
                </a:lnTo>
                <a:lnTo>
                  <a:pt x="1576" y="356"/>
                </a:lnTo>
                <a:lnTo>
                  <a:pt x="1373" y="402"/>
                </a:lnTo>
                <a:lnTo>
                  <a:pt x="1309" y="466"/>
                </a:lnTo>
                <a:lnTo>
                  <a:pt x="1392" y="722"/>
                </a:lnTo>
                <a:lnTo>
                  <a:pt x="1299" y="722"/>
                </a:lnTo>
                <a:lnTo>
                  <a:pt x="1170" y="685"/>
                </a:lnTo>
                <a:lnTo>
                  <a:pt x="1004" y="621"/>
                </a:lnTo>
                <a:lnTo>
                  <a:pt x="977" y="420"/>
                </a:lnTo>
                <a:lnTo>
                  <a:pt x="1133" y="338"/>
                </a:lnTo>
                <a:lnTo>
                  <a:pt x="1060" y="292"/>
                </a:lnTo>
                <a:lnTo>
                  <a:pt x="1041" y="210"/>
                </a:lnTo>
                <a:lnTo>
                  <a:pt x="931" y="173"/>
                </a:lnTo>
                <a:lnTo>
                  <a:pt x="958" y="100"/>
                </a:lnTo>
                <a:lnTo>
                  <a:pt x="1133" y="137"/>
                </a:lnTo>
                <a:lnTo>
                  <a:pt x="1336" y="173"/>
                </a:lnTo>
                <a:lnTo>
                  <a:pt x="1419" y="109"/>
                </a:lnTo>
                <a:lnTo>
                  <a:pt x="1244" y="36"/>
                </a:lnTo>
                <a:lnTo>
                  <a:pt x="1115" y="63"/>
                </a:lnTo>
                <a:lnTo>
                  <a:pt x="1041" y="0"/>
                </a:lnTo>
                <a:lnTo>
                  <a:pt x="811" y="27"/>
                </a:lnTo>
                <a:lnTo>
                  <a:pt x="700" y="109"/>
                </a:lnTo>
                <a:lnTo>
                  <a:pt x="516" y="118"/>
                </a:lnTo>
                <a:lnTo>
                  <a:pt x="405" y="201"/>
                </a:lnTo>
                <a:lnTo>
                  <a:pt x="350" y="210"/>
                </a:lnTo>
                <a:lnTo>
                  <a:pt x="304" y="246"/>
                </a:lnTo>
                <a:lnTo>
                  <a:pt x="267" y="292"/>
                </a:lnTo>
                <a:lnTo>
                  <a:pt x="230" y="338"/>
                </a:lnTo>
                <a:lnTo>
                  <a:pt x="193" y="393"/>
                </a:lnTo>
                <a:lnTo>
                  <a:pt x="156" y="447"/>
                </a:lnTo>
                <a:lnTo>
                  <a:pt x="110" y="511"/>
                </a:lnTo>
                <a:lnTo>
                  <a:pt x="92" y="539"/>
                </a:lnTo>
                <a:lnTo>
                  <a:pt x="73" y="575"/>
                </a:lnTo>
                <a:lnTo>
                  <a:pt x="64" y="612"/>
                </a:lnTo>
                <a:lnTo>
                  <a:pt x="46" y="658"/>
                </a:lnTo>
                <a:lnTo>
                  <a:pt x="46" y="676"/>
                </a:lnTo>
                <a:lnTo>
                  <a:pt x="46" y="722"/>
                </a:lnTo>
                <a:lnTo>
                  <a:pt x="55" y="767"/>
                </a:lnTo>
                <a:lnTo>
                  <a:pt x="73" y="831"/>
                </a:lnTo>
                <a:lnTo>
                  <a:pt x="92" y="886"/>
                </a:lnTo>
                <a:lnTo>
                  <a:pt x="101" y="941"/>
                </a:lnTo>
                <a:lnTo>
                  <a:pt x="110" y="968"/>
                </a:lnTo>
                <a:lnTo>
                  <a:pt x="119" y="987"/>
                </a:lnTo>
                <a:lnTo>
                  <a:pt x="46" y="1142"/>
                </a:lnTo>
                <a:lnTo>
                  <a:pt x="27" y="1151"/>
                </a:lnTo>
                <a:lnTo>
                  <a:pt x="18" y="1206"/>
                </a:lnTo>
                <a:lnTo>
                  <a:pt x="0" y="1243"/>
                </a:lnTo>
                <a:lnTo>
                  <a:pt x="18" y="1288"/>
                </a:lnTo>
                <a:lnTo>
                  <a:pt x="27" y="1307"/>
                </a:lnTo>
                <a:lnTo>
                  <a:pt x="64" y="1352"/>
                </a:lnTo>
                <a:lnTo>
                  <a:pt x="92" y="1380"/>
                </a:lnTo>
                <a:lnTo>
                  <a:pt x="110" y="1416"/>
                </a:lnTo>
                <a:lnTo>
                  <a:pt x="129" y="1462"/>
                </a:lnTo>
                <a:lnTo>
                  <a:pt x="156" y="1499"/>
                </a:lnTo>
                <a:lnTo>
                  <a:pt x="175" y="1526"/>
                </a:lnTo>
                <a:lnTo>
                  <a:pt x="202" y="1572"/>
                </a:lnTo>
                <a:lnTo>
                  <a:pt x="221" y="1599"/>
                </a:lnTo>
                <a:lnTo>
                  <a:pt x="239" y="1636"/>
                </a:lnTo>
                <a:lnTo>
                  <a:pt x="267" y="1681"/>
                </a:lnTo>
                <a:lnTo>
                  <a:pt x="285" y="1700"/>
                </a:lnTo>
                <a:lnTo>
                  <a:pt x="322" y="1672"/>
                </a:lnTo>
                <a:lnTo>
                  <a:pt x="175" y="1471"/>
                </a:lnTo>
                <a:lnTo>
                  <a:pt x="285" y="1517"/>
                </a:lnTo>
                <a:lnTo>
                  <a:pt x="442" y="1709"/>
                </a:lnTo>
                <a:lnTo>
                  <a:pt x="525" y="1855"/>
                </a:lnTo>
                <a:lnTo>
                  <a:pt x="811" y="1937"/>
                </a:lnTo>
                <a:lnTo>
                  <a:pt x="1087" y="2047"/>
                </a:lnTo>
                <a:lnTo>
                  <a:pt x="1143" y="2102"/>
                </a:lnTo>
                <a:lnTo>
                  <a:pt x="1244" y="2184"/>
                </a:lnTo>
                <a:lnTo>
                  <a:pt x="1179" y="2221"/>
                </a:lnTo>
                <a:lnTo>
                  <a:pt x="1143" y="2321"/>
                </a:lnTo>
                <a:lnTo>
                  <a:pt x="1290" y="2440"/>
                </a:lnTo>
                <a:lnTo>
                  <a:pt x="1281" y="2449"/>
                </a:lnTo>
                <a:lnTo>
                  <a:pt x="1299" y="2486"/>
                </a:lnTo>
                <a:lnTo>
                  <a:pt x="1318" y="2495"/>
                </a:lnTo>
                <a:lnTo>
                  <a:pt x="1364" y="2513"/>
                </a:lnTo>
                <a:lnTo>
                  <a:pt x="1392" y="2522"/>
                </a:lnTo>
                <a:lnTo>
                  <a:pt x="1428" y="2531"/>
                </a:lnTo>
                <a:lnTo>
                  <a:pt x="1465" y="2531"/>
                </a:lnTo>
                <a:lnTo>
                  <a:pt x="1521" y="2550"/>
                </a:lnTo>
                <a:lnTo>
                  <a:pt x="1548" y="2559"/>
                </a:lnTo>
                <a:lnTo>
                  <a:pt x="1567" y="2605"/>
                </a:lnTo>
                <a:lnTo>
                  <a:pt x="1548" y="2659"/>
                </a:lnTo>
                <a:lnTo>
                  <a:pt x="1521" y="2723"/>
                </a:lnTo>
                <a:lnTo>
                  <a:pt x="1484" y="2769"/>
                </a:lnTo>
                <a:lnTo>
                  <a:pt x="1465" y="2833"/>
                </a:lnTo>
                <a:lnTo>
                  <a:pt x="1456" y="2851"/>
                </a:lnTo>
                <a:lnTo>
                  <a:pt x="1484" y="2861"/>
                </a:lnTo>
                <a:lnTo>
                  <a:pt x="1484" y="2897"/>
                </a:lnTo>
                <a:lnTo>
                  <a:pt x="1493" y="2934"/>
                </a:lnTo>
                <a:lnTo>
                  <a:pt x="1493" y="2961"/>
                </a:lnTo>
                <a:lnTo>
                  <a:pt x="1502" y="2989"/>
                </a:lnTo>
                <a:lnTo>
                  <a:pt x="1511" y="3007"/>
                </a:lnTo>
                <a:lnTo>
                  <a:pt x="1521" y="3043"/>
                </a:lnTo>
                <a:lnTo>
                  <a:pt x="1530" y="3080"/>
                </a:lnTo>
                <a:lnTo>
                  <a:pt x="1530" y="3126"/>
                </a:lnTo>
                <a:lnTo>
                  <a:pt x="1521" y="3180"/>
                </a:lnTo>
                <a:lnTo>
                  <a:pt x="1521" y="3217"/>
                </a:lnTo>
                <a:lnTo>
                  <a:pt x="1511" y="3254"/>
                </a:lnTo>
                <a:lnTo>
                  <a:pt x="1521" y="3281"/>
                </a:lnTo>
                <a:lnTo>
                  <a:pt x="1521" y="3290"/>
                </a:lnTo>
                <a:lnTo>
                  <a:pt x="1539" y="3308"/>
                </a:lnTo>
                <a:lnTo>
                  <a:pt x="1557" y="3308"/>
                </a:lnTo>
                <a:lnTo>
                  <a:pt x="1594" y="3318"/>
                </a:lnTo>
                <a:lnTo>
                  <a:pt x="1613" y="3299"/>
                </a:lnTo>
                <a:lnTo>
                  <a:pt x="1668" y="3263"/>
                </a:lnTo>
                <a:lnTo>
                  <a:pt x="1696" y="3244"/>
                </a:lnTo>
                <a:lnTo>
                  <a:pt x="1723" y="3217"/>
                </a:lnTo>
                <a:lnTo>
                  <a:pt x="1760" y="3180"/>
                </a:lnTo>
                <a:lnTo>
                  <a:pt x="1806" y="3153"/>
                </a:lnTo>
                <a:lnTo>
                  <a:pt x="1834" y="3116"/>
                </a:lnTo>
                <a:lnTo>
                  <a:pt x="1871" y="3089"/>
                </a:lnTo>
                <a:lnTo>
                  <a:pt x="1898" y="3043"/>
                </a:lnTo>
                <a:lnTo>
                  <a:pt x="1926" y="3016"/>
                </a:lnTo>
                <a:lnTo>
                  <a:pt x="1981" y="2952"/>
                </a:lnTo>
                <a:lnTo>
                  <a:pt x="2009" y="2897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1" name="Freeform 89">
            <a:extLst>
              <a:ext uri="{FF2B5EF4-FFF2-40B4-BE49-F238E27FC236}">
                <a16:creationId xmlns="" xmlns:a16="http://schemas.microsoft.com/office/drawing/2014/main" id="{00000000-0008-0000-0400-00005B000000}"/>
              </a:ext>
            </a:extLst>
          </xdr:cNvPr>
          <xdr:cNvSpPr>
            <a:spLocks/>
          </xdr:cNvSpPr>
        </xdr:nvSpPr>
        <xdr:spPr bwMode="auto">
          <a:xfrm>
            <a:off x="472716" y="191001"/>
            <a:ext cx="65729" cy="133064"/>
          </a:xfrm>
          <a:custGeom>
            <a:avLst/>
            <a:gdLst>
              <a:gd name="T0" fmla="*/ 239 w 820"/>
              <a:gd name="T1" fmla="*/ 210 h 1663"/>
              <a:gd name="T2" fmla="*/ 166 w 820"/>
              <a:gd name="T3" fmla="*/ 375 h 1663"/>
              <a:gd name="T4" fmla="*/ 64 w 820"/>
              <a:gd name="T5" fmla="*/ 439 h 1663"/>
              <a:gd name="T6" fmla="*/ 0 w 820"/>
              <a:gd name="T7" fmla="*/ 713 h 1663"/>
              <a:gd name="T8" fmla="*/ 83 w 820"/>
              <a:gd name="T9" fmla="*/ 813 h 1663"/>
              <a:gd name="T10" fmla="*/ 184 w 820"/>
              <a:gd name="T11" fmla="*/ 859 h 1663"/>
              <a:gd name="T12" fmla="*/ 378 w 820"/>
              <a:gd name="T13" fmla="*/ 969 h 1663"/>
              <a:gd name="T14" fmla="*/ 534 w 820"/>
              <a:gd name="T15" fmla="*/ 923 h 1663"/>
              <a:gd name="T16" fmla="*/ 608 w 820"/>
              <a:gd name="T17" fmla="*/ 950 h 1663"/>
              <a:gd name="T18" fmla="*/ 645 w 820"/>
              <a:gd name="T19" fmla="*/ 1042 h 1663"/>
              <a:gd name="T20" fmla="*/ 691 w 820"/>
              <a:gd name="T21" fmla="*/ 1142 h 1663"/>
              <a:gd name="T22" fmla="*/ 710 w 820"/>
              <a:gd name="T23" fmla="*/ 1261 h 1663"/>
              <a:gd name="T24" fmla="*/ 728 w 820"/>
              <a:gd name="T25" fmla="*/ 1663 h 1663"/>
              <a:gd name="T26" fmla="*/ 756 w 820"/>
              <a:gd name="T27" fmla="*/ 1572 h 1663"/>
              <a:gd name="T28" fmla="*/ 774 w 820"/>
              <a:gd name="T29" fmla="*/ 1481 h 1663"/>
              <a:gd name="T30" fmla="*/ 793 w 820"/>
              <a:gd name="T31" fmla="*/ 1389 h 1663"/>
              <a:gd name="T32" fmla="*/ 811 w 820"/>
              <a:gd name="T33" fmla="*/ 1289 h 1663"/>
              <a:gd name="T34" fmla="*/ 820 w 820"/>
              <a:gd name="T35" fmla="*/ 1179 h 1663"/>
              <a:gd name="T36" fmla="*/ 820 w 820"/>
              <a:gd name="T37" fmla="*/ 1078 h 1663"/>
              <a:gd name="T38" fmla="*/ 820 w 820"/>
              <a:gd name="T39" fmla="*/ 969 h 1663"/>
              <a:gd name="T40" fmla="*/ 820 w 820"/>
              <a:gd name="T41" fmla="*/ 859 h 1663"/>
              <a:gd name="T42" fmla="*/ 802 w 820"/>
              <a:gd name="T43" fmla="*/ 749 h 1663"/>
              <a:gd name="T44" fmla="*/ 774 w 820"/>
              <a:gd name="T45" fmla="*/ 640 h 1663"/>
              <a:gd name="T46" fmla="*/ 756 w 820"/>
              <a:gd name="T47" fmla="*/ 521 h 1663"/>
              <a:gd name="T48" fmla="*/ 719 w 820"/>
              <a:gd name="T49" fmla="*/ 420 h 1663"/>
              <a:gd name="T50" fmla="*/ 673 w 820"/>
              <a:gd name="T51" fmla="*/ 311 h 1663"/>
              <a:gd name="T52" fmla="*/ 627 w 820"/>
              <a:gd name="T53" fmla="*/ 219 h 1663"/>
              <a:gd name="T54" fmla="*/ 562 w 820"/>
              <a:gd name="T55" fmla="*/ 119 h 1663"/>
              <a:gd name="T56" fmla="*/ 507 w 820"/>
              <a:gd name="T57" fmla="*/ 36 h 1663"/>
              <a:gd name="T58" fmla="*/ 286 w 820"/>
              <a:gd name="T59" fmla="*/ 0 h 1663"/>
              <a:gd name="T60" fmla="*/ 212 w 820"/>
              <a:gd name="T61" fmla="*/ 128 h 1663"/>
              <a:gd name="T62" fmla="*/ 239 w 820"/>
              <a:gd name="T63" fmla="*/ 210 h 1663"/>
              <a:gd name="T64" fmla="*/ 239 w 820"/>
              <a:gd name="T65" fmla="*/ 210 h 16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820" h="1663">
                <a:moveTo>
                  <a:pt x="239" y="210"/>
                </a:moveTo>
                <a:lnTo>
                  <a:pt x="166" y="375"/>
                </a:lnTo>
                <a:lnTo>
                  <a:pt x="64" y="439"/>
                </a:lnTo>
                <a:lnTo>
                  <a:pt x="0" y="713"/>
                </a:lnTo>
                <a:lnTo>
                  <a:pt x="83" y="813"/>
                </a:lnTo>
                <a:lnTo>
                  <a:pt x="184" y="859"/>
                </a:lnTo>
                <a:lnTo>
                  <a:pt x="378" y="969"/>
                </a:lnTo>
                <a:lnTo>
                  <a:pt x="534" y="923"/>
                </a:lnTo>
                <a:lnTo>
                  <a:pt x="608" y="950"/>
                </a:lnTo>
                <a:lnTo>
                  <a:pt x="645" y="1042"/>
                </a:lnTo>
                <a:lnTo>
                  <a:pt x="691" y="1142"/>
                </a:lnTo>
                <a:lnTo>
                  <a:pt x="710" y="1261"/>
                </a:lnTo>
                <a:lnTo>
                  <a:pt x="728" y="1663"/>
                </a:lnTo>
                <a:lnTo>
                  <a:pt x="756" y="1572"/>
                </a:lnTo>
                <a:lnTo>
                  <a:pt x="774" y="1481"/>
                </a:lnTo>
                <a:lnTo>
                  <a:pt x="793" y="1389"/>
                </a:lnTo>
                <a:lnTo>
                  <a:pt x="811" y="1289"/>
                </a:lnTo>
                <a:lnTo>
                  <a:pt x="820" y="1179"/>
                </a:lnTo>
                <a:lnTo>
                  <a:pt x="820" y="1078"/>
                </a:lnTo>
                <a:lnTo>
                  <a:pt x="820" y="969"/>
                </a:lnTo>
                <a:lnTo>
                  <a:pt x="820" y="859"/>
                </a:lnTo>
                <a:lnTo>
                  <a:pt x="802" y="749"/>
                </a:lnTo>
                <a:lnTo>
                  <a:pt x="774" y="640"/>
                </a:lnTo>
                <a:lnTo>
                  <a:pt x="756" y="521"/>
                </a:lnTo>
                <a:lnTo>
                  <a:pt x="719" y="420"/>
                </a:lnTo>
                <a:lnTo>
                  <a:pt x="673" y="311"/>
                </a:lnTo>
                <a:lnTo>
                  <a:pt x="627" y="219"/>
                </a:lnTo>
                <a:lnTo>
                  <a:pt x="562" y="119"/>
                </a:lnTo>
                <a:lnTo>
                  <a:pt x="507" y="36"/>
                </a:lnTo>
                <a:lnTo>
                  <a:pt x="286" y="0"/>
                </a:lnTo>
                <a:lnTo>
                  <a:pt x="212" y="128"/>
                </a:lnTo>
                <a:lnTo>
                  <a:pt x="239" y="21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2" name="Freeform 90">
            <a:extLst>
              <a:ext uri="{FF2B5EF4-FFF2-40B4-BE49-F238E27FC236}">
                <a16:creationId xmlns="" xmlns:a16="http://schemas.microsoft.com/office/drawing/2014/main" id="{00000000-0008-0000-0400-00005C000000}"/>
              </a:ext>
            </a:extLst>
          </xdr:cNvPr>
          <xdr:cNvSpPr>
            <a:spLocks/>
          </xdr:cNvSpPr>
        </xdr:nvSpPr>
        <xdr:spPr bwMode="auto">
          <a:xfrm>
            <a:off x="224848" y="267675"/>
            <a:ext cx="532497" cy="9577"/>
          </a:xfrm>
          <a:custGeom>
            <a:avLst/>
            <a:gdLst>
              <a:gd name="T0" fmla="*/ 0 w 6646"/>
              <a:gd name="T1" fmla="*/ 119 h 119"/>
              <a:gd name="T2" fmla="*/ 6646 w 6646"/>
              <a:gd name="T3" fmla="*/ 119 h 119"/>
              <a:gd name="T4" fmla="*/ 6646 w 6646"/>
              <a:gd name="T5" fmla="*/ 0 h 119"/>
              <a:gd name="T6" fmla="*/ 0 w 6646"/>
              <a:gd name="T7" fmla="*/ 0 h 119"/>
              <a:gd name="T8" fmla="*/ 0 w 6646"/>
              <a:gd name="T9" fmla="*/ 119 h 119"/>
              <a:gd name="T10" fmla="*/ 0 w 6646"/>
              <a:gd name="T11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6646" h="119">
                <a:moveTo>
                  <a:pt x="0" y="119"/>
                </a:moveTo>
                <a:lnTo>
                  <a:pt x="6646" y="119"/>
                </a:lnTo>
                <a:lnTo>
                  <a:pt x="6646" y="0"/>
                </a:lnTo>
                <a:lnTo>
                  <a:pt x="0" y="0"/>
                </a:lnTo>
                <a:lnTo>
                  <a:pt x="0" y="119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3" name="Freeform 91">
            <a:extLst>
              <a:ext uri="{FF2B5EF4-FFF2-40B4-BE49-F238E27FC236}">
                <a16:creationId xmlns="" xmlns:a16="http://schemas.microsoft.com/office/drawing/2014/main" id="{00000000-0008-0000-0400-00005D000000}"/>
              </a:ext>
            </a:extLst>
          </xdr:cNvPr>
          <xdr:cNvSpPr>
            <a:spLocks/>
          </xdr:cNvSpPr>
        </xdr:nvSpPr>
        <xdr:spPr bwMode="auto">
          <a:xfrm>
            <a:off x="0" y="276538"/>
            <a:ext cx="292540" cy="123666"/>
          </a:xfrm>
          <a:custGeom>
            <a:avLst/>
            <a:gdLst>
              <a:gd name="T0" fmla="*/ 0 w 3651"/>
              <a:gd name="T1" fmla="*/ 1545 h 1545"/>
              <a:gd name="T2" fmla="*/ 673 w 3651"/>
              <a:gd name="T3" fmla="*/ 530 h 1545"/>
              <a:gd name="T4" fmla="*/ 2959 w 3651"/>
              <a:gd name="T5" fmla="*/ 530 h 1545"/>
              <a:gd name="T6" fmla="*/ 3485 w 3651"/>
              <a:gd name="T7" fmla="*/ 0 h 1545"/>
              <a:gd name="T8" fmla="*/ 3651 w 3651"/>
              <a:gd name="T9" fmla="*/ 0 h 1545"/>
              <a:gd name="T10" fmla="*/ 3005 w 3651"/>
              <a:gd name="T11" fmla="*/ 640 h 1545"/>
              <a:gd name="T12" fmla="*/ 775 w 3651"/>
              <a:gd name="T13" fmla="*/ 640 h 1545"/>
              <a:gd name="T14" fmla="*/ 166 w 3651"/>
              <a:gd name="T15" fmla="*/ 1545 h 1545"/>
              <a:gd name="T16" fmla="*/ 0 w 3651"/>
              <a:gd name="T17" fmla="*/ 1545 h 1545"/>
              <a:gd name="T18" fmla="*/ 0 w 3651"/>
              <a:gd name="T19" fmla="*/ 1545 h 15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651" h="1545">
                <a:moveTo>
                  <a:pt x="0" y="1545"/>
                </a:moveTo>
                <a:lnTo>
                  <a:pt x="673" y="530"/>
                </a:lnTo>
                <a:lnTo>
                  <a:pt x="2959" y="530"/>
                </a:lnTo>
                <a:lnTo>
                  <a:pt x="3485" y="0"/>
                </a:lnTo>
                <a:lnTo>
                  <a:pt x="3651" y="0"/>
                </a:lnTo>
                <a:lnTo>
                  <a:pt x="3005" y="640"/>
                </a:lnTo>
                <a:lnTo>
                  <a:pt x="775" y="640"/>
                </a:lnTo>
                <a:lnTo>
                  <a:pt x="166" y="1545"/>
                </a:lnTo>
                <a:lnTo>
                  <a:pt x="0" y="1545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4" name="Freeform 92">
            <a:extLst>
              <a:ext uri="{FF2B5EF4-FFF2-40B4-BE49-F238E27FC236}">
                <a16:creationId xmlns="" xmlns:a16="http://schemas.microsoft.com/office/drawing/2014/main" id="{00000000-0008-0000-0400-00005E000000}"/>
              </a:ext>
            </a:extLst>
          </xdr:cNvPr>
          <xdr:cNvSpPr>
            <a:spLocks/>
          </xdr:cNvSpPr>
        </xdr:nvSpPr>
        <xdr:spPr bwMode="auto">
          <a:xfrm>
            <a:off x="773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5" name="Freeform 93">
            <a:extLst>
              <a:ext uri="{FF2B5EF4-FFF2-40B4-BE49-F238E27FC236}">
                <a16:creationId xmlns="" xmlns:a16="http://schemas.microsoft.com/office/drawing/2014/main" id="{00000000-0008-0000-0400-00005F000000}"/>
              </a:ext>
            </a:extLst>
          </xdr:cNvPr>
          <xdr:cNvSpPr>
            <a:spLocks/>
          </xdr:cNvSpPr>
        </xdr:nvSpPr>
        <xdr:spPr bwMode="auto">
          <a:xfrm>
            <a:off x="59127" y="13978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6" name="Freeform 94">
            <a:extLst>
              <a:ext uri="{FF2B5EF4-FFF2-40B4-BE49-F238E27FC236}">
                <a16:creationId xmlns="" xmlns:a16="http://schemas.microsoft.com/office/drawing/2014/main" id="{00000000-0008-0000-0400-000060000000}"/>
              </a:ext>
            </a:extLst>
          </xdr:cNvPr>
          <xdr:cNvSpPr>
            <a:spLocks/>
          </xdr:cNvSpPr>
        </xdr:nvSpPr>
        <xdr:spPr bwMode="auto">
          <a:xfrm>
            <a:off x="117480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7" name="Freeform 95">
            <a:extLst>
              <a:ext uri="{FF2B5EF4-FFF2-40B4-BE49-F238E27FC236}">
                <a16:creationId xmlns="" xmlns:a16="http://schemas.microsoft.com/office/drawing/2014/main" id="{00000000-0008-0000-0400-000061000000}"/>
              </a:ext>
            </a:extLst>
          </xdr:cNvPr>
          <xdr:cNvSpPr>
            <a:spLocks/>
          </xdr:cNvSpPr>
        </xdr:nvSpPr>
        <xdr:spPr bwMode="auto">
          <a:xfrm>
            <a:off x="175774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8" name="Freeform 96">
            <a:extLst>
              <a:ext uri="{FF2B5EF4-FFF2-40B4-BE49-F238E27FC236}">
                <a16:creationId xmlns="" xmlns:a16="http://schemas.microsoft.com/office/drawing/2014/main" id="{00000000-0008-0000-0400-000062000000}"/>
              </a:ext>
            </a:extLst>
          </xdr:cNvPr>
          <xdr:cNvSpPr>
            <a:spLocks/>
          </xdr:cNvSpPr>
        </xdr:nvSpPr>
        <xdr:spPr bwMode="auto">
          <a:xfrm>
            <a:off x="501566" y="372485"/>
            <a:ext cx="28790" cy="27719"/>
          </a:xfrm>
          <a:custGeom>
            <a:avLst/>
            <a:gdLst>
              <a:gd name="T0" fmla="*/ 0 w 360"/>
              <a:gd name="T1" fmla="*/ 347 h 347"/>
              <a:gd name="T2" fmla="*/ 360 w 360"/>
              <a:gd name="T3" fmla="*/ 347 h 347"/>
              <a:gd name="T4" fmla="*/ 360 w 360"/>
              <a:gd name="T5" fmla="*/ 0 h 347"/>
              <a:gd name="T6" fmla="*/ 0 w 360"/>
              <a:gd name="T7" fmla="*/ 0 h 347"/>
              <a:gd name="T8" fmla="*/ 0 w 360"/>
              <a:gd name="T9" fmla="*/ 347 h 347"/>
              <a:gd name="T10" fmla="*/ 0 w 36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60" h="347">
                <a:moveTo>
                  <a:pt x="0" y="347"/>
                </a:moveTo>
                <a:lnTo>
                  <a:pt x="360" y="347"/>
                </a:lnTo>
                <a:lnTo>
                  <a:pt x="36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9" name="Freeform 97">
            <a:extLst>
              <a:ext uri="{FF2B5EF4-FFF2-40B4-BE49-F238E27FC236}">
                <a16:creationId xmlns="" xmlns:a16="http://schemas.microsoft.com/office/drawing/2014/main" id="{00000000-0008-0000-0400-000063000000}"/>
              </a:ext>
            </a:extLst>
          </xdr:cNvPr>
          <xdr:cNvSpPr>
            <a:spLocks/>
          </xdr:cNvSpPr>
        </xdr:nvSpPr>
        <xdr:spPr bwMode="auto">
          <a:xfrm>
            <a:off x="560633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0" name="Freeform 98">
            <a:extLst>
              <a:ext uri="{FF2B5EF4-FFF2-40B4-BE49-F238E27FC236}">
                <a16:creationId xmlns="" xmlns:a16="http://schemas.microsoft.com/office/drawing/2014/main" id="{00000000-0008-0000-0400-000064000000}"/>
              </a:ext>
            </a:extLst>
          </xdr:cNvPr>
          <xdr:cNvSpPr>
            <a:spLocks/>
          </xdr:cNvSpPr>
        </xdr:nvSpPr>
        <xdr:spPr bwMode="auto">
          <a:xfrm>
            <a:off x="618987" y="372485"/>
            <a:ext cx="28076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1" name="Freeform 99">
            <a:extLst>
              <a:ext uri="{FF2B5EF4-FFF2-40B4-BE49-F238E27FC236}">
                <a16:creationId xmlns="" xmlns:a16="http://schemas.microsoft.com/office/drawing/2014/main" id="{00000000-0008-0000-0400-000065000000}"/>
              </a:ext>
            </a:extLst>
          </xdr:cNvPr>
          <xdr:cNvSpPr>
            <a:spLocks/>
          </xdr:cNvSpPr>
        </xdr:nvSpPr>
        <xdr:spPr bwMode="auto">
          <a:xfrm>
            <a:off x="677340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2" name="Freeform 100">
            <a:extLst>
              <a:ext uri="{FF2B5EF4-FFF2-40B4-BE49-F238E27FC236}">
                <a16:creationId xmlns="" xmlns:a16="http://schemas.microsoft.com/office/drawing/2014/main" id="{00000000-0008-0000-0400-000066000000}"/>
              </a:ext>
            </a:extLst>
          </xdr:cNvPr>
          <xdr:cNvSpPr>
            <a:spLocks/>
          </xdr:cNvSpPr>
        </xdr:nvSpPr>
        <xdr:spPr bwMode="auto">
          <a:xfrm>
            <a:off x="735634" y="372485"/>
            <a:ext cx="28136" cy="27719"/>
          </a:xfrm>
          <a:custGeom>
            <a:avLst/>
            <a:gdLst>
              <a:gd name="T0" fmla="*/ 0 w 351"/>
              <a:gd name="T1" fmla="*/ 347 h 347"/>
              <a:gd name="T2" fmla="*/ 351 w 351"/>
              <a:gd name="T3" fmla="*/ 347 h 347"/>
              <a:gd name="T4" fmla="*/ 351 w 351"/>
              <a:gd name="T5" fmla="*/ 0 h 347"/>
              <a:gd name="T6" fmla="*/ 0 w 351"/>
              <a:gd name="T7" fmla="*/ 0 h 347"/>
              <a:gd name="T8" fmla="*/ 0 w 351"/>
              <a:gd name="T9" fmla="*/ 347 h 347"/>
              <a:gd name="T10" fmla="*/ 0 w 351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47">
                <a:moveTo>
                  <a:pt x="0" y="347"/>
                </a:moveTo>
                <a:lnTo>
                  <a:pt x="351" y="347"/>
                </a:lnTo>
                <a:lnTo>
                  <a:pt x="351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3" name="Freeform 102">
            <a:extLst>
              <a:ext uri="{FF2B5EF4-FFF2-40B4-BE49-F238E27FC236}">
                <a16:creationId xmlns="" xmlns:a16="http://schemas.microsoft.com/office/drawing/2014/main" id="{00000000-0008-0000-0400-000067000000}"/>
              </a:ext>
            </a:extLst>
          </xdr:cNvPr>
          <xdr:cNvSpPr>
            <a:spLocks/>
          </xdr:cNvSpPr>
        </xdr:nvSpPr>
        <xdr:spPr bwMode="auto">
          <a:xfrm>
            <a:off x="735634" y="316095"/>
            <a:ext cx="28136" cy="28552"/>
          </a:xfrm>
          <a:custGeom>
            <a:avLst/>
            <a:gdLst>
              <a:gd name="T0" fmla="*/ 0 w 351"/>
              <a:gd name="T1" fmla="*/ 356 h 356"/>
              <a:gd name="T2" fmla="*/ 351 w 351"/>
              <a:gd name="T3" fmla="*/ 356 h 356"/>
              <a:gd name="T4" fmla="*/ 351 w 351"/>
              <a:gd name="T5" fmla="*/ 0 h 356"/>
              <a:gd name="T6" fmla="*/ 0 w 351"/>
              <a:gd name="T7" fmla="*/ 0 h 356"/>
              <a:gd name="T8" fmla="*/ 0 w 351"/>
              <a:gd name="T9" fmla="*/ 356 h 356"/>
              <a:gd name="T10" fmla="*/ 0 w 351"/>
              <a:gd name="T11" fmla="*/ 356 h 3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56">
                <a:moveTo>
                  <a:pt x="0" y="356"/>
                </a:moveTo>
                <a:lnTo>
                  <a:pt x="351" y="356"/>
                </a:lnTo>
                <a:lnTo>
                  <a:pt x="351" y="0"/>
                </a:lnTo>
                <a:lnTo>
                  <a:pt x="0" y="0"/>
                </a:lnTo>
                <a:lnTo>
                  <a:pt x="0" y="35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4" name="Freeform 103">
            <a:extLst>
              <a:ext uri="{FF2B5EF4-FFF2-40B4-BE49-F238E27FC236}">
                <a16:creationId xmlns="" xmlns:a16="http://schemas.microsoft.com/office/drawing/2014/main" id="{00000000-0008-0000-0400-000068000000}"/>
              </a:ext>
            </a:extLst>
          </xdr:cNvPr>
          <xdr:cNvSpPr>
            <a:spLocks/>
          </xdr:cNvSpPr>
        </xdr:nvSpPr>
        <xdr:spPr bwMode="auto">
          <a:xfrm>
            <a:off x="274755" y="262738"/>
            <a:ext cx="20760" cy="21236"/>
          </a:xfrm>
          <a:custGeom>
            <a:avLst/>
            <a:gdLst>
              <a:gd name="T0" fmla="*/ 129 w 259"/>
              <a:gd name="T1" fmla="*/ 265 h 265"/>
              <a:gd name="T2" fmla="*/ 176 w 259"/>
              <a:gd name="T3" fmla="*/ 246 h 265"/>
              <a:gd name="T4" fmla="*/ 222 w 259"/>
              <a:gd name="T5" fmla="*/ 219 h 265"/>
              <a:gd name="T6" fmla="*/ 249 w 259"/>
              <a:gd name="T7" fmla="*/ 173 h 265"/>
              <a:gd name="T8" fmla="*/ 259 w 259"/>
              <a:gd name="T9" fmla="*/ 128 h 265"/>
              <a:gd name="T10" fmla="*/ 249 w 259"/>
              <a:gd name="T11" fmla="*/ 73 h 265"/>
              <a:gd name="T12" fmla="*/ 222 w 259"/>
              <a:gd name="T13" fmla="*/ 27 h 265"/>
              <a:gd name="T14" fmla="*/ 176 w 259"/>
              <a:gd name="T15" fmla="*/ 0 h 265"/>
              <a:gd name="T16" fmla="*/ 129 w 259"/>
              <a:gd name="T17" fmla="*/ 0 h 265"/>
              <a:gd name="T18" fmla="*/ 65 w 259"/>
              <a:gd name="T19" fmla="*/ 0 h 265"/>
              <a:gd name="T20" fmla="*/ 28 w 259"/>
              <a:gd name="T21" fmla="*/ 27 h 265"/>
              <a:gd name="T22" fmla="*/ 0 w 259"/>
              <a:gd name="T23" fmla="*/ 73 h 265"/>
              <a:gd name="T24" fmla="*/ 0 w 259"/>
              <a:gd name="T25" fmla="*/ 128 h 265"/>
              <a:gd name="T26" fmla="*/ 0 w 259"/>
              <a:gd name="T27" fmla="*/ 173 h 265"/>
              <a:gd name="T28" fmla="*/ 28 w 259"/>
              <a:gd name="T29" fmla="*/ 219 h 265"/>
              <a:gd name="T30" fmla="*/ 65 w 259"/>
              <a:gd name="T31" fmla="*/ 246 h 265"/>
              <a:gd name="T32" fmla="*/ 129 w 259"/>
              <a:gd name="T33" fmla="*/ 265 h 265"/>
              <a:gd name="T34" fmla="*/ 129 w 259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59" h="265">
                <a:moveTo>
                  <a:pt x="129" y="265"/>
                </a:moveTo>
                <a:lnTo>
                  <a:pt x="176" y="246"/>
                </a:lnTo>
                <a:lnTo>
                  <a:pt x="222" y="219"/>
                </a:lnTo>
                <a:lnTo>
                  <a:pt x="249" y="173"/>
                </a:lnTo>
                <a:lnTo>
                  <a:pt x="259" y="128"/>
                </a:lnTo>
                <a:lnTo>
                  <a:pt x="249" y="73"/>
                </a:lnTo>
                <a:lnTo>
                  <a:pt x="222" y="27"/>
                </a:lnTo>
                <a:lnTo>
                  <a:pt x="176" y="0"/>
                </a:lnTo>
                <a:lnTo>
                  <a:pt x="129" y="0"/>
                </a:lnTo>
                <a:lnTo>
                  <a:pt x="65" y="0"/>
                </a:lnTo>
                <a:lnTo>
                  <a:pt x="28" y="27"/>
                </a:lnTo>
                <a:lnTo>
                  <a:pt x="0" y="73"/>
                </a:lnTo>
                <a:lnTo>
                  <a:pt x="0" y="128"/>
                </a:lnTo>
                <a:lnTo>
                  <a:pt x="0" y="173"/>
                </a:lnTo>
                <a:lnTo>
                  <a:pt x="28" y="219"/>
                </a:lnTo>
                <a:lnTo>
                  <a:pt x="65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5" name="Freeform 104">
            <a:extLst>
              <a:ext uri="{FF2B5EF4-FFF2-40B4-BE49-F238E27FC236}">
                <a16:creationId xmlns="" xmlns:a16="http://schemas.microsoft.com/office/drawing/2014/main" id="{00000000-0008-0000-0400-000069000000}"/>
              </a:ext>
            </a:extLst>
          </xdr:cNvPr>
          <xdr:cNvSpPr>
            <a:spLocks/>
          </xdr:cNvSpPr>
        </xdr:nvSpPr>
        <xdr:spPr bwMode="auto">
          <a:xfrm>
            <a:off x="313955" y="262738"/>
            <a:ext cx="21355" cy="21236"/>
          </a:xfrm>
          <a:custGeom>
            <a:avLst/>
            <a:gdLst>
              <a:gd name="T0" fmla="*/ 129 w 267"/>
              <a:gd name="T1" fmla="*/ 265 h 265"/>
              <a:gd name="T2" fmla="*/ 184 w 267"/>
              <a:gd name="T3" fmla="*/ 246 h 265"/>
              <a:gd name="T4" fmla="*/ 230 w 267"/>
              <a:gd name="T5" fmla="*/ 219 h 265"/>
              <a:gd name="T6" fmla="*/ 249 w 267"/>
              <a:gd name="T7" fmla="*/ 173 h 265"/>
              <a:gd name="T8" fmla="*/ 267 w 267"/>
              <a:gd name="T9" fmla="*/ 137 h 265"/>
              <a:gd name="T10" fmla="*/ 249 w 267"/>
              <a:gd name="T11" fmla="*/ 73 h 265"/>
              <a:gd name="T12" fmla="*/ 230 w 267"/>
              <a:gd name="T13" fmla="*/ 36 h 265"/>
              <a:gd name="T14" fmla="*/ 184 w 267"/>
              <a:gd name="T15" fmla="*/ 0 h 265"/>
              <a:gd name="T16" fmla="*/ 129 w 267"/>
              <a:gd name="T17" fmla="*/ 0 h 265"/>
              <a:gd name="T18" fmla="*/ 74 w 267"/>
              <a:gd name="T19" fmla="*/ 0 h 265"/>
              <a:gd name="T20" fmla="*/ 37 w 267"/>
              <a:gd name="T21" fmla="*/ 36 h 265"/>
              <a:gd name="T22" fmla="*/ 9 w 267"/>
              <a:gd name="T23" fmla="*/ 73 h 265"/>
              <a:gd name="T24" fmla="*/ 0 w 267"/>
              <a:gd name="T25" fmla="*/ 137 h 265"/>
              <a:gd name="T26" fmla="*/ 9 w 267"/>
              <a:gd name="T27" fmla="*/ 173 h 265"/>
              <a:gd name="T28" fmla="*/ 37 w 267"/>
              <a:gd name="T29" fmla="*/ 219 h 265"/>
              <a:gd name="T30" fmla="*/ 74 w 267"/>
              <a:gd name="T31" fmla="*/ 246 h 265"/>
              <a:gd name="T32" fmla="*/ 129 w 267"/>
              <a:gd name="T33" fmla="*/ 265 h 265"/>
              <a:gd name="T34" fmla="*/ 129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29" y="265"/>
                </a:moveTo>
                <a:lnTo>
                  <a:pt x="184" y="246"/>
                </a:lnTo>
                <a:lnTo>
                  <a:pt x="230" y="219"/>
                </a:lnTo>
                <a:lnTo>
                  <a:pt x="249" y="173"/>
                </a:lnTo>
                <a:lnTo>
                  <a:pt x="267" y="137"/>
                </a:lnTo>
                <a:lnTo>
                  <a:pt x="249" y="73"/>
                </a:lnTo>
                <a:lnTo>
                  <a:pt x="230" y="36"/>
                </a:lnTo>
                <a:lnTo>
                  <a:pt x="184" y="0"/>
                </a:lnTo>
                <a:lnTo>
                  <a:pt x="129" y="0"/>
                </a:lnTo>
                <a:lnTo>
                  <a:pt x="74" y="0"/>
                </a:lnTo>
                <a:lnTo>
                  <a:pt x="37" y="36"/>
                </a:lnTo>
                <a:lnTo>
                  <a:pt x="9" y="73"/>
                </a:lnTo>
                <a:lnTo>
                  <a:pt x="0" y="137"/>
                </a:lnTo>
                <a:lnTo>
                  <a:pt x="9" y="173"/>
                </a:lnTo>
                <a:lnTo>
                  <a:pt x="37" y="219"/>
                </a:lnTo>
                <a:lnTo>
                  <a:pt x="74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6" name="Freeform 105">
            <a:extLst>
              <a:ext uri="{FF2B5EF4-FFF2-40B4-BE49-F238E27FC236}">
                <a16:creationId xmlns="" xmlns:a16="http://schemas.microsoft.com/office/drawing/2014/main" id="{00000000-0008-0000-0400-00006A000000}"/>
              </a:ext>
            </a:extLst>
          </xdr:cNvPr>
          <xdr:cNvSpPr>
            <a:spLocks/>
          </xdr:cNvSpPr>
        </xdr:nvSpPr>
        <xdr:spPr bwMode="auto">
          <a:xfrm>
            <a:off x="345838" y="267913"/>
            <a:ext cx="21355" cy="21236"/>
          </a:xfrm>
          <a:custGeom>
            <a:avLst/>
            <a:gdLst>
              <a:gd name="T0" fmla="*/ 138 w 267"/>
              <a:gd name="T1" fmla="*/ 265 h 265"/>
              <a:gd name="T2" fmla="*/ 184 w 267"/>
              <a:gd name="T3" fmla="*/ 256 h 265"/>
              <a:gd name="T4" fmla="*/ 230 w 267"/>
              <a:gd name="T5" fmla="*/ 228 h 265"/>
              <a:gd name="T6" fmla="*/ 258 w 267"/>
              <a:gd name="T7" fmla="*/ 182 h 265"/>
              <a:gd name="T8" fmla="*/ 267 w 267"/>
              <a:gd name="T9" fmla="*/ 137 h 265"/>
              <a:gd name="T10" fmla="*/ 258 w 267"/>
              <a:gd name="T11" fmla="*/ 82 h 265"/>
              <a:gd name="T12" fmla="*/ 230 w 267"/>
              <a:gd name="T13" fmla="*/ 45 h 265"/>
              <a:gd name="T14" fmla="*/ 184 w 267"/>
              <a:gd name="T15" fmla="*/ 9 h 265"/>
              <a:gd name="T16" fmla="*/ 138 w 267"/>
              <a:gd name="T17" fmla="*/ 0 h 265"/>
              <a:gd name="T18" fmla="*/ 74 w 267"/>
              <a:gd name="T19" fmla="*/ 9 h 265"/>
              <a:gd name="T20" fmla="*/ 37 w 267"/>
              <a:gd name="T21" fmla="*/ 45 h 265"/>
              <a:gd name="T22" fmla="*/ 9 w 267"/>
              <a:gd name="T23" fmla="*/ 82 h 265"/>
              <a:gd name="T24" fmla="*/ 0 w 267"/>
              <a:gd name="T25" fmla="*/ 137 h 265"/>
              <a:gd name="T26" fmla="*/ 9 w 267"/>
              <a:gd name="T27" fmla="*/ 182 h 265"/>
              <a:gd name="T28" fmla="*/ 37 w 267"/>
              <a:gd name="T29" fmla="*/ 228 h 265"/>
              <a:gd name="T30" fmla="*/ 74 w 267"/>
              <a:gd name="T31" fmla="*/ 256 h 265"/>
              <a:gd name="T32" fmla="*/ 138 w 267"/>
              <a:gd name="T33" fmla="*/ 265 h 265"/>
              <a:gd name="T34" fmla="*/ 138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38" y="265"/>
                </a:moveTo>
                <a:lnTo>
                  <a:pt x="184" y="256"/>
                </a:lnTo>
                <a:lnTo>
                  <a:pt x="230" y="228"/>
                </a:lnTo>
                <a:lnTo>
                  <a:pt x="258" y="182"/>
                </a:lnTo>
                <a:lnTo>
                  <a:pt x="267" y="137"/>
                </a:lnTo>
                <a:lnTo>
                  <a:pt x="258" y="82"/>
                </a:lnTo>
                <a:lnTo>
                  <a:pt x="230" y="45"/>
                </a:lnTo>
                <a:lnTo>
                  <a:pt x="184" y="9"/>
                </a:lnTo>
                <a:lnTo>
                  <a:pt x="138" y="0"/>
                </a:lnTo>
                <a:lnTo>
                  <a:pt x="74" y="9"/>
                </a:lnTo>
                <a:lnTo>
                  <a:pt x="37" y="45"/>
                </a:lnTo>
                <a:lnTo>
                  <a:pt x="9" y="82"/>
                </a:lnTo>
                <a:lnTo>
                  <a:pt x="0" y="137"/>
                </a:lnTo>
                <a:lnTo>
                  <a:pt x="9" y="182"/>
                </a:lnTo>
                <a:lnTo>
                  <a:pt x="37" y="228"/>
                </a:lnTo>
                <a:lnTo>
                  <a:pt x="74" y="256"/>
                </a:lnTo>
                <a:lnTo>
                  <a:pt x="138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7" name="Freeform 106">
            <a:extLst>
              <a:ext uri="{FF2B5EF4-FFF2-40B4-BE49-F238E27FC236}">
                <a16:creationId xmlns="" xmlns:a16="http://schemas.microsoft.com/office/drawing/2014/main" id="{00000000-0008-0000-0400-00006B000000}"/>
              </a:ext>
            </a:extLst>
          </xdr:cNvPr>
          <xdr:cNvSpPr>
            <a:spLocks/>
          </xdr:cNvSpPr>
        </xdr:nvSpPr>
        <xdr:spPr bwMode="auto">
          <a:xfrm>
            <a:off x="278502" y="266307"/>
            <a:ext cx="14038" cy="13919"/>
          </a:xfrm>
          <a:custGeom>
            <a:avLst/>
            <a:gdLst>
              <a:gd name="T0" fmla="*/ 83 w 176"/>
              <a:gd name="T1" fmla="*/ 174 h 174"/>
              <a:gd name="T2" fmla="*/ 148 w 176"/>
              <a:gd name="T3" fmla="*/ 147 h 174"/>
              <a:gd name="T4" fmla="*/ 176 w 176"/>
              <a:gd name="T5" fmla="*/ 92 h 174"/>
              <a:gd name="T6" fmla="*/ 148 w 176"/>
              <a:gd name="T7" fmla="*/ 28 h 174"/>
              <a:gd name="T8" fmla="*/ 83 w 176"/>
              <a:gd name="T9" fmla="*/ 0 h 174"/>
              <a:gd name="T10" fmla="*/ 19 w 176"/>
              <a:gd name="T11" fmla="*/ 28 h 174"/>
              <a:gd name="T12" fmla="*/ 0 w 176"/>
              <a:gd name="T13" fmla="*/ 92 h 174"/>
              <a:gd name="T14" fmla="*/ 19 w 176"/>
              <a:gd name="T15" fmla="*/ 147 h 174"/>
              <a:gd name="T16" fmla="*/ 83 w 176"/>
              <a:gd name="T17" fmla="*/ 174 h 174"/>
              <a:gd name="T18" fmla="*/ 83 w 17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76" h="174">
                <a:moveTo>
                  <a:pt x="83" y="174"/>
                </a:moveTo>
                <a:lnTo>
                  <a:pt x="148" y="147"/>
                </a:lnTo>
                <a:lnTo>
                  <a:pt x="176" y="92"/>
                </a:lnTo>
                <a:lnTo>
                  <a:pt x="148" y="28"/>
                </a:lnTo>
                <a:lnTo>
                  <a:pt x="83" y="0"/>
                </a:lnTo>
                <a:lnTo>
                  <a:pt x="19" y="28"/>
                </a:lnTo>
                <a:lnTo>
                  <a:pt x="0" y="92"/>
                </a:lnTo>
                <a:lnTo>
                  <a:pt x="19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8" name="Freeform 107">
            <a:extLst>
              <a:ext uri="{FF2B5EF4-FFF2-40B4-BE49-F238E27FC236}">
                <a16:creationId xmlns="" xmlns:a16="http://schemas.microsoft.com/office/drawing/2014/main" id="{00000000-0008-0000-0400-00006C000000}"/>
              </a:ext>
            </a:extLst>
          </xdr:cNvPr>
          <xdr:cNvSpPr>
            <a:spLocks/>
          </xdr:cNvSpPr>
        </xdr:nvSpPr>
        <xdr:spPr bwMode="auto">
          <a:xfrm>
            <a:off x="101955" y="15347"/>
            <a:ext cx="629991" cy="494604"/>
          </a:xfrm>
          <a:custGeom>
            <a:avLst/>
            <a:gdLst>
              <a:gd name="T0" fmla="*/ 5393 w 7863"/>
              <a:gd name="T1" fmla="*/ 73 h 6179"/>
              <a:gd name="T2" fmla="*/ 5863 w 7863"/>
              <a:gd name="T3" fmla="*/ 9 h 6179"/>
              <a:gd name="T4" fmla="*/ 6352 w 7863"/>
              <a:gd name="T5" fmla="*/ 9 h 6179"/>
              <a:gd name="T6" fmla="*/ 6794 w 7863"/>
              <a:gd name="T7" fmla="*/ 64 h 6179"/>
              <a:gd name="T8" fmla="*/ 7190 w 7863"/>
              <a:gd name="T9" fmla="*/ 229 h 6179"/>
              <a:gd name="T10" fmla="*/ 7587 w 7863"/>
              <a:gd name="T11" fmla="*/ 567 h 6179"/>
              <a:gd name="T12" fmla="*/ 7854 w 7863"/>
              <a:gd name="T13" fmla="*/ 1243 h 6179"/>
              <a:gd name="T14" fmla="*/ 7799 w 7863"/>
              <a:gd name="T15" fmla="*/ 2020 h 6179"/>
              <a:gd name="T16" fmla="*/ 7522 w 7863"/>
              <a:gd name="T17" fmla="*/ 2834 h 6179"/>
              <a:gd name="T18" fmla="*/ 7080 w 7863"/>
              <a:gd name="T19" fmla="*/ 3574 h 6179"/>
              <a:gd name="T20" fmla="*/ 6573 w 7863"/>
              <a:gd name="T21" fmla="*/ 4196 h 6179"/>
              <a:gd name="T22" fmla="*/ 5752 w 7863"/>
              <a:gd name="T23" fmla="*/ 4872 h 6179"/>
              <a:gd name="T24" fmla="*/ 4914 w 7863"/>
              <a:gd name="T25" fmla="*/ 5393 h 6179"/>
              <a:gd name="T26" fmla="*/ 4029 w 7863"/>
              <a:gd name="T27" fmla="*/ 5759 h 6179"/>
              <a:gd name="T28" fmla="*/ 3098 w 7863"/>
              <a:gd name="T29" fmla="*/ 6015 h 6179"/>
              <a:gd name="T30" fmla="*/ 2047 w 7863"/>
              <a:gd name="T31" fmla="*/ 6152 h 6179"/>
              <a:gd name="T32" fmla="*/ 1438 w 7863"/>
              <a:gd name="T33" fmla="*/ 6179 h 6179"/>
              <a:gd name="T34" fmla="*/ 1079 w 7863"/>
              <a:gd name="T35" fmla="*/ 6170 h 6179"/>
              <a:gd name="T36" fmla="*/ 747 w 7863"/>
              <a:gd name="T37" fmla="*/ 6134 h 6179"/>
              <a:gd name="T38" fmla="*/ 443 w 7863"/>
              <a:gd name="T39" fmla="*/ 6042 h 6179"/>
              <a:gd name="T40" fmla="*/ 203 w 7863"/>
              <a:gd name="T41" fmla="*/ 5923 h 6179"/>
              <a:gd name="T42" fmla="*/ 28 w 7863"/>
              <a:gd name="T43" fmla="*/ 5740 h 6179"/>
              <a:gd name="T44" fmla="*/ 10 w 7863"/>
              <a:gd name="T45" fmla="*/ 5503 h 6179"/>
              <a:gd name="T46" fmla="*/ 102 w 7863"/>
              <a:gd name="T47" fmla="*/ 5229 h 6179"/>
              <a:gd name="T48" fmla="*/ 259 w 7863"/>
              <a:gd name="T49" fmla="*/ 4991 h 6179"/>
              <a:gd name="T50" fmla="*/ 397 w 7863"/>
              <a:gd name="T51" fmla="*/ 4808 h 6179"/>
              <a:gd name="T52" fmla="*/ 471 w 7863"/>
              <a:gd name="T53" fmla="*/ 4753 h 6179"/>
              <a:gd name="T54" fmla="*/ 544 w 7863"/>
              <a:gd name="T55" fmla="*/ 5000 h 6179"/>
              <a:gd name="T56" fmla="*/ 480 w 7863"/>
              <a:gd name="T57" fmla="*/ 5110 h 6179"/>
              <a:gd name="T58" fmla="*/ 415 w 7863"/>
              <a:gd name="T59" fmla="*/ 5265 h 6179"/>
              <a:gd name="T60" fmla="*/ 378 w 7863"/>
              <a:gd name="T61" fmla="*/ 5457 h 6179"/>
              <a:gd name="T62" fmla="*/ 415 w 7863"/>
              <a:gd name="T63" fmla="*/ 5658 h 6179"/>
              <a:gd name="T64" fmla="*/ 821 w 7863"/>
              <a:gd name="T65" fmla="*/ 5914 h 6179"/>
              <a:gd name="T66" fmla="*/ 1448 w 7863"/>
              <a:gd name="T67" fmla="*/ 6024 h 6179"/>
              <a:gd name="T68" fmla="*/ 2213 w 7863"/>
              <a:gd name="T69" fmla="*/ 5978 h 6179"/>
              <a:gd name="T70" fmla="*/ 3033 w 7863"/>
              <a:gd name="T71" fmla="*/ 5823 h 6179"/>
              <a:gd name="T72" fmla="*/ 3807 w 7863"/>
              <a:gd name="T73" fmla="*/ 5567 h 6179"/>
              <a:gd name="T74" fmla="*/ 4683 w 7863"/>
              <a:gd name="T75" fmla="*/ 5091 h 6179"/>
              <a:gd name="T76" fmla="*/ 5669 w 7863"/>
              <a:gd name="T77" fmla="*/ 4324 h 6179"/>
              <a:gd name="T78" fmla="*/ 6554 w 7863"/>
              <a:gd name="T79" fmla="*/ 3382 h 6179"/>
              <a:gd name="T80" fmla="*/ 7181 w 7863"/>
              <a:gd name="T81" fmla="*/ 2331 h 6179"/>
              <a:gd name="T82" fmla="*/ 7402 w 7863"/>
              <a:gd name="T83" fmla="*/ 1271 h 6179"/>
              <a:gd name="T84" fmla="*/ 7209 w 7863"/>
              <a:gd name="T85" fmla="*/ 475 h 6179"/>
              <a:gd name="T86" fmla="*/ 6941 w 7863"/>
              <a:gd name="T87" fmla="*/ 247 h 6179"/>
              <a:gd name="T88" fmla="*/ 6564 w 7863"/>
              <a:gd name="T89" fmla="*/ 119 h 6179"/>
              <a:gd name="T90" fmla="*/ 6140 w 7863"/>
              <a:gd name="T91" fmla="*/ 101 h 6179"/>
              <a:gd name="T92" fmla="*/ 5679 w 7863"/>
              <a:gd name="T93" fmla="*/ 146 h 6179"/>
              <a:gd name="T94" fmla="*/ 5236 w 7863"/>
              <a:gd name="T95" fmla="*/ 229 h 6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7863" h="6179">
                <a:moveTo>
                  <a:pt x="5089" y="137"/>
                </a:moveTo>
                <a:lnTo>
                  <a:pt x="5236" y="101"/>
                </a:lnTo>
                <a:lnTo>
                  <a:pt x="5393" y="73"/>
                </a:lnTo>
                <a:lnTo>
                  <a:pt x="5550" y="46"/>
                </a:lnTo>
                <a:lnTo>
                  <a:pt x="5706" y="28"/>
                </a:lnTo>
                <a:lnTo>
                  <a:pt x="5863" y="9"/>
                </a:lnTo>
                <a:lnTo>
                  <a:pt x="6029" y="0"/>
                </a:lnTo>
                <a:lnTo>
                  <a:pt x="6186" y="0"/>
                </a:lnTo>
                <a:lnTo>
                  <a:pt x="6352" y="9"/>
                </a:lnTo>
                <a:lnTo>
                  <a:pt x="6499" y="9"/>
                </a:lnTo>
                <a:lnTo>
                  <a:pt x="6647" y="37"/>
                </a:lnTo>
                <a:lnTo>
                  <a:pt x="6794" y="64"/>
                </a:lnTo>
                <a:lnTo>
                  <a:pt x="6932" y="110"/>
                </a:lnTo>
                <a:lnTo>
                  <a:pt x="7061" y="165"/>
                </a:lnTo>
                <a:lnTo>
                  <a:pt x="7190" y="229"/>
                </a:lnTo>
                <a:lnTo>
                  <a:pt x="7310" y="293"/>
                </a:lnTo>
                <a:lnTo>
                  <a:pt x="7430" y="384"/>
                </a:lnTo>
                <a:lnTo>
                  <a:pt x="7587" y="567"/>
                </a:lnTo>
                <a:lnTo>
                  <a:pt x="7716" y="768"/>
                </a:lnTo>
                <a:lnTo>
                  <a:pt x="7799" y="996"/>
                </a:lnTo>
                <a:lnTo>
                  <a:pt x="7854" y="1243"/>
                </a:lnTo>
                <a:lnTo>
                  <a:pt x="7863" y="1490"/>
                </a:lnTo>
                <a:lnTo>
                  <a:pt x="7845" y="1755"/>
                </a:lnTo>
                <a:lnTo>
                  <a:pt x="7799" y="2020"/>
                </a:lnTo>
                <a:lnTo>
                  <a:pt x="7734" y="2294"/>
                </a:lnTo>
                <a:lnTo>
                  <a:pt x="7642" y="2559"/>
                </a:lnTo>
                <a:lnTo>
                  <a:pt x="7522" y="2834"/>
                </a:lnTo>
                <a:lnTo>
                  <a:pt x="7384" y="3090"/>
                </a:lnTo>
                <a:lnTo>
                  <a:pt x="7246" y="3346"/>
                </a:lnTo>
                <a:lnTo>
                  <a:pt x="7080" y="3574"/>
                </a:lnTo>
                <a:lnTo>
                  <a:pt x="6914" y="3812"/>
                </a:lnTo>
                <a:lnTo>
                  <a:pt x="6739" y="4004"/>
                </a:lnTo>
                <a:lnTo>
                  <a:pt x="6573" y="4196"/>
                </a:lnTo>
                <a:lnTo>
                  <a:pt x="6296" y="4433"/>
                </a:lnTo>
                <a:lnTo>
                  <a:pt x="6020" y="4662"/>
                </a:lnTo>
                <a:lnTo>
                  <a:pt x="5752" y="4872"/>
                </a:lnTo>
                <a:lnTo>
                  <a:pt x="5476" y="5064"/>
                </a:lnTo>
                <a:lnTo>
                  <a:pt x="5190" y="5238"/>
                </a:lnTo>
                <a:lnTo>
                  <a:pt x="4914" y="5393"/>
                </a:lnTo>
                <a:lnTo>
                  <a:pt x="4619" y="5521"/>
                </a:lnTo>
                <a:lnTo>
                  <a:pt x="4333" y="5658"/>
                </a:lnTo>
                <a:lnTo>
                  <a:pt x="4029" y="5759"/>
                </a:lnTo>
                <a:lnTo>
                  <a:pt x="3724" y="5859"/>
                </a:lnTo>
                <a:lnTo>
                  <a:pt x="3411" y="5932"/>
                </a:lnTo>
                <a:lnTo>
                  <a:pt x="3098" y="6015"/>
                </a:lnTo>
                <a:lnTo>
                  <a:pt x="2757" y="6070"/>
                </a:lnTo>
                <a:lnTo>
                  <a:pt x="2406" y="6115"/>
                </a:lnTo>
                <a:lnTo>
                  <a:pt x="2047" y="6152"/>
                </a:lnTo>
                <a:lnTo>
                  <a:pt x="1678" y="6179"/>
                </a:lnTo>
                <a:lnTo>
                  <a:pt x="1558" y="6179"/>
                </a:lnTo>
                <a:lnTo>
                  <a:pt x="1438" y="6179"/>
                </a:lnTo>
                <a:lnTo>
                  <a:pt x="1309" y="6179"/>
                </a:lnTo>
                <a:lnTo>
                  <a:pt x="1199" y="6179"/>
                </a:lnTo>
                <a:lnTo>
                  <a:pt x="1079" y="6170"/>
                </a:lnTo>
                <a:lnTo>
                  <a:pt x="959" y="6161"/>
                </a:lnTo>
                <a:lnTo>
                  <a:pt x="848" y="6152"/>
                </a:lnTo>
                <a:lnTo>
                  <a:pt x="747" y="6134"/>
                </a:lnTo>
                <a:lnTo>
                  <a:pt x="636" y="6106"/>
                </a:lnTo>
                <a:lnTo>
                  <a:pt x="544" y="6088"/>
                </a:lnTo>
                <a:lnTo>
                  <a:pt x="443" y="6042"/>
                </a:lnTo>
                <a:lnTo>
                  <a:pt x="369" y="6015"/>
                </a:lnTo>
                <a:lnTo>
                  <a:pt x="277" y="5969"/>
                </a:lnTo>
                <a:lnTo>
                  <a:pt x="203" y="5923"/>
                </a:lnTo>
                <a:lnTo>
                  <a:pt x="129" y="5868"/>
                </a:lnTo>
                <a:lnTo>
                  <a:pt x="83" y="5814"/>
                </a:lnTo>
                <a:lnTo>
                  <a:pt x="28" y="5740"/>
                </a:lnTo>
                <a:lnTo>
                  <a:pt x="0" y="5667"/>
                </a:lnTo>
                <a:lnTo>
                  <a:pt x="0" y="5585"/>
                </a:lnTo>
                <a:lnTo>
                  <a:pt x="10" y="5503"/>
                </a:lnTo>
                <a:lnTo>
                  <a:pt x="19" y="5411"/>
                </a:lnTo>
                <a:lnTo>
                  <a:pt x="65" y="5320"/>
                </a:lnTo>
                <a:lnTo>
                  <a:pt x="102" y="5229"/>
                </a:lnTo>
                <a:lnTo>
                  <a:pt x="157" y="5155"/>
                </a:lnTo>
                <a:lnTo>
                  <a:pt x="203" y="5064"/>
                </a:lnTo>
                <a:lnTo>
                  <a:pt x="259" y="4991"/>
                </a:lnTo>
                <a:lnTo>
                  <a:pt x="305" y="4918"/>
                </a:lnTo>
                <a:lnTo>
                  <a:pt x="360" y="4863"/>
                </a:lnTo>
                <a:lnTo>
                  <a:pt x="397" y="4808"/>
                </a:lnTo>
                <a:lnTo>
                  <a:pt x="434" y="4781"/>
                </a:lnTo>
                <a:lnTo>
                  <a:pt x="461" y="4753"/>
                </a:lnTo>
                <a:lnTo>
                  <a:pt x="471" y="4753"/>
                </a:lnTo>
                <a:lnTo>
                  <a:pt x="600" y="4936"/>
                </a:lnTo>
                <a:lnTo>
                  <a:pt x="581" y="4954"/>
                </a:lnTo>
                <a:lnTo>
                  <a:pt x="544" y="5000"/>
                </a:lnTo>
                <a:lnTo>
                  <a:pt x="526" y="5027"/>
                </a:lnTo>
                <a:lnTo>
                  <a:pt x="507" y="5064"/>
                </a:lnTo>
                <a:lnTo>
                  <a:pt x="480" y="5110"/>
                </a:lnTo>
                <a:lnTo>
                  <a:pt x="461" y="5165"/>
                </a:lnTo>
                <a:lnTo>
                  <a:pt x="434" y="5210"/>
                </a:lnTo>
                <a:lnTo>
                  <a:pt x="415" y="5265"/>
                </a:lnTo>
                <a:lnTo>
                  <a:pt x="397" y="5329"/>
                </a:lnTo>
                <a:lnTo>
                  <a:pt x="397" y="5393"/>
                </a:lnTo>
                <a:lnTo>
                  <a:pt x="378" y="5457"/>
                </a:lnTo>
                <a:lnTo>
                  <a:pt x="388" y="5521"/>
                </a:lnTo>
                <a:lnTo>
                  <a:pt x="397" y="5585"/>
                </a:lnTo>
                <a:lnTo>
                  <a:pt x="415" y="5658"/>
                </a:lnTo>
                <a:lnTo>
                  <a:pt x="517" y="5759"/>
                </a:lnTo>
                <a:lnTo>
                  <a:pt x="655" y="5850"/>
                </a:lnTo>
                <a:lnTo>
                  <a:pt x="821" y="5914"/>
                </a:lnTo>
                <a:lnTo>
                  <a:pt x="1014" y="5978"/>
                </a:lnTo>
                <a:lnTo>
                  <a:pt x="1226" y="6006"/>
                </a:lnTo>
                <a:lnTo>
                  <a:pt x="1448" y="6024"/>
                </a:lnTo>
                <a:lnTo>
                  <a:pt x="1697" y="6024"/>
                </a:lnTo>
                <a:lnTo>
                  <a:pt x="1955" y="6015"/>
                </a:lnTo>
                <a:lnTo>
                  <a:pt x="2213" y="5978"/>
                </a:lnTo>
                <a:lnTo>
                  <a:pt x="2480" y="5942"/>
                </a:lnTo>
                <a:lnTo>
                  <a:pt x="2747" y="5887"/>
                </a:lnTo>
                <a:lnTo>
                  <a:pt x="3033" y="5823"/>
                </a:lnTo>
                <a:lnTo>
                  <a:pt x="3291" y="5740"/>
                </a:lnTo>
                <a:lnTo>
                  <a:pt x="3549" y="5658"/>
                </a:lnTo>
                <a:lnTo>
                  <a:pt x="3807" y="5567"/>
                </a:lnTo>
                <a:lnTo>
                  <a:pt x="4047" y="5466"/>
                </a:lnTo>
                <a:lnTo>
                  <a:pt x="4360" y="5293"/>
                </a:lnTo>
                <a:lnTo>
                  <a:pt x="4683" y="5091"/>
                </a:lnTo>
                <a:lnTo>
                  <a:pt x="5015" y="4854"/>
                </a:lnTo>
                <a:lnTo>
                  <a:pt x="5347" y="4607"/>
                </a:lnTo>
                <a:lnTo>
                  <a:pt x="5669" y="4324"/>
                </a:lnTo>
                <a:lnTo>
                  <a:pt x="5983" y="4022"/>
                </a:lnTo>
                <a:lnTo>
                  <a:pt x="6278" y="3711"/>
                </a:lnTo>
                <a:lnTo>
                  <a:pt x="6554" y="3382"/>
                </a:lnTo>
                <a:lnTo>
                  <a:pt x="6794" y="3035"/>
                </a:lnTo>
                <a:lnTo>
                  <a:pt x="7015" y="2687"/>
                </a:lnTo>
                <a:lnTo>
                  <a:pt x="7181" y="2331"/>
                </a:lnTo>
                <a:lnTo>
                  <a:pt x="7310" y="1974"/>
                </a:lnTo>
                <a:lnTo>
                  <a:pt x="7384" y="1618"/>
                </a:lnTo>
                <a:lnTo>
                  <a:pt x="7402" y="1271"/>
                </a:lnTo>
                <a:lnTo>
                  <a:pt x="7366" y="923"/>
                </a:lnTo>
                <a:lnTo>
                  <a:pt x="7273" y="594"/>
                </a:lnTo>
                <a:lnTo>
                  <a:pt x="7209" y="475"/>
                </a:lnTo>
                <a:lnTo>
                  <a:pt x="7135" y="384"/>
                </a:lnTo>
                <a:lnTo>
                  <a:pt x="7034" y="302"/>
                </a:lnTo>
                <a:lnTo>
                  <a:pt x="6941" y="247"/>
                </a:lnTo>
                <a:lnTo>
                  <a:pt x="6822" y="183"/>
                </a:lnTo>
                <a:lnTo>
                  <a:pt x="6702" y="146"/>
                </a:lnTo>
                <a:lnTo>
                  <a:pt x="6564" y="119"/>
                </a:lnTo>
                <a:lnTo>
                  <a:pt x="6435" y="110"/>
                </a:lnTo>
                <a:lnTo>
                  <a:pt x="6287" y="101"/>
                </a:lnTo>
                <a:lnTo>
                  <a:pt x="6140" y="101"/>
                </a:lnTo>
                <a:lnTo>
                  <a:pt x="5983" y="101"/>
                </a:lnTo>
                <a:lnTo>
                  <a:pt x="5835" y="119"/>
                </a:lnTo>
                <a:lnTo>
                  <a:pt x="5679" y="146"/>
                </a:lnTo>
                <a:lnTo>
                  <a:pt x="5531" y="165"/>
                </a:lnTo>
                <a:lnTo>
                  <a:pt x="5374" y="192"/>
                </a:lnTo>
                <a:lnTo>
                  <a:pt x="5236" y="229"/>
                </a:lnTo>
                <a:lnTo>
                  <a:pt x="5089" y="13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9" name="Freeform 108">
            <a:extLst>
              <a:ext uri="{FF2B5EF4-FFF2-40B4-BE49-F238E27FC236}">
                <a16:creationId xmlns="" xmlns:a16="http://schemas.microsoft.com/office/drawing/2014/main" id="{00000000-0008-0000-0400-00006D000000}"/>
              </a:ext>
            </a:extLst>
          </xdr:cNvPr>
          <xdr:cNvSpPr>
            <a:spLocks/>
          </xdr:cNvSpPr>
        </xdr:nvSpPr>
        <xdr:spPr bwMode="auto">
          <a:xfrm>
            <a:off x="113019" y="334297"/>
            <a:ext cx="143296" cy="110639"/>
          </a:xfrm>
          <a:custGeom>
            <a:avLst/>
            <a:gdLst>
              <a:gd name="T0" fmla="*/ 92 w 1788"/>
              <a:gd name="T1" fmla="*/ 1079 h 1381"/>
              <a:gd name="T2" fmla="*/ 129 w 1788"/>
              <a:gd name="T3" fmla="*/ 997 h 1381"/>
              <a:gd name="T4" fmla="*/ 175 w 1788"/>
              <a:gd name="T5" fmla="*/ 942 h 1381"/>
              <a:gd name="T6" fmla="*/ 221 w 1788"/>
              <a:gd name="T7" fmla="*/ 878 h 1381"/>
              <a:gd name="T8" fmla="*/ 267 w 1788"/>
              <a:gd name="T9" fmla="*/ 823 h 1381"/>
              <a:gd name="T10" fmla="*/ 304 w 1788"/>
              <a:gd name="T11" fmla="*/ 768 h 1381"/>
              <a:gd name="T12" fmla="*/ 359 w 1788"/>
              <a:gd name="T13" fmla="*/ 713 h 1381"/>
              <a:gd name="T14" fmla="*/ 405 w 1788"/>
              <a:gd name="T15" fmla="*/ 659 h 1381"/>
              <a:gd name="T16" fmla="*/ 451 w 1788"/>
              <a:gd name="T17" fmla="*/ 613 h 1381"/>
              <a:gd name="T18" fmla="*/ 497 w 1788"/>
              <a:gd name="T19" fmla="*/ 558 h 1381"/>
              <a:gd name="T20" fmla="*/ 553 w 1788"/>
              <a:gd name="T21" fmla="*/ 521 h 1381"/>
              <a:gd name="T22" fmla="*/ 599 w 1788"/>
              <a:gd name="T23" fmla="*/ 467 h 1381"/>
              <a:gd name="T24" fmla="*/ 663 w 1788"/>
              <a:gd name="T25" fmla="*/ 430 h 1381"/>
              <a:gd name="T26" fmla="*/ 709 w 1788"/>
              <a:gd name="T27" fmla="*/ 375 h 1381"/>
              <a:gd name="T28" fmla="*/ 774 w 1788"/>
              <a:gd name="T29" fmla="*/ 330 h 1381"/>
              <a:gd name="T30" fmla="*/ 839 w 1788"/>
              <a:gd name="T31" fmla="*/ 284 h 1381"/>
              <a:gd name="T32" fmla="*/ 912 w 1788"/>
              <a:gd name="T33" fmla="*/ 247 h 1381"/>
              <a:gd name="T34" fmla="*/ 958 w 1788"/>
              <a:gd name="T35" fmla="*/ 211 h 1381"/>
              <a:gd name="T36" fmla="*/ 1014 w 1788"/>
              <a:gd name="T37" fmla="*/ 174 h 1381"/>
              <a:gd name="T38" fmla="*/ 1060 w 1788"/>
              <a:gd name="T39" fmla="*/ 147 h 1381"/>
              <a:gd name="T40" fmla="*/ 1115 w 1788"/>
              <a:gd name="T41" fmla="*/ 128 h 1381"/>
              <a:gd name="T42" fmla="*/ 1170 w 1788"/>
              <a:gd name="T43" fmla="*/ 101 h 1381"/>
              <a:gd name="T44" fmla="*/ 1216 w 1788"/>
              <a:gd name="T45" fmla="*/ 83 h 1381"/>
              <a:gd name="T46" fmla="*/ 1272 w 1788"/>
              <a:gd name="T47" fmla="*/ 64 h 1381"/>
              <a:gd name="T48" fmla="*/ 1318 w 1788"/>
              <a:gd name="T49" fmla="*/ 46 h 1381"/>
              <a:gd name="T50" fmla="*/ 1364 w 1788"/>
              <a:gd name="T51" fmla="*/ 28 h 1381"/>
              <a:gd name="T52" fmla="*/ 1410 w 1788"/>
              <a:gd name="T53" fmla="*/ 19 h 1381"/>
              <a:gd name="T54" fmla="*/ 1456 w 1788"/>
              <a:gd name="T55" fmla="*/ 10 h 1381"/>
              <a:gd name="T56" fmla="*/ 1493 w 1788"/>
              <a:gd name="T57" fmla="*/ 10 h 1381"/>
              <a:gd name="T58" fmla="*/ 1530 w 1788"/>
              <a:gd name="T59" fmla="*/ 0 h 1381"/>
              <a:gd name="T60" fmla="*/ 1567 w 1788"/>
              <a:gd name="T61" fmla="*/ 0 h 1381"/>
              <a:gd name="T62" fmla="*/ 1594 w 1788"/>
              <a:gd name="T63" fmla="*/ 0 h 1381"/>
              <a:gd name="T64" fmla="*/ 1631 w 1788"/>
              <a:gd name="T65" fmla="*/ 10 h 1381"/>
              <a:gd name="T66" fmla="*/ 1788 w 1788"/>
              <a:gd name="T67" fmla="*/ 302 h 1381"/>
              <a:gd name="T68" fmla="*/ 1770 w 1788"/>
              <a:gd name="T69" fmla="*/ 302 h 1381"/>
              <a:gd name="T70" fmla="*/ 1733 w 1788"/>
              <a:gd name="T71" fmla="*/ 311 h 1381"/>
              <a:gd name="T72" fmla="*/ 1677 w 1788"/>
              <a:gd name="T73" fmla="*/ 330 h 1381"/>
              <a:gd name="T74" fmla="*/ 1604 w 1788"/>
              <a:gd name="T75" fmla="*/ 357 h 1381"/>
              <a:gd name="T76" fmla="*/ 1511 w 1788"/>
              <a:gd name="T77" fmla="*/ 384 h 1381"/>
              <a:gd name="T78" fmla="*/ 1410 w 1788"/>
              <a:gd name="T79" fmla="*/ 421 h 1381"/>
              <a:gd name="T80" fmla="*/ 1299 w 1788"/>
              <a:gd name="T81" fmla="*/ 467 h 1381"/>
              <a:gd name="T82" fmla="*/ 1180 w 1788"/>
              <a:gd name="T83" fmla="*/ 521 h 1381"/>
              <a:gd name="T84" fmla="*/ 1051 w 1788"/>
              <a:gd name="T85" fmla="*/ 585 h 1381"/>
              <a:gd name="T86" fmla="*/ 921 w 1788"/>
              <a:gd name="T87" fmla="*/ 659 h 1381"/>
              <a:gd name="T88" fmla="*/ 792 w 1788"/>
              <a:gd name="T89" fmla="*/ 732 h 1381"/>
              <a:gd name="T90" fmla="*/ 673 w 1788"/>
              <a:gd name="T91" fmla="*/ 832 h 1381"/>
              <a:gd name="T92" fmla="*/ 544 w 1788"/>
              <a:gd name="T93" fmla="*/ 933 h 1381"/>
              <a:gd name="T94" fmla="*/ 433 w 1788"/>
              <a:gd name="T95" fmla="*/ 1042 h 1381"/>
              <a:gd name="T96" fmla="*/ 332 w 1788"/>
              <a:gd name="T97" fmla="*/ 1170 h 1381"/>
              <a:gd name="T98" fmla="*/ 249 w 1788"/>
              <a:gd name="T99" fmla="*/ 1308 h 1381"/>
              <a:gd name="T100" fmla="*/ 202 w 1788"/>
              <a:gd name="T101" fmla="*/ 1344 h 1381"/>
              <a:gd name="T102" fmla="*/ 156 w 1788"/>
              <a:gd name="T103" fmla="*/ 1362 h 1381"/>
              <a:gd name="T104" fmla="*/ 101 w 1788"/>
              <a:gd name="T105" fmla="*/ 1381 h 1381"/>
              <a:gd name="T106" fmla="*/ 55 w 1788"/>
              <a:gd name="T107" fmla="*/ 1372 h 1381"/>
              <a:gd name="T108" fmla="*/ 9 w 1788"/>
              <a:gd name="T109" fmla="*/ 1335 h 1381"/>
              <a:gd name="T110" fmla="*/ 0 w 1788"/>
              <a:gd name="T111" fmla="*/ 1280 h 1381"/>
              <a:gd name="T112" fmla="*/ 0 w 1788"/>
              <a:gd name="T113" fmla="*/ 1234 h 1381"/>
              <a:gd name="T114" fmla="*/ 18 w 1788"/>
              <a:gd name="T115" fmla="*/ 1189 h 1381"/>
              <a:gd name="T116" fmla="*/ 46 w 1788"/>
              <a:gd name="T117" fmla="*/ 1134 h 1381"/>
              <a:gd name="T118" fmla="*/ 92 w 1788"/>
              <a:gd name="T119" fmla="*/ 1079 h 1381"/>
              <a:gd name="T120" fmla="*/ 92 w 1788"/>
              <a:gd name="T121" fmla="*/ 1079 h 1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88" h="1381">
                <a:moveTo>
                  <a:pt x="92" y="1079"/>
                </a:moveTo>
                <a:lnTo>
                  <a:pt x="129" y="997"/>
                </a:lnTo>
                <a:lnTo>
                  <a:pt x="175" y="942"/>
                </a:lnTo>
                <a:lnTo>
                  <a:pt x="221" y="878"/>
                </a:lnTo>
                <a:lnTo>
                  <a:pt x="267" y="823"/>
                </a:lnTo>
                <a:lnTo>
                  <a:pt x="304" y="768"/>
                </a:lnTo>
                <a:lnTo>
                  <a:pt x="359" y="713"/>
                </a:lnTo>
                <a:lnTo>
                  <a:pt x="405" y="659"/>
                </a:lnTo>
                <a:lnTo>
                  <a:pt x="451" y="613"/>
                </a:lnTo>
                <a:lnTo>
                  <a:pt x="497" y="558"/>
                </a:lnTo>
                <a:lnTo>
                  <a:pt x="553" y="521"/>
                </a:lnTo>
                <a:lnTo>
                  <a:pt x="599" y="467"/>
                </a:lnTo>
                <a:lnTo>
                  <a:pt x="663" y="430"/>
                </a:lnTo>
                <a:lnTo>
                  <a:pt x="709" y="375"/>
                </a:lnTo>
                <a:lnTo>
                  <a:pt x="774" y="330"/>
                </a:lnTo>
                <a:lnTo>
                  <a:pt x="839" y="284"/>
                </a:lnTo>
                <a:lnTo>
                  <a:pt x="912" y="247"/>
                </a:lnTo>
                <a:lnTo>
                  <a:pt x="958" y="211"/>
                </a:lnTo>
                <a:lnTo>
                  <a:pt x="1014" y="174"/>
                </a:lnTo>
                <a:lnTo>
                  <a:pt x="1060" y="147"/>
                </a:lnTo>
                <a:lnTo>
                  <a:pt x="1115" y="128"/>
                </a:lnTo>
                <a:lnTo>
                  <a:pt x="1170" y="101"/>
                </a:lnTo>
                <a:lnTo>
                  <a:pt x="1216" y="83"/>
                </a:lnTo>
                <a:lnTo>
                  <a:pt x="1272" y="64"/>
                </a:lnTo>
                <a:lnTo>
                  <a:pt x="1318" y="46"/>
                </a:lnTo>
                <a:lnTo>
                  <a:pt x="1364" y="28"/>
                </a:lnTo>
                <a:lnTo>
                  <a:pt x="1410" y="19"/>
                </a:lnTo>
                <a:lnTo>
                  <a:pt x="1456" y="10"/>
                </a:lnTo>
                <a:lnTo>
                  <a:pt x="1493" y="10"/>
                </a:lnTo>
                <a:lnTo>
                  <a:pt x="1530" y="0"/>
                </a:lnTo>
                <a:lnTo>
                  <a:pt x="1567" y="0"/>
                </a:lnTo>
                <a:lnTo>
                  <a:pt x="1594" y="0"/>
                </a:lnTo>
                <a:lnTo>
                  <a:pt x="1631" y="10"/>
                </a:lnTo>
                <a:lnTo>
                  <a:pt x="1788" y="302"/>
                </a:lnTo>
                <a:lnTo>
                  <a:pt x="1770" y="302"/>
                </a:lnTo>
                <a:lnTo>
                  <a:pt x="1733" y="311"/>
                </a:lnTo>
                <a:lnTo>
                  <a:pt x="1677" y="330"/>
                </a:lnTo>
                <a:lnTo>
                  <a:pt x="1604" y="357"/>
                </a:lnTo>
                <a:lnTo>
                  <a:pt x="1511" y="384"/>
                </a:lnTo>
                <a:lnTo>
                  <a:pt x="1410" y="421"/>
                </a:lnTo>
                <a:lnTo>
                  <a:pt x="1299" y="467"/>
                </a:lnTo>
                <a:lnTo>
                  <a:pt x="1180" y="521"/>
                </a:lnTo>
                <a:lnTo>
                  <a:pt x="1051" y="585"/>
                </a:lnTo>
                <a:lnTo>
                  <a:pt x="921" y="659"/>
                </a:lnTo>
                <a:lnTo>
                  <a:pt x="792" y="732"/>
                </a:lnTo>
                <a:lnTo>
                  <a:pt x="673" y="832"/>
                </a:lnTo>
                <a:lnTo>
                  <a:pt x="544" y="933"/>
                </a:lnTo>
                <a:lnTo>
                  <a:pt x="433" y="1042"/>
                </a:lnTo>
                <a:lnTo>
                  <a:pt x="332" y="1170"/>
                </a:lnTo>
                <a:lnTo>
                  <a:pt x="249" y="1308"/>
                </a:lnTo>
                <a:lnTo>
                  <a:pt x="202" y="1344"/>
                </a:lnTo>
                <a:lnTo>
                  <a:pt x="156" y="1362"/>
                </a:lnTo>
                <a:lnTo>
                  <a:pt x="101" y="1381"/>
                </a:lnTo>
                <a:lnTo>
                  <a:pt x="55" y="1372"/>
                </a:lnTo>
                <a:lnTo>
                  <a:pt x="9" y="1335"/>
                </a:lnTo>
                <a:lnTo>
                  <a:pt x="0" y="1280"/>
                </a:lnTo>
                <a:lnTo>
                  <a:pt x="0" y="1234"/>
                </a:lnTo>
                <a:lnTo>
                  <a:pt x="18" y="1189"/>
                </a:lnTo>
                <a:lnTo>
                  <a:pt x="46" y="1134"/>
                </a:lnTo>
                <a:lnTo>
                  <a:pt x="92" y="1079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0" name="Freeform 109">
            <a:extLst>
              <a:ext uri="{FF2B5EF4-FFF2-40B4-BE49-F238E27FC236}">
                <a16:creationId xmlns="" xmlns:a16="http://schemas.microsoft.com/office/drawing/2014/main" id="{00000000-0008-0000-0400-00006E000000}"/>
              </a:ext>
            </a:extLst>
          </xdr:cNvPr>
          <xdr:cNvSpPr>
            <a:spLocks/>
          </xdr:cNvSpPr>
        </xdr:nvSpPr>
        <xdr:spPr bwMode="auto">
          <a:xfrm>
            <a:off x="67930" y="269995"/>
            <a:ext cx="308066" cy="129495"/>
          </a:xfrm>
          <a:custGeom>
            <a:avLst/>
            <a:gdLst>
              <a:gd name="T0" fmla="*/ 0 w 3844"/>
              <a:gd name="T1" fmla="*/ 1618 h 1618"/>
              <a:gd name="T2" fmla="*/ 461 w 3844"/>
              <a:gd name="T3" fmla="*/ 932 h 1618"/>
              <a:gd name="T4" fmla="*/ 2747 w 3844"/>
              <a:gd name="T5" fmla="*/ 932 h 1618"/>
              <a:gd name="T6" fmla="*/ 3669 w 3844"/>
              <a:gd name="T7" fmla="*/ 18 h 1618"/>
              <a:gd name="T8" fmla="*/ 3844 w 3844"/>
              <a:gd name="T9" fmla="*/ 0 h 1618"/>
              <a:gd name="T10" fmla="*/ 2793 w 3844"/>
              <a:gd name="T11" fmla="*/ 1042 h 1618"/>
              <a:gd name="T12" fmla="*/ 535 w 3844"/>
              <a:gd name="T13" fmla="*/ 1042 h 1618"/>
              <a:gd name="T14" fmla="*/ 166 w 3844"/>
              <a:gd name="T15" fmla="*/ 1618 h 1618"/>
              <a:gd name="T16" fmla="*/ 0 w 3844"/>
              <a:gd name="T17" fmla="*/ 1618 h 1618"/>
              <a:gd name="T18" fmla="*/ 0 w 3844"/>
              <a:gd name="T19" fmla="*/ 1618 h 16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844" h="1618">
                <a:moveTo>
                  <a:pt x="0" y="1618"/>
                </a:moveTo>
                <a:lnTo>
                  <a:pt x="461" y="932"/>
                </a:lnTo>
                <a:lnTo>
                  <a:pt x="2747" y="932"/>
                </a:lnTo>
                <a:lnTo>
                  <a:pt x="3669" y="18"/>
                </a:lnTo>
                <a:lnTo>
                  <a:pt x="3844" y="0"/>
                </a:lnTo>
                <a:lnTo>
                  <a:pt x="2793" y="1042"/>
                </a:lnTo>
                <a:lnTo>
                  <a:pt x="535" y="1042"/>
                </a:lnTo>
                <a:lnTo>
                  <a:pt x="166" y="1618"/>
                </a:lnTo>
                <a:lnTo>
                  <a:pt x="0" y="1618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1" name="Freeform 110">
            <a:extLst>
              <a:ext uri="{FF2B5EF4-FFF2-40B4-BE49-F238E27FC236}">
                <a16:creationId xmlns="" xmlns:a16="http://schemas.microsoft.com/office/drawing/2014/main" id="{00000000-0008-0000-0400-00006F000000}"/>
              </a:ext>
            </a:extLst>
          </xdr:cNvPr>
          <xdr:cNvSpPr>
            <a:spLocks/>
          </xdr:cNvSpPr>
        </xdr:nvSpPr>
        <xdr:spPr bwMode="auto">
          <a:xfrm>
            <a:off x="33251" y="271423"/>
            <a:ext cx="301404" cy="128068"/>
          </a:xfrm>
          <a:custGeom>
            <a:avLst/>
            <a:gdLst>
              <a:gd name="T0" fmla="*/ 0 w 3761"/>
              <a:gd name="T1" fmla="*/ 1600 h 1600"/>
              <a:gd name="T2" fmla="*/ 553 w 3761"/>
              <a:gd name="T3" fmla="*/ 759 h 1600"/>
              <a:gd name="T4" fmla="*/ 2839 w 3761"/>
              <a:gd name="T5" fmla="*/ 759 h 1600"/>
              <a:gd name="T6" fmla="*/ 3604 w 3761"/>
              <a:gd name="T7" fmla="*/ 0 h 1600"/>
              <a:gd name="T8" fmla="*/ 3761 w 3761"/>
              <a:gd name="T9" fmla="*/ 0 h 1600"/>
              <a:gd name="T10" fmla="*/ 2885 w 3761"/>
              <a:gd name="T11" fmla="*/ 869 h 1600"/>
              <a:gd name="T12" fmla="*/ 655 w 3761"/>
              <a:gd name="T13" fmla="*/ 869 h 1600"/>
              <a:gd name="T14" fmla="*/ 157 w 3761"/>
              <a:gd name="T15" fmla="*/ 1600 h 1600"/>
              <a:gd name="T16" fmla="*/ 0 w 3761"/>
              <a:gd name="T17" fmla="*/ 1600 h 1600"/>
              <a:gd name="T18" fmla="*/ 0 w 3761"/>
              <a:gd name="T19" fmla="*/ 1600 h 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761" h="1600">
                <a:moveTo>
                  <a:pt x="0" y="1600"/>
                </a:moveTo>
                <a:lnTo>
                  <a:pt x="553" y="759"/>
                </a:lnTo>
                <a:lnTo>
                  <a:pt x="2839" y="759"/>
                </a:lnTo>
                <a:lnTo>
                  <a:pt x="3604" y="0"/>
                </a:lnTo>
                <a:lnTo>
                  <a:pt x="3761" y="0"/>
                </a:lnTo>
                <a:lnTo>
                  <a:pt x="2885" y="869"/>
                </a:lnTo>
                <a:lnTo>
                  <a:pt x="655" y="869"/>
                </a:lnTo>
                <a:lnTo>
                  <a:pt x="157" y="1600"/>
                </a:lnTo>
                <a:lnTo>
                  <a:pt x="0" y="1600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2" name="Freeform 111">
            <a:extLst>
              <a:ext uri="{FF2B5EF4-FFF2-40B4-BE49-F238E27FC236}">
                <a16:creationId xmlns="" xmlns:a16="http://schemas.microsoft.com/office/drawing/2014/main" id="{00000000-0008-0000-0400-000070000000}"/>
              </a:ext>
            </a:extLst>
          </xdr:cNvPr>
          <xdr:cNvSpPr>
            <a:spLocks/>
          </xdr:cNvSpPr>
        </xdr:nvSpPr>
        <xdr:spPr bwMode="auto">
          <a:xfrm>
            <a:off x="317583" y="266307"/>
            <a:ext cx="13324" cy="13919"/>
          </a:xfrm>
          <a:custGeom>
            <a:avLst/>
            <a:gdLst>
              <a:gd name="T0" fmla="*/ 83 w 166"/>
              <a:gd name="T1" fmla="*/ 174 h 174"/>
              <a:gd name="T2" fmla="*/ 138 w 166"/>
              <a:gd name="T3" fmla="*/ 147 h 174"/>
              <a:gd name="T4" fmla="*/ 166 w 166"/>
              <a:gd name="T5" fmla="*/ 92 h 174"/>
              <a:gd name="T6" fmla="*/ 138 w 166"/>
              <a:gd name="T7" fmla="*/ 28 h 174"/>
              <a:gd name="T8" fmla="*/ 83 w 166"/>
              <a:gd name="T9" fmla="*/ 0 h 174"/>
              <a:gd name="T10" fmla="*/ 18 w 166"/>
              <a:gd name="T11" fmla="*/ 28 h 174"/>
              <a:gd name="T12" fmla="*/ 0 w 166"/>
              <a:gd name="T13" fmla="*/ 92 h 174"/>
              <a:gd name="T14" fmla="*/ 18 w 166"/>
              <a:gd name="T15" fmla="*/ 147 h 174"/>
              <a:gd name="T16" fmla="*/ 83 w 166"/>
              <a:gd name="T17" fmla="*/ 174 h 174"/>
              <a:gd name="T18" fmla="*/ 83 w 16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66" h="174">
                <a:moveTo>
                  <a:pt x="83" y="174"/>
                </a:moveTo>
                <a:lnTo>
                  <a:pt x="138" y="147"/>
                </a:lnTo>
                <a:lnTo>
                  <a:pt x="166" y="92"/>
                </a:lnTo>
                <a:lnTo>
                  <a:pt x="138" y="28"/>
                </a:lnTo>
                <a:lnTo>
                  <a:pt x="83" y="0"/>
                </a:lnTo>
                <a:lnTo>
                  <a:pt x="18" y="28"/>
                </a:lnTo>
                <a:lnTo>
                  <a:pt x="0" y="92"/>
                </a:lnTo>
                <a:lnTo>
                  <a:pt x="18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3" name="Freeform 112">
            <a:extLst>
              <a:ext uri="{FF2B5EF4-FFF2-40B4-BE49-F238E27FC236}">
                <a16:creationId xmlns="" xmlns:a16="http://schemas.microsoft.com/office/drawing/2014/main" id="{00000000-0008-0000-0400-000071000000}"/>
              </a:ext>
            </a:extLst>
          </xdr:cNvPr>
          <xdr:cNvSpPr>
            <a:spLocks/>
          </xdr:cNvSpPr>
        </xdr:nvSpPr>
        <xdr:spPr bwMode="auto">
          <a:xfrm>
            <a:off x="358924" y="267080"/>
            <a:ext cx="13324" cy="13146"/>
          </a:xfrm>
          <a:custGeom>
            <a:avLst/>
            <a:gdLst>
              <a:gd name="T0" fmla="*/ 83 w 166"/>
              <a:gd name="T1" fmla="*/ 165 h 165"/>
              <a:gd name="T2" fmla="*/ 111 w 166"/>
              <a:gd name="T3" fmla="*/ 156 h 165"/>
              <a:gd name="T4" fmla="*/ 139 w 166"/>
              <a:gd name="T5" fmla="*/ 147 h 165"/>
              <a:gd name="T6" fmla="*/ 148 w 166"/>
              <a:gd name="T7" fmla="*/ 110 h 165"/>
              <a:gd name="T8" fmla="*/ 166 w 166"/>
              <a:gd name="T9" fmla="*/ 83 h 165"/>
              <a:gd name="T10" fmla="*/ 148 w 166"/>
              <a:gd name="T11" fmla="*/ 46 h 165"/>
              <a:gd name="T12" fmla="*/ 139 w 166"/>
              <a:gd name="T13" fmla="*/ 19 h 165"/>
              <a:gd name="T14" fmla="*/ 111 w 166"/>
              <a:gd name="T15" fmla="*/ 0 h 165"/>
              <a:gd name="T16" fmla="*/ 83 w 166"/>
              <a:gd name="T17" fmla="*/ 0 h 165"/>
              <a:gd name="T18" fmla="*/ 37 w 166"/>
              <a:gd name="T19" fmla="*/ 0 h 165"/>
              <a:gd name="T20" fmla="*/ 19 w 166"/>
              <a:gd name="T21" fmla="*/ 19 h 165"/>
              <a:gd name="T22" fmla="*/ 0 w 166"/>
              <a:gd name="T23" fmla="*/ 46 h 165"/>
              <a:gd name="T24" fmla="*/ 0 w 166"/>
              <a:gd name="T25" fmla="*/ 83 h 165"/>
              <a:gd name="T26" fmla="*/ 19 w 166"/>
              <a:gd name="T27" fmla="*/ 147 h 165"/>
              <a:gd name="T28" fmla="*/ 83 w 166"/>
              <a:gd name="T29" fmla="*/ 165 h 165"/>
              <a:gd name="T30" fmla="*/ 83 w 166"/>
              <a:gd name="T31" fmla="*/ 165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66" h="165">
                <a:moveTo>
                  <a:pt x="83" y="165"/>
                </a:moveTo>
                <a:lnTo>
                  <a:pt x="111" y="156"/>
                </a:lnTo>
                <a:lnTo>
                  <a:pt x="139" y="147"/>
                </a:lnTo>
                <a:lnTo>
                  <a:pt x="148" y="110"/>
                </a:lnTo>
                <a:lnTo>
                  <a:pt x="166" y="83"/>
                </a:lnTo>
                <a:lnTo>
                  <a:pt x="148" y="46"/>
                </a:lnTo>
                <a:lnTo>
                  <a:pt x="139" y="19"/>
                </a:lnTo>
                <a:lnTo>
                  <a:pt x="111" y="0"/>
                </a:lnTo>
                <a:lnTo>
                  <a:pt x="83" y="0"/>
                </a:lnTo>
                <a:lnTo>
                  <a:pt x="37" y="0"/>
                </a:lnTo>
                <a:lnTo>
                  <a:pt x="19" y="19"/>
                </a:lnTo>
                <a:lnTo>
                  <a:pt x="0" y="46"/>
                </a:lnTo>
                <a:lnTo>
                  <a:pt x="0" y="83"/>
                </a:lnTo>
                <a:lnTo>
                  <a:pt x="19" y="147"/>
                </a:lnTo>
                <a:lnTo>
                  <a:pt x="83" y="165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14" name="Line 157">
            <a:extLst>
              <a:ext uri="{FF2B5EF4-FFF2-40B4-BE49-F238E27FC236}">
                <a16:creationId xmlns="" xmlns:a16="http://schemas.microsoft.com/office/drawing/2014/main" id="{00000000-0008-0000-0400-000072000000}"/>
              </a:ext>
            </a:extLst>
          </xdr:cNvPr>
          <xdr:cNvCxnSpPr/>
        </xdr:nvCxnSpPr>
        <xdr:spPr bwMode="auto">
          <a:xfrm flipV="1">
            <a:off x="492524" y="139191"/>
            <a:ext cx="149720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5" name="Line 156">
            <a:extLst>
              <a:ext uri="{FF2B5EF4-FFF2-40B4-BE49-F238E27FC236}">
                <a16:creationId xmlns="" xmlns:a16="http://schemas.microsoft.com/office/drawing/2014/main" id="{00000000-0008-0000-0400-000073000000}"/>
              </a:ext>
            </a:extLst>
          </xdr:cNvPr>
          <xdr:cNvCxnSpPr/>
        </xdr:nvCxnSpPr>
        <xdr:spPr bwMode="auto">
          <a:xfrm flipH="1" flipV="1">
            <a:off x="385454" y="235554"/>
            <a:ext cx="107189" cy="28908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6" name="Line 158">
            <a:extLst>
              <a:ext uri="{FF2B5EF4-FFF2-40B4-BE49-F238E27FC236}">
                <a16:creationId xmlns="" xmlns:a16="http://schemas.microsoft.com/office/drawing/2014/main" id="{00000000-0008-0000-0400-000074000000}"/>
              </a:ext>
            </a:extLst>
          </xdr:cNvPr>
          <xdr:cNvCxnSpPr/>
        </xdr:nvCxnSpPr>
        <xdr:spPr bwMode="auto">
          <a:xfrm flipV="1">
            <a:off x="278383" y="235554"/>
            <a:ext cx="107011" cy="28914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7" name="Line 154">
            <a:extLst>
              <a:ext uri="{FF2B5EF4-FFF2-40B4-BE49-F238E27FC236}">
                <a16:creationId xmlns="" xmlns:a16="http://schemas.microsoft.com/office/drawing/2014/main" id="{00000000-0008-0000-0400-000075000000}"/>
              </a:ext>
            </a:extLst>
          </xdr:cNvPr>
          <xdr:cNvCxnSpPr/>
        </xdr:nvCxnSpPr>
        <xdr:spPr bwMode="auto">
          <a:xfrm flipH="1" flipV="1">
            <a:off x="139192" y="139191"/>
            <a:ext cx="139192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8" name="Line 160">
            <a:extLst>
              <a:ext uri="{FF2B5EF4-FFF2-40B4-BE49-F238E27FC236}">
                <a16:creationId xmlns="" xmlns:a16="http://schemas.microsoft.com/office/drawing/2014/main" id="{00000000-0008-0000-0400-000076000000}"/>
              </a:ext>
            </a:extLst>
          </xdr:cNvPr>
          <xdr:cNvCxnSpPr/>
        </xdr:nvCxnSpPr>
        <xdr:spPr bwMode="auto">
          <a:xfrm flipV="1">
            <a:off x="278383" y="139191"/>
            <a:ext cx="10707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9" name="Line 159">
            <a:extLst>
              <a:ext uri="{FF2B5EF4-FFF2-40B4-BE49-F238E27FC236}">
                <a16:creationId xmlns="" xmlns:a16="http://schemas.microsoft.com/office/drawing/2014/main" id="{00000000-0008-0000-0400-000077000000}"/>
              </a:ext>
            </a:extLst>
          </xdr:cNvPr>
          <xdr:cNvCxnSpPr/>
        </xdr:nvCxnSpPr>
        <xdr:spPr bwMode="auto">
          <a:xfrm flipH="1" flipV="1">
            <a:off x="171313" y="139191"/>
            <a:ext cx="10701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0" name="Line 161">
            <a:extLst>
              <a:ext uri="{FF2B5EF4-FFF2-40B4-BE49-F238E27FC236}">
                <a16:creationId xmlns="" xmlns:a16="http://schemas.microsoft.com/office/drawing/2014/main" id="{00000000-0008-0000-0400-000078000000}"/>
              </a:ext>
            </a:extLst>
          </xdr:cNvPr>
          <xdr:cNvCxnSpPr/>
        </xdr:nvCxnSpPr>
        <xdr:spPr bwMode="auto">
          <a:xfrm>
            <a:off x="139192" y="139191"/>
            <a:ext cx="32121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1" name="Line 142">
            <a:extLst>
              <a:ext uri="{FF2B5EF4-FFF2-40B4-BE49-F238E27FC236}">
                <a16:creationId xmlns="" xmlns:a16="http://schemas.microsoft.com/office/drawing/2014/main" id="{00000000-0008-0000-0400-000079000000}"/>
              </a:ext>
            </a:extLst>
          </xdr:cNvPr>
          <xdr:cNvCxnSpPr/>
        </xdr:nvCxnSpPr>
        <xdr:spPr bwMode="auto">
          <a:xfrm>
            <a:off x="385454" y="139191"/>
            <a:ext cx="256910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</xdr:col>
      <xdr:colOff>368300</xdr:colOff>
      <xdr:row>1</xdr:row>
      <xdr:rowOff>304800</xdr:rowOff>
    </xdr:from>
    <xdr:to>
      <xdr:col>1</xdr:col>
      <xdr:colOff>1187450</xdr:colOff>
      <xdr:row>1</xdr:row>
      <xdr:rowOff>327660</xdr:rowOff>
    </xdr:to>
    <xdr:cxnSp macro="">
      <xdr:nvCxnSpPr>
        <xdr:cNvPr id="122" name="Straight Connector 121">
          <a:extLst>
            <a:ext uri="{FF2B5EF4-FFF2-40B4-BE49-F238E27FC236}">
              <a16:creationId xmlns="" xmlns:a16="http://schemas.microsoft.com/office/drawing/2014/main" id="{00000000-0008-0000-0400-00007A000000}"/>
            </a:ext>
          </a:extLst>
        </xdr:cNvPr>
        <xdr:cNvCxnSpPr/>
      </xdr:nvCxnSpPr>
      <xdr:spPr>
        <a:xfrm flipV="1">
          <a:off x="977900" y="755650"/>
          <a:ext cx="81915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384175</xdr:colOff>
      <xdr:row>1</xdr:row>
      <xdr:rowOff>441325</xdr:rowOff>
    </xdr:from>
    <xdr:to>
      <xdr:col>1</xdr:col>
      <xdr:colOff>1203325</xdr:colOff>
      <xdr:row>1</xdr:row>
      <xdr:rowOff>464185</xdr:rowOff>
    </xdr:to>
    <xdr:cxnSp macro="">
      <xdr:nvCxnSpPr>
        <xdr:cNvPr id="123" name="Straight Connector 122">
          <a:extLst>
            <a:ext uri="{FF2B5EF4-FFF2-40B4-BE49-F238E27FC236}">
              <a16:creationId xmlns="" xmlns:a16="http://schemas.microsoft.com/office/drawing/2014/main" id="{00000000-0008-0000-0400-00007B000000}"/>
            </a:ext>
          </a:extLst>
        </xdr:cNvPr>
        <xdr:cNvCxnSpPr/>
      </xdr:nvCxnSpPr>
      <xdr:spPr>
        <a:xfrm flipV="1">
          <a:off x="993775" y="892175"/>
          <a:ext cx="81915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1</xdr:row>
      <xdr:rowOff>374650</xdr:rowOff>
    </xdr:from>
    <xdr:to>
      <xdr:col>1</xdr:col>
      <xdr:colOff>1162050</xdr:colOff>
      <xdr:row>1</xdr:row>
      <xdr:rowOff>397510</xdr:rowOff>
    </xdr:to>
    <xdr:cxnSp macro="">
      <xdr:nvCxnSpPr>
        <xdr:cNvPr id="124" name="Straight Connector 123">
          <a:extLst>
            <a:ext uri="{FF2B5EF4-FFF2-40B4-BE49-F238E27FC236}">
              <a16:creationId xmlns="" xmlns:a16="http://schemas.microsoft.com/office/drawing/2014/main" id="{00000000-0008-0000-0400-00007C000000}"/>
            </a:ext>
          </a:extLst>
        </xdr:cNvPr>
        <xdr:cNvCxnSpPr/>
      </xdr:nvCxnSpPr>
      <xdr:spPr>
        <a:xfrm flipV="1">
          <a:off x="952500" y="825500"/>
          <a:ext cx="81915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869950</xdr:colOff>
      <xdr:row>1</xdr:row>
      <xdr:rowOff>736600</xdr:rowOff>
    </xdr:from>
    <xdr:to>
      <xdr:col>2</xdr:col>
      <xdr:colOff>247650</xdr:colOff>
      <xdr:row>2</xdr:row>
      <xdr:rowOff>16510</xdr:rowOff>
    </xdr:to>
    <xdr:cxnSp macro="">
      <xdr:nvCxnSpPr>
        <xdr:cNvPr id="125" name="Straight Connector 124">
          <a:extLst>
            <a:ext uri="{FF2B5EF4-FFF2-40B4-BE49-F238E27FC236}">
              <a16:creationId xmlns="" xmlns:a16="http://schemas.microsoft.com/office/drawing/2014/main" id="{00000000-0008-0000-0400-00007D000000}"/>
            </a:ext>
          </a:extLst>
        </xdr:cNvPr>
        <xdr:cNvCxnSpPr/>
      </xdr:nvCxnSpPr>
      <xdr:spPr>
        <a:xfrm flipV="1">
          <a:off x="1479550" y="118110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419100</xdr:colOff>
      <xdr:row>1</xdr:row>
      <xdr:rowOff>527050</xdr:rowOff>
    </xdr:from>
    <xdr:to>
      <xdr:col>2</xdr:col>
      <xdr:colOff>0</xdr:colOff>
      <xdr:row>1</xdr:row>
      <xdr:rowOff>549910</xdr:rowOff>
    </xdr:to>
    <xdr:cxnSp macro="">
      <xdr:nvCxnSpPr>
        <xdr:cNvPr id="126" name="Straight Connector 125">
          <a:extLst>
            <a:ext uri="{FF2B5EF4-FFF2-40B4-BE49-F238E27FC236}">
              <a16:creationId xmlns="" xmlns:a16="http://schemas.microsoft.com/office/drawing/2014/main" id="{00000000-0008-0000-0400-00007E000000}"/>
            </a:ext>
          </a:extLst>
        </xdr:cNvPr>
        <xdr:cNvCxnSpPr/>
      </xdr:nvCxnSpPr>
      <xdr:spPr>
        <a:xfrm flipV="1">
          <a:off x="1028700" y="977900"/>
          <a:ext cx="81915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</xdr:row>
      <xdr:rowOff>228600</xdr:rowOff>
    </xdr:from>
    <xdr:to>
      <xdr:col>1</xdr:col>
      <xdr:colOff>1200150</xdr:colOff>
      <xdr:row>1</xdr:row>
      <xdr:rowOff>251460</xdr:rowOff>
    </xdr:to>
    <xdr:cxnSp macro="">
      <xdr:nvCxnSpPr>
        <xdr:cNvPr id="127" name="Straight Connector 126">
          <a:extLst>
            <a:ext uri="{FF2B5EF4-FFF2-40B4-BE49-F238E27FC236}">
              <a16:creationId xmlns="" xmlns:a16="http://schemas.microsoft.com/office/drawing/2014/main" id="{00000000-0008-0000-0400-00007F000000}"/>
            </a:ext>
          </a:extLst>
        </xdr:cNvPr>
        <xdr:cNvCxnSpPr/>
      </xdr:nvCxnSpPr>
      <xdr:spPr>
        <a:xfrm flipV="1">
          <a:off x="990600" y="679450"/>
          <a:ext cx="81915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396875</xdr:colOff>
      <xdr:row>1</xdr:row>
      <xdr:rowOff>142875</xdr:rowOff>
    </xdr:from>
    <xdr:to>
      <xdr:col>1</xdr:col>
      <xdr:colOff>1196975</xdr:colOff>
      <xdr:row>1</xdr:row>
      <xdr:rowOff>165735</xdr:rowOff>
    </xdr:to>
    <xdr:cxnSp macro="">
      <xdr:nvCxnSpPr>
        <xdr:cNvPr id="130" name="Straight Connector 129">
          <a:extLst>
            <a:ext uri="{FF2B5EF4-FFF2-40B4-BE49-F238E27FC236}">
              <a16:creationId xmlns="" xmlns:a16="http://schemas.microsoft.com/office/drawing/2014/main" id="{00000000-0008-0000-0400-000082000000}"/>
            </a:ext>
          </a:extLst>
        </xdr:cNvPr>
        <xdr:cNvCxnSpPr/>
      </xdr:nvCxnSpPr>
      <xdr:spPr>
        <a:xfrm flipV="1">
          <a:off x="1006475" y="593725"/>
          <a:ext cx="8001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739775</xdr:colOff>
      <xdr:row>0</xdr:row>
      <xdr:rowOff>69850</xdr:rowOff>
    </xdr:from>
    <xdr:to>
      <xdr:col>2</xdr:col>
      <xdr:colOff>301625</xdr:colOff>
      <xdr:row>0</xdr:row>
      <xdr:rowOff>92710</xdr:rowOff>
    </xdr:to>
    <xdr:cxnSp macro="">
      <xdr:nvCxnSpPr>
        <xdr:cNvPr id="132" name="Straight Connector 131">
          <a:extLst>
            <a:ext uri="{FF2B5EF4-FFF2-40B4-BE49-F238E27FC236}">
              <a16:creationId xmlns="" xmlns:a16="http://schemas.microsoft.com/office/drawing/2014/main" id="{00000000-0008-0000-0400-000084000000}"/>
            </a:ext>
          </a:extLst>
        </xdr:cNvPr>
        <xdr:cNvCxnSpPr/>
      </xdr:nvCxnSpPr>
      <xdr:spPr>
        <a:xfrm flipV="1">
          <a:off x="1349375" y="69850"/>
          <a:ext cx="74295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8</xdr:col>
      <xdr:colOff>476250</xdr:colOff>
      <xdr:row>108</xdr:row>
      <xdr:rowOff>85725</xdr:rowOff>
    </xdr:to>
    <xdr:pic>
      <xdr:nvPicPr>
        <xdr:cNvPr id="29" name="Picture 28">
          <a:extLst>
            <a:ext uri="{FF2B5EF4-FFF2-40B4-BE49-F238E27FC236}">
              <a16:creationId xmlns=""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44375"/>
          <a:ext cx="5353050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9</xdr:col>
      <xdr:colOff>476250</xdr:colOff>
      <xdr:row>142</xdr:row>
      <xdr:rowOff>85725</xdr:rowOff>
    </xdr:to>
    <xdr:pic>
      <xdr:nvPicPr>
        <xdr:cNvPr id="32" name="Picture 31">
          <a:extLst>
            <a:ext uri="{FF2B5EF4-FFF2-40B4-BE49-F238E27FC236}">
              <a16:creationId xmlns="" xmlns:a16="http://schemas.microsoft.com/office/drawing/2014/main" id="{00000000-0008-0000-05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49825"/>
          <a:ext cx="5962650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9</xdr:col>
      <xdr:colOff>476250</xdr:colOff>
      <xdr:row>181</xdr:row>
      <xdr:rowOff>85725</xdr:rowOff>
    </xdr:to>
    <xdr:pic>
      <xdr:nvPicPr>
        <xdr:cNvPr id="33" name="Picture 32">
          <a:extLst>
            <a:ext uri="{FF2B5EF4-FFF2-40B4-BE49-F238E27FC236}">
              <a16:creationId xmlns="" xmlns:a16="http://schemas.microsoft.com/office/drawing/2014/main" id="{00000000-0008-0000-05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26825"/>
          <a:ext cx="5962650" cy="526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85725</xdr:rowOff>
    </xdr:from>
    <xdr:to>
      <xdr:col>8</xdr:col>
      <xdr:colOff>476250</xdr:colOff>
      <xdr:row>219</xdr:row>
      <xdr:rowOff>9525</xdr:rowOff>
    </xdr:to>
    <xdr:pic>
      <xdr:nvPicPr>
        <xdr:cNvPr id="35" name="Picture 34">
          <a:extLst>
            <a:ext uri="{FF2B5EF4-FFF2-40B4-BE49-F238E27FC236}">
              <a16:creationId xmlns=""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41850"/>
          <a:ext cx="5353050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9</xdr:col>
      <xdr:colOff>476250</xdr:colOff>
      <xdr:row>255</xdr:row>
      <xdr:rowOff>85725</xdr:rowOff>
    </xdr:to>
    <xdr:pic>
      <xdr:nvPicPr>
        <xdr:cNvPr id="36" name="Picture 35">
          <a:extLst>
            <a:ext uri="{FF2B5EF4-FFF2-40B4-BE49-F238E27FC236}">
              <a16:creationId xmlns=""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09275"/>
          <a:ext cx="5962650" cy="526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9</xdr:col>
      <xdr:colOff>476250</xdr:colOff>
      <xdr:row>293</xdr:row>
      <xdr:rowOff>85725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00500"/>
          <a:ext cx="5962650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9</xdr:col>
      <xdr:colOff>476250</xdr:colOff>
      <xdr:row>330</xdr:row>
      <xdr:rowOff>85725</xdr:rowOff>
    </xdr:to>
    <xdr:pic>
      <xdr:nvPicPr>
        <xdr:cNvPr id="39" name="Picture 38">
          <a:extLst>
            <a:ext uri="{FF2B5EF4-FFF2-40B4-BE49-F238E27FC236}">
              <a16:creationId xmlns="" xmlns:a16="http://schemas.microsoft.com/office/drawing/2014/main" id="{00000000-0008-0000-05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91725"/>
          <a:ext cx="5962650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</xdr:row>
      <xdr:rowOff>66675</xdr:rowOff>
    </xdr:from>
    <xdr:to>
      <xdr:col>9</xdr:col>
      <xdr:colOff>476250</xdr:colOff>
      <xdr:row>367</xdr:row>
      <xdr:rowOff>152400</xdr:rowOff>
    </xdr:to>
    <xdr:pic>
      <xdr:nvPicPr>
        <xdr:cNvPr id="40" name="Picture 39">
          <a:extLst>
            <a:ext uri="{FF2B5EF4-FFF2-40B4-BE49-F238E27FC236}">
              <a16:creationId xmlns="" xmlns:a16="http://schemas.microsoft.com/office/drawing/2014/main" id="{00000000-0008-0000-05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87700"/>
          <a:ext cx="5962650" cy="559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8</xdr:col>
      <xdr:colOff>475952</xdr:colOff>
      <xdr:row>402</xdr:row>
      <xdr:rowOff>85801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9912250"/>
          <a:ext cx="5352752" cy="52674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476250</xdr:colOff>
      <xdr:row>34</xdr:row>
      <xdr:rowOff>85725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53050" cy="559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8</xdr:col>
      <xdr:colOff>475952</xdr:colOff>
      <xdr:row>70</xdr:row>
      <xdr:rowOff>81651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667375"/>
          <a:ext cx="5352752" cy="57490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107950</xdr:rowOff>
    </xdr:from>
    <xdr:to>
      <xdr:col>1</xdr:col>
      <xdr:colOff>222250</xdr:colOff>
      <xdr:row>2</xdr:row>
      <xdr:rowOff>1905</xdr:rowOff>
    </xdr:to>
    <xdr:grpSp>
      <xdr:nvGrpSpPr>
        <xdr:cNvPr id="2" name="Canvas 64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63500" y="708025"/>
          <a:ext cx="873125" cy="646430"/>
          <a:chOff x="0" y="0"/>
          <a:chExt cx="768350" cy="567055"/>
        </a:xfrm>
      </xdr:grpSpPr>
      <xdr:sp macro="" textlink="">
        <xdr:nvSpPr>
          <xdr:cNvPr id="3" name="Rectangle 2">
            <a:extLst>
              <a:ext uri="{FF2B5EF4-FFF2-40B4-BE49-F238E27FC236}">
                <a16:creationId xmlns=""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0" y="0"/>
            <a:ext cx="768350" cy="567055"/>
          </a:xfrm>
          <a:prstGeom prst="rect">
            <a:avLst/>
          </a:prstGeom>
          <a:noFill/>
        </xdr:spPr>
      </xdr:sp>
      <xdr:sp macro="" textlink="">
        <xdr:nvSpPr>
          <xdr:cNvPr id="4" name="Freeform 65">
            <a:extLst>
              <a:ext uri="{FF2B5EF4-FFF2-40B4-BE49-F238E27FC236}">
                <a16:creationId xmlns="" xmlns:a16="http://schemas.microsoft.com/office/drawing/2014/main" id="{00000000-0008-0000-0600-000004000000}"/>
              </a:ext>
            </a:extLst>
          </xdr:cNvPr>
          <xdr:cNvSpPr>
            <a:spLocks/>
          </xdr:cNvSpPr>
        </xdr:nvSpPr>
        <xdr:spPr bwMode="auto">
          <a:xfrm>
            <a:off x="103502" y="0"/>
            <a:ext cx="570805" cy="567055"/>
          </a:xfrm>
          <a:custGeom>
            <a:avLst/>
            <a:gdLst>
              <a:gd name="T0" fmla="*/ 3927 w 7125"/>
              <a:gd name="T1" fmla="*/ 7057 h 7084"/>
              <a:gd name="T2" fmla="*/ 4618 w 7125"/>
              <a:gd name="T3" fmla="*/ 6911 h 7084"/>
              <a:gd name="T4" fmla="*/ 5254 w 7125"/>
              <a:gd name="T5" fmla="*/ 6645 h 7084"/>
              <a:gd name="T6" fmla="*/ 5816 w 7125"/>
              <a:gd name="T7" fmla="*/ 6262 h 7084"/>
              <a:gd name="T8" fmla="*/ 6305 w 7125"/>
              <a:gd name="T9" fmla="*/ 5777 h 7084"/>
              <a:gd name="T10" fmla="*/ 6692 w 7125"/>
              <a:gd name="T11" fmla="*/ 5219 h 7084"/>
              <a:gd name="T12" fmla="*/ 6959 w 7125"/>
              <a:gd name="T13" fmla="*/ 4589 h 7084"/>
              <a:gd name="T14" fmla="*/ 7107 w 7125"/>
              <a:gd name="T15" fmla="*/ 3894 h 7084"/>
              <a:gd name="T16" fmla="*/ 7107 w 7125"/>
              <a:gd name="T17" fmla="*/ 3181 h 7084"/>
              <a:gd name="T18" fmla="*/ 6959 w 7125"/>
              <a:gd name="T19" fmla="*/ 2486 h 7084"/>
              <a:gd name="T20" fmla="*/ 6692 w 7125"/>
              <a:gd name="T21" fmla="*/ 1847 h 7084"/>
              <a:gd name="T22" fmla="*/ 6305 w 7125"/>
              <a:gd name="T23" fmla="*/ 1289 h 7084"/>
              <a:gd name="T24" fmla="*/ 5816 w 7125"/>
              <a:gd name="T25" fmla="*/ 805 h 7084"/>
              <a:gd name="T26" fmla="*/ 5254 w 7125"/>
              <a:gd name="T27" fmla="*/ 421 h 7084"/>
              <a:gd name="T28" fmla="*/ 4618 w 7125"/>
              <a:gd name="T29" fmla="*/ 156 h 7084"/>
              <a:gd name="T30" fmla="*/ 3927 w 7125"/>
              <a:gd name="T31" fmla="*/ 9 h 7084"/>
              <a:gd name="T32" fmla="*/ 3189 w 7125"/>
              <a:gd name="T33" fmla="*/ 9 h 7084"/>
              <a:gd name="T34" fmla="*/ 2489 w 7125"/>
              <a:gd name="T35" fmla="*/ 156 h 7084"/>
              <a:gd name="T36" fmla="*/ 1853 w 7125"/>
              <a:gd name="T37" fmla="*/ 421 h 7084"/>
              <a:gd name="T38" fmla="*/ 1290 w 7125"/>
              <a:gd name="T39" fmla="*/ 805 h 7084"/>
              <a:gd name="T40" fmla="*/ 811 w 7125"/>
              <a:gd name="T41" fmla="*/ 1289 h 7084"/>
              <a:gd name="T42" fmla="*/ 415 w 7125"/>
              <a:gd name="T43" fmla="*/ 1847 h 7084"/>
              <a:gd name="T44" fmla="*/ 157 w 7125"/>
              <a:gd name="T45" fmla="*/ 2486 h 7084"/>
              <a:gd name="T46" fmla="*/ 9 w 7125"/>
              <a:gd name="T47" fmla="*/ 3181 h 7084"/>
              <a:gd name="T48" fmla="*/ 9 w 7125"/>
              <a:gd name="T49" fmla="*/ 3894 h 7084"/>
              <a:gd name="T50" fmla="*/ 157 w 7125"/>
              <a:gd name="T51" fmla="*/ 4589 h 7084"/>
              <a:gd name="T52" fmla="*/ 415 w 7125"/>
              <a:gd name="T53" fmla="*/ 5219 h 7084"/>
              <a:gd name="T54" fmla="*/ 811 w 7125"/>
              <a:gd name="T55" fmla="*/ 5777 h 7084"/>
              <a:gd name="T56" fmla="*/ 1290 w 7125"/>
              <a:gd name="T57" fmla="*/ 6262 h 7084"/>
              <a:gd name="T58" fmla="*/ 1853 w 7125"/>
              <a:gd name="T59" fmla="*/ 6645 h 7084"/>
              <a:gd name="T60" fmla="*/ 2489 w 7125"/>
              <a:gd name="T61" fmla="*/ 6911 h 7084"/>
              <a:gd name="T62" fmla="*/ 3189 w 7125"/>
              <a:gd name="T63" fmla="*/ 7057 h 7084"/>
              <a:gd name="T64" fmla="*/ 3558 w 7125"/>
              <a:gd name="T65" fmla="*/ 7084 h 70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125" h="7084">
                <a:moveTo>
                  <a:pt x="3558" y="7084"/>
                </a:moveTo>
                <a:lnTo>
                  <a:pt x="3927" y="7057"/>
                </a:lnTo>
                <a:lnTo>
                  <a:pt x="4277" y="7002"/>
                </a:lnTo>
                <a:lnTo>
                  <a:pt x="4618" y="6911"/>
                </a:lnTo>
                <a:lnTo>
                  <a:pt x="4950" y="6801"/>
                </a:lnTo>
                <a:lnTo>
                  <a:pt x="5254" y="6645"/>
                </a:lnTo>
                <a:lnTo>
                  <a:pt x="5549" y="6472"/>
                </a:lnTo>
                <a:lnTo>
                  <a:pt x="5816" y="6262"/>
                </a:lnTo>
                <a:lnTo>
                  <a:pt x="6084" y="6042"/>
                </a:lnTo>
                <a:lnTo>
                  <a:pt x="6305" y="5777"/>
                </a:lnTo>
                <a:lnTo>
                  <a:pt x="6517" y="5512"/>
                </a:lnTo>
                <a:lnTo>
                  <a:pt x="6692" y="5219"/>
                </a:lnTo>
                <a:lnTo>
                  <a:pt x="6840" y="4909"/>
                </a:lnTo>
                <a:lnTo>
                  <a:pt x="6959" y="4589"/>
                </a:lnTo>
                <a:lnTo>
                  <a:pt x="7052" y="4241"/>
                </a:lnTo>
                <a:lnTo>
                  <a:pt x="7107" y="3894"/>
                </a:lnTo>
                <a:lnTo>
                  <a:pt x="7125" y="3547"/>
                </a:lnTo>
                <a:lnTo>
                  <a:pt x="7107" y="3181"/>
                </a:lnTo>
                <a:lnTo>
                  <a:pt x="7052" y="2825"/>
                </a:lnTo>
                <a:lnTo>
                  <a:pt x="6959" y="2486"/>
                </a:lnTo>
                <a:lnTo>
                  <a:pt x="6840" y="2157"/>
                </a:lnTo>
                <a:lnTo>
                  <a:pt x="6692" y="1847"/>
                </a:lnTo>
                <a:lnTo>
                  <a:pt x="6517" y="1554"/>
                </a:lnTo>
                <a:lnTo>
                  <a:pt x="6305" y="1289"/>
                </a:lnTo>
                <a:lnTo>
                  <a:pt x="6084" y="1033"/>
                </a:lnTo>
                <a:lnTo>
                  <a:pt x="5816" y="805"/>
                </a:lnTo>
                <a:lnTo>
                  <a:pt x="5549" y="594"/>
                </a:lnTo>
                <a:lnTo>
                  <a:pt x="5254" y="421"/>
                </a:lnTo>
                <a:lnTo>
                  <a:pt x="4950" y="274"/>
                </a:lnTo>
                <a:lnTo>
                  <a:pt x="4618" y="156"/>
                </a:lnTo>
                <a:lnTo>
                  <a:pt x="4277" y="73"/>
                </a:lnTo>
                <a:lnTo>
                  <a:pt x="3927" y="9"/>
                </a:lnTo>
                <a:lnTo>
                  <a:pt x="3558" y="0"/>
                </a:lnTo>
                <a:lnTo>
                  <a:pt x="3189" y="9"/>
                </a:lnTo>
                <a:lnTo>
                  <a:pt x="2839" y="73"/>
                </a:lnTo>
                <a:lnTo>
                  <a:pt x="2489" y="156"/>
                </a:lnTo>
                <a:lnTo>
                  <a:pt x="2175" y="274"/>
                </a:lnTo>
                <a:lnTo>
                  <a:pt x="1853" y="421"/>
                </a:lnTo>
                <a:lnTo>
                  <a:pt x="1567" y="594"/>
                </a:lnTo>
                <a:lnTo>
                  <a:pt x="1290" y="805"/>
                </a:lnTo>
                <a:lnTo>
                  <a:pt x="1041" y="1033"/>
                </a:lnTo>
                <a:lnTo>
                  <a:pt x="811" y="1289"/>
                </a:lnTo>
                <a:lnTo>
                  <a:pt x="599" y="1554"/>
                </a:lnTo>
                <a:lnTo>
                  <a:pt x="415" y="1847"/>
                </a:lnTo>
                <a:lnTo>
                  <a:pt x="276" y="2157"/>
                </a:lnTo>
                <a:lnTo>
                  <a:pt x="157" y="2486"/>
                </a:lnTo>
                <a:lnTo>
                  <a:pt x="74" y="2825"/>
                </a:lnTo>
                <a:lnTo>
                  <a:pt x="9" y="3181"/>
                </a:lnTo>
                <a:lnTo>
                  <a:pt x="0" y="3547"/>
                </a:lnTo>
                <a:lnTo>
                  <a:pt x="9" y="3894"/>
                </a:lnTo>
                <a:lnTo>
                  <a:pt x="74" y="4241"/>
                </a:lnTo>
                <a:lnTo>
                  <a:pt x="157" y="4589"/>
                </a:lnTo>
                <a:lnTo>
                  <a:pt x="276" y="4909"/>
                </a:lnTo>
                <a:lnTo>
                  <a:pt x="415" y="5219"/>
                </a:lnTo>
                <a:lnTo>
                  <a:pt x="599" y="5512"/>
                </a:lnTo>
                <a:lnTo>
                  <a:pt x="811" y="5777"/>
                </a:lnTo>
                <a:lnTo>
                  <a:pt x="1041" y="6042"/>
                </a:lnTo>
                <a:lnTo>
                  <a:pt x="1290" y="6262"/>
                </a:lnTo>
                <a:lnTo>
                  <a:pt x="1567" y="6472"/>
                </a:lnTo>
                <a:lnTo>
                  <a:pt x="1853" y="6645"/>
                </a:lnTo>
                <a:lnTo>
                  <a:pt x="2175" y="6801"/>
                </a:lnTo>
                <a:lnTo>
                  <a:pt x="2489" y="6911"/>
                </a:lnTo>
                <a:lnTo>
                  <a:pt x="2839" y="7002"/>
                </a:lnTo>
                <a:lnTo>
                  <a:pt x="3189" y="7057"/>
                </a:lnTo>
                <a:lnTo>
                  <a:pt x="3558" y="7084"/>
                </a:lnTo>
                <a:close/>
              </a:path>
            </a:pathLst>
          </a:custGeom>
          <a:solidFill>
            <a:srgbClr val="00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Freeform 66">
            <a:extLst>
              <a:ext uri="{FF2B5EF4-FFF2-40B4-BE49-F238E27FC236}">
                <a16:creationId xmlns="" xmlns:a16="http://schemas.microsoft.com/office/drawing/2014/main" id="{00000000-0008-0000-0600-000005000000}"/>
              </a:ext>
            </a:extLst>
          </xdr:cNvPr>
          <xdr:cNvSpPr>
            <a:spLocks/>
          </xdr:cNvSpPr>
        </xdr:nvSpPr>
        <xdr:spPr bwMode="auto">
          <a:xfrm>
            <a:off x="123429" y="19748"/>
            <a:ext cx="530297" cy="526071"/>
          </a:xfrm>
          <a:custGeom>
            <a:avLst/>
            <a:gdLst>
              <a:gd name="T0" fmla="*/ 3632 w 6618"/>
              <a:gd name="T1" fmla="*/ 6554 h 6572"/>
              <a:gd name="T2" fmla="*/ 4277 w 6618"/>
              <a:gd name="T3" fmla="*/ 6417 h 6572"/>
              <a:gd name="T4" fmla="*/ 4876 w 6618"/>
              <a:gd name="T5" fmla="*/ 6170 h 6572"/>
              <a:gd name="T6" fmla="*/ 5401 w 6618"/>
              <a:gd name="T7" fmla="*/ 5813 h 6572"/>
              <a:gd name="T8" fmla="*/ 5853 w 6618"/>
              <a:gd name="T9" fmla="*/ 5375 h 6572"/>
              <a:gd name="T10" fmla="*/ 6213 w 6618"/>
              <a:gd name="T11" fmla="*/ 4845 h 6572"/>
              <a:gd name="T12" fmla="*/ 6461 w 6618"/>
              <a:gd name="T13" fmla="*/ 4250 h 6572"/>
              <a:gd name="T14" fmla="*/ 6600 w 6618"/>
              <a:gd name="T15" fmla="*/ 3620 h 6572"/>
              <a:gd name="T16" fmla="*/ 6600 w 6618"/>
              <a:gd name="T17" fmla="*/ 2952 h 6572"/>
              <a:gd name="T18" fmla="*/ 6461 w 6618"/>
              <a:gd name="T19" fmla="*/ 2303 h 6572"/>
              <a:gd name="T20" fmla="*/ 6213 w 6618"/>
              <a:gd name="T21" fmla="*/ 1718 h 6572"/>
              <a:gd name="T22" fmla="*/ 5853 w 6618"/>
              <a:gd name="T23" fmla="*/ 1197 h 6572"/>
              <a:gd name="T24" fmla="*/ 5401 w 6618"/>
              <a:gd name="T25" fmla="*/ 749 h 6572"/>
              <a:gd name="T26" fmla="*/ 4876 w 6618"/>
              <a:gd name="T27" fmla="*/ 393 h 6572"/>
              <a:gd name="T28" fmla="*/ 4277 w 6618"/>
              <a:gd name="T29" fmla="*/ 146 h 6572"/>
              <a:gd name="T30" fmla="*/ 3632 w 6618"/>
              <a:gd name="T31" fmla="*/ 18 h 6572"/>
              <a:gd name="T32" fmla="*/ 2959 w 6618"/>
              <a:gd name="T33" fmla="*/ 18 h 6572"/>
              <a:gd name="T34" fmla="*/ 2313 w 6618"/>
              <a:gd name="T35" fmla="*/ 146 h 6572"/>
              <a:gd name="T36" fmla="*/ 1723 w 6618"/>
              <a:gd name="T37" fmla="*/ 393 h 6572"/>
              <a:gd name="T38" fmla="*/ 1198 w 6618"/>
              <a:gd name="T39" fmla="*/ 749 h 6572"/>
              <a:gd name="T40" fmla="*/ 746 w 6618"/>
              <a:gd name="T41" fmla="*/ 1197 h 6572"/>
              <a:gd name="T42" fmla="*/ 387 w 6618"/>
              <a:gd name="T43" fmla="*/ 1718 h 6572"/>
              <a:gd name="T44" fmla="*/ 138 w 6618"/>
              <a:gd name="T45" fmla="*/ 2303 h 6572"/>
              <a:gd name="T46" fmla="*/ 9 w 6618"/>
              <a:gd name="T47" fmla="*/ 2952 h 6572"/>
              <a:gd name="T48" fmla="*/ 9 w 6618"/>
              <a:gd name="T49" fmla="*/ 3620 h 6572"/>
              <a:gd name="T50" fmla="*/ 138 w 6618"/>
              <a:gd name="T51" fmla="*/ 4250 h 6572"/>
              <a:gd name="T52" fmla="*/ 387 w 6618"/>
              <a:gd name="T53" fmla="*/ 4845 h 6572"/>
              <a:gd name="T54" fmla="*/ 746 w 6618"/>
              <a:gd name="T55" fmla="*/ 5375 h 6572"/>
              <a:gd name="T56" fmla="*/ 1198 w 6618"/>
              <a:gd name="T57" fmla="*/ 5813 h 6572"/>
              <a:gd name="T58" fmla="*/ 1723 w 6618"/>
              <a:gd name="T59" fmla="*/ 6170 h 6572"/>
              <a:gd name="T60" fmla="*/ 2313 w 6618"/>
              <a:gd name="T61" fmla="*/ 6417 h 6572"/>
              <a:gd name="T62" fmla="*/ 2959 w 6618"/>
              <a:gd name="T63" fmla="*/ 6554 h 6572"/>
              <a:gd name="T64" fmla="*/ 3309 w 6618"/>
              <a:gd name="T65" fmla="*/ 6572 h 65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618" h="6572">
                <a:moveTo>
                  <a:pt x="3309" y="6572"/>
                </a:moveTo>
                <a:lnTo>
                  <a:pt x="3632" y="6554"/>
                </a:lnTo>
                <a:lnTo>
                  <a:pt x="3963" y="6508"/>
                </a:lnTo>
                <a:lnTo>
                  <a:pt x="4277" y="6417"/>
                </a:lnTo>
                <a:lnTo>
                  <a:pt x="4590" y="6316"/>
                </a:lnTo>
                <a:lnTo>
                  <a:pt x="4876" y="6170"/>
                </a:lnTo>
                <a:lnTo>
                  <a:pt x="5153" y="6015"/>
                </a:lnTo>
                <a:lnTo>
                  <a:pt x="5401" y="5813"/>
                </a:lnTo>
                <a:lnTo>
                  <a:pt x="5641" y="5612"/>
                </a:lnTo>
                <a:lnTo>
                  <a:pt x="5853" y="5375"/>
                </a:lnTo>
                <a:lnTo>
                  <a:pt x="6047" y="5119"/>
                </a:lnTo>
                <a:lnTo>
                  <a:pt x="6213" y="4845"/>
                </a:lnTo>
                <a:lnTo>
                  <a:pt x="6351" y="4561"/>
                </a:lnTo>
                <a:lnTo>
                  <a:pt x="6461" y="4250"/>
                </a:lnTo>
                <a:lnTo>
                  <a:pt x="6554" y="3949"/>
                </a:lnTo>
                <a:lnTo>
                  <a:pt x="6600" y="3620"/>
                </a:lnTo>
                <a:lnTo>
                  <a:pt x="6618" y="3291"/>
                </a:lnTo>
                <a:lnTo>
                  <a:pt x="6600" y="2952"/>
                </a:lnTo>
                <a:lnTo>
                  <a:pt x="6554" y="2623"/>
                </a:lnTo>
                <a:lnTo>
                  <a:pt x="6461" y="2303"/>
                </a:lnTo>
                <a:lnTo>
                  <a:pt x="6351" y="2011"/>
                </a:lnTo>
                <a:lnTo>
                  <a:pt x="6213" y="1718"/>
                </a:lnTo>
                <a:lnTo>
                  <a:pt x="6047" y="1444"/>
                </a:lnTo>
                <a:lnTo>
                  <a:pt x="5853" y="1197"/>
                </a:lnTo>
                <a:lnTo>
                  <a:pt x="5641" y="960"/>
                </a:lnTo>
                <a:lnTo>
                  <a:pt x="5401" y="749"/>
                </a:lnTo>
                <a:lnTo>
                  <a:pt x="5153" y="558"/>
                </a:lnTo>
                <a:lnTo>
                  <a:pt x="4876" y="393"/>
                </a:lnTo>
                <a:lnTo>
                  <a:pt x="4590" y="265"/>
                </a:lnTo>
                <a:lnTo>
                  <a:pt x="4277" y="146"/>
                </a:lnTo>
                <a:lnTo>
                  <a:pt x="3963" y="64"/>
                </a:lnTo>
                <a:lnTo>
                  <a:pt x="3632" y="18"/>
                </a:lnTo>
                <a:lnTo>
                  <a:pt x="3309" y="0"/>
                </a:lnTo>
                <a:lnTo>
                  <a:pt x="2959" y="18"/>
                </a:lnTo>
                <a:lnTo>
                  <a:pt x="2627" y="64"/>
                </a:lnTo>
                <a:lnTo>
                  <a:pt x="2313" y="146"/>
                </a:lnTo>
                <a:lnTo>
                  <a:pt x="2018" y="265"/>
                </a:lnTo>
                <a:lnTo>
                  <a:pt x="1723" y="393"/>
                </a:lnTo>
                <a:lnTo>
                  <a:pt x="1456" y="558"/>
                </a:lnTo>
                <a:lnTo>
                  <a:pt x="1198" y="749"/>
                </a:lnTo>
                <a:lnTo>
                  <a:pt x="968" y="960"/>
                </a:lnTo>
                <a:lnTo>
                  <a:pt x="746" y="1197"/>
                </a:lnTo>
                <a:lnTo>
                  <a:pt x="562" y="1444"/>
                </a:lnTo>
                <a:lnTo>
                  <a:pt x="387" y="1718"/>
                </a:lnTo>
                <a:lnTo>
                  <a:pt x="258" y="2011"/>
                </a:lnTo>
                <a:lnTo>
                  <a:pt x="138" y="2303"/>
                </a:lnTo>
                <a:lnTo>
                  <a:pt x="64" y="2623"/>
                </a:lnTo>
                <a:lnTo>
                  <a:pt x="9" y="2952"/>
                </a:lnTo>
                <a:lnTo>
                  <a:pt x="0" y="3291"/>
                </a:lnTo>
                <a:lnTo>
                  <a:pt x="9" y="3620"/>
                </a:lnTo>
                <a:lnTo>
                  <a:pt x="64" y="3949"/>
                </a:lnTo>
                <a:lnTo>
                  <a:pt x="138" y="4250"/>
                </a:lnTo>
                <a:lnTo>
                  <a:pt x="258" y="4561"/>
                </a:lnTo>
                <a:lnTo>
                  <a:pt x="387" y="4845"/>
                </a:lnTo>
                <a:lnTo>
                  <a:pt x="562" y="5119"/>
                </a:lnTo>
                <a:lnTo>
                  <a:pt x="746" y="5375"/>
                </a:lnTo>
                <a:lnTo>
                  <a:pt x="968" y="5612"/>
                </a:lnTo>
                <a:lnTo>
                  <a:pt x="1198" y="5813"/>
                </a:lnTo>
                <a:lnTo>
                  <a:pt x="1456" y="6015"/>
                </a:lnTo>
                <a:lnTo>
                  <a:pt x="1723" y="6170"/>
                </a:lnTo>
                <a:lnTo>
                  <a:pt x="2018" y="6316"/>
                </a:lnTo>
                <a:lnTo>
                  <a:pt x="2313" y="6417"/>
                </a:lnTo>
                <a:lnTo>
                  <a:pt x="2627" y="6508"/>
                </a:lnTo>
                <a:lnTo>
                  <a:pt x="2959" y="6554"/>
                </a:lnTo>
                <a:lnTo>
                  <a:pt x="3309" y="6572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6" name="Freeform 67">
            <a:extLst>
              <a:ext uri="{FF2B5EF4-FFF2-40B4-BE49-F238E27FC236}">
                <a16:creationId xmlns="" xmlns:a16="http://schemas.microsoft.com/office/drawing/2014/main" id="{00000000-0008-0000-0600-000006000000}"/>
              </a:ext>
            </a:extLst>
          </xdr:cNvPr>
          <xdr:cNvSpPr>
            <a:spLocks/>
          </xdr:cNvSpPr>
        </xdr:nvSpPr>
        <xdr:spPr bwMode="auto">
          <a:xfrm>
            <a:off x="142523" y="39556"/>
            <a:ext cx="490442" cy="485801"/>
          </a:xfrm>
          <a:custGeom>
            <a:avLst/>
            <a:gdLst>
              <a:gd name="T0" fmla="*/ 3365 w 6121"/>
              <a:gd name="T1" fmla="*/ 6051 h 6069"/>
              <a:gd name="T2" fmla="*/ 3955 w 6121"/>
              <a:gd name="T3" fmla="*/ 5923 h 6069"/>
              <a:gd name="T4" fmla="*/ 4508 w 6121"/>
              <a:gd name="T5" fmla="*/ 5694 h 6069"/>
              <a:gd name="T6" fmla="*/ 5006 w 6121"/>
              <a:gd name="T7" fmla="*/ 5374 h 6069"/>
              <a:gd name="T8" fmla="*/ 5421 w 6121"/>
              <a:gd name="T9" fmla="*/ 4963 h 6069"/>
              <a:gd name="T10" fmla="*/ 5743 w 6121"/>
              <a:gd name="T11" fmla="*/ 4470 h 6069"/>
              <a:gd name="T12" fmla="*/ 5974 w 6121"/>
              <a:gd name="T13" fmla="*/ 3930 h 6069"/>
              <a:gd name="T14" fmla="*/ 6103 w 6121"/>
              <a:gd name="T15" fmla="*/ 3336 h 6069"/>
              <a:gd name="T16" fmla="*/ 6103 w 6121"/>
              <a:gd name="T17" fmla="*/ 2724 h 6069"/>
              <a:gd name="T18" fmla="*/ 5974 w 6121"/>
              <a:gd name="T19" fmla="*/ 2130 h 6069"/>
              <a:gd name="T20" fmla="*/ 5743 w 6121"/>
              <a:gd name="T21" fmla="*/ 1581 h 6069"/>
              <a:gd name="T22" fmla="*/ 5421 w 6121"/>
              <a:gd name="T23" fmla="*/ 1097 h 6069"/>
              <a:gd name="T24" fmla="*/ 5006 w 6121"/>
              <a:gd name="T25" fmla="*/ 685 h 6069"/>
              <a:gd name="T26" fmla="*/ 4508 w 6121"/>
              <a:gd name="T27" fmla="*/ 365 h 6069"/>
              <a:gd name="T28" fmla="*/ 3955 w 6121"/>
              <a:gd name="T29" fmla="*/ 128 h 6069"/>
              <a:gd name="T30" fmla="*/ 3365 w 6121"/>
              <a:gd name="T31" fmla="*/ 18 h 6069"/>
              <a:gd name="T32" fmla="*/ 2738 w 6121"/>
              <a:gd name="T33" fmla="*/ 18 h 6069"/>
              <a:gd name="T34" fmla="*/ 2148 w 6121"/>
              <a:gd name="T35" fmla="*/ 128 h 6069"/>
              <a:gd name="T36" fmla="*/ 1595 w 6121"/>
              <a:gd name="T37" fmla="*/ 365 h 6069"/>
              <a:gd name="T38" fmla="*/ 1107 w 6121"/>
              <a:gd name="T39" fmla="*/ 685 h 6069"/>
              <a:gd name="T40" fmla="*/ 692 w 6121"/>
              <a:gd name="T41" fmla="*/ 1097 h 6069"/>
              <a:gd name="T42" fmla="*/ 369 w 6121"/>
              <a:gd name="T43" fmla="*/ 1581 h 6069"/>
              <a:gd name="T44" fmla="*/ 129 w 6121"/>
              <a:gd name="T45" fmla="*/ 2130 h 6069"/>
              <a:gd name="T46" fmla="*/ 19 w 6121"/>
              <a:gd name="T47" fmla="*/ 2724 h 6069"/>
              <a:gd name="T48" fmla="*/ 19 w 6121"/>
              <a:gd name="T49" fmla="*/ 3336 h 6069"/>
              <a:gd name="T50" fmla="*/ 129 w 6121"/>
              <a:gd name="T51" fmla="*/ 3930 h 6069"/>
              <a:gd name="T52" fmla="*/ 369 w 6121"/>
              <a:gd name="T53" fmla="*/ 4470 h 6069"/>
              <a:gd name="T54" fmla="*/ 692 w 6121"/>
              <a:gd name="T55" fmla="*/ 4963 h 6069"/>
              <a:gd name="T56" fmla="*/ 1107 w 6121"/>
              <a:gd name="T57" fmla="*/ 5374 h 6069"/>
              <a:gd name="T58" fmla="*/ 1595 w 6121"/>
              <a:gd name="T59" fmla="*/ 5694 h 6069"/>
              <a:gd name="T60" fmla="*/ 2148 w 6121"/>
              <a:gd name="T61" fmla="*/ 5923 h 6069"/>
              <a:gd name="T62" fmla="*/ 2738 w 6121"/>
              <a:gd name="T63" fmla="*/ 6051 h 6069"/>
              <a:gd name="T64" fmla="*/ 3061 w 6121"/>
              <a:gd name="T65" fmla="*/ 6069 h 60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121" h="6069">
                <a:moveTo>
                  <a:pt x="3061" y="6069"/>
                </a:moveTo>
                <a:lnTo>
                  <a:pt x="3365" y="6051"/>
                </a:lnTo>
                <a:lnTo>
                  <a:pt x="3669" y="6005"/>
                </a:lnTo>
                <a:lnTo>
                  <a:pt x="3955" y="5923"/>
                </a:lnTo>
                <a:lnTo>
                  <a:pt x="4241" y="5832"/>
                </a:lnTo>
                <a:lnTo>
                  <a:pt x="4508" y="5694"/>
                </a:lnTo>
                <a:lnTo>
                  <a:pt x="4766" y="5548"/>
                </a:lnTo>
                <a:lnTo>
                  <a:pt x="5006" y="5374"/>
                </a:lnTo>
                <a:lnTo>
                  <a:pt x="5218" y="5173"/>
                </a:lnTo>
                <a:lnTo>
                  <a:pt x="5421" y="4963"/>
                </a:lnTo>
                <a:lnTo>
                  <a:pt x="5596" y="4725"/>
                </a:lnTo>
                <a:lnTo>
                  <a:pt x="5743" y="4470"/>
                </a:lnTo>
                <a:lnTo>
                  <a:pt x="5881" y="4214"/>
                </a:lnTo>
                <a:lnTo>
                  <a:pt x="5974" y="3930"/>
                </a:lnTo>
                <a:lnTo>
                  <a:pt x="6057" y="3638"/>
                </a:lnTo>
                <a:lnTo>
                  <a:pt x="6103" y="3336"/>
                </a:lnTo>
                <a:lnTo>
                  <a:pt x="6121" y="3034"/>
                </a:lnTo>
                <a:lnTo>
                  <a:pt x="6103" y="2724"/>
                </a:lnTo>
                <a:lnTo>
                  <a:pt x="6057" y="2422"/>
                </a:lnTo>
                <a:lnTo>
                  <a:pt x="5974" y="2130"/>
                </a:lnTo>
                <a:lnTo>
                  <a:pt x="5881" y="1855"/>
                </a:lnTo>
                <a:lnTo>
                  <a:pt x="5743" y="1581"/>
                </a:lnTo>
                <a:lnTo>
                  <a:pt x="5596" y="1343"/>
                </a:lnTo>
                <a:lnTo>
                  <a:pt x="5421" y="1097"/>
                </a:lnTo>
                <a:lnTo>
                  <a:pt x="5218" y="886"/>
                </a:lnTo>
                <a:lnTo>
                  <a:pt x="5006" y="685"/>
                </a:lnTo>
                <a:lnTo>
                  <a:pt x="4766" y="512"/>
                </a:lnTo>
                <a:lnTo>
                  <a:pt x="4508" y="365"/>
                </a:lnTo>
                <a:lnTo>
                  <a:pt x="4241" y="237"/>
                </a:lnTo>
                <a:lnTo>
                  <a:pt x="3955" y="128"/>
                </a:lnTo>
                <a:lnTo>
                  <a:pt x="3669" y="55"/>
                </a:lnTo>
                <a:lnTo>
                  <a:pt x="3365" y="18"/>
                </a:lnTo>
                <a:lnTo>
                  <a:pt x="3061" y="0"/>
                </a:lnTo>
                <a:lnTo>
                  <a:pt x="2738" y="18"/>
                </a:lnTo>
                <a:lnTo>
                  <a:pt x="2443" y="55"/>
                </a:lnTo>
                <a:lnTo>
                  <a:pt x="2148" y="128"/>
                </a:lnTo>
                <a:lnTo>
                  <a:pt x="1872" y="237"/>
                </a:lnTo>
                <a:lnTo>
                  <a:pt x="1595" y="365"/>
                </a:lnTo>
                <a:lnTo>
                  <a:pt x="1346" y="512"/>
                </a:lnTo>
                <a:lnTo>
                  <a:pt x="1107" y="685"/>
                </a:lnTo>
                <a:lnTo>
                  <a:pt x="895" y="886"/>
                </a:lnTo>
                <a:lnTo>
                  <a:pt x="692" y="1097"/>
                </a:lnTo>
                <a:lnTo>
                  <a:pt x="517" y="1343"/>
                </a:lnTo>
                <a:lnTo>
                  <a:pt x="369" y="1581"/>
                </a:lnTo>
                <a:lnTo>
                  <a:pt x="240" y="1855"/>
                </a:lnTo>
                <a:lnTo>
                  <a:pt x="129" y="2130"/>
                </a:lnTo>
                <a:lnTo>
                  <a:pt x="56" y="2422"/>
                </a:lnTo>
                <a:lnTo>
                  <a:pt x="19" y="2724"/>
                </a:lnTo>
                <a:lnTo>
                  <a:pt x="0" y="3034"/>
                </a:lnTo>
                <a:lnTo>
                  <a:pt x="19" y="3336"/>
                </a:lnTo>
                <a:lnTo>
                  <a:pt x="56" y="3638"/>
                </a:lnTo>
                <a:lnTo>
                  <a:pt x="129" y="3930"/>
                </a:lnTo>
                <a:lnTo>
                  <a:pt x="240" y="4214"/>
                </a:lnTo>
                <a:lnTo>
                  <a:pt x="369" y="4470"/>
                </a:lnTo>
                <a:lnTo>
                  <a:pt x="517" y="4725"/>
                </a:lnTo>
                <a:lnTo>
                  <a:pt x="692" y="4963"/>
                </a:lnTo>
                <a:lnTo>
                  <a:pt x="895" y="5173"/>
                </a:lnTo>
                <a:lnTo>
                  <a:pt x="1107" y="5374"/>
                </a:lnTo>
                <a:lnTo>
                  <a:pt x="1346" y="5548"/>
                </a:lnTo>
                <a:lnTo>
                  <a:pt x="1595" y="5694"/>
                </a:lnTo>
                <a:lnTo>
                  <a:pt x="1872" y="5832"/>
                </a:lnTo>
                <a:lnTo>
                  <a:pt x="2148" y="5923"/>
                </a:lnTo>
                <a:lnTo>
                  <a:pt x="2443" y="6005"/>
                </a:lnTo>
                <a:lnTo>
                  <a:pt x="2738" y="6051"/>
                </a:lnTo>
                <a:lnTo>
                  <a:pt x="3061" y="6069"/>
                </a:lnTo>
                <a:close/>
              </a:path>
            </a:pathLst>
          </a:custGeom>
          <a:solidFill>
            <a:srgbClr val="00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" name="Freeform 68">
            <a:extLst>
              <a:ext uri="{FF2B5EF4-FFF2-40B4-BE49-F238E27FC236}">
                <a16:creationId xmlns="" xmlns:a16="http://schemas.microsoft.com/office/drawing/2014/main" id="{00000000-0008-0000-0600-000007000000}"/>
              </a:ext>
            </a:extLst>
          </xdr:cNvPr>
          <xdr:cNvSpPr>
            <a:spLocks/>
          </xdr:cNvSpPr>
        </xdr:nvSpPr>
        <xdr:spPr bwMode="auto">
          <a:xfrm>
            <a:off x="163342" y="59305"/>
            <a:ext cx="448269" cy="445530"/>
          </a:xfrm>
          <a:custGeom>
            <a:avLst/>
            <a:gdLst>
              <a:gd name="T0" fmla="*/ 3069 w 5595"/>
              <a:gd name="T1" fmla="*/ 5548 h 5566"/>
              <a:gd name="T2" fmla="*/ 3613 w 5595"/>
              <a:gd name="T3" fmla="*/ 5429 h 5566"/>
              <a:gd name="T4" fmla="*/ 4120 w 5595"/>
              <a:gd name="T5" fmla="*/ 5219 h 5566"/>
              <a:gd name="T6" fmla="*/ 4572 w 5595"/>
              <a:gd name="T7" fmla="*/ 4926 h 5566"/>
              <a:gd name="T8" fmla="*/ 4950 w 5595"/>
              <a:gd name="T9" fmla="*/ 4542 h 5566"/>
              <a:gd name="T10" fmla="*/ 5244 w 5595"/>
              <a:gd name="T11" fmla="*/ 4104 h 5566"/>
              <a:gd name="T12" fmla="*/ 5466 w 5595"/>
              <a:gd name="T13" fmla="*/ 3601 h 5566"/>
              <a:gd name="T14" fmla="*/ 5576 w 5595"/>
              <a:gd name="T15" fmla="*/ 3062 h 5566"/>
              <a:gd name="T16" fmla="*/ 5576 w 5595"/>
              <a:gd name="T17" fmla="*/ 2495 h 5566"/>
              <a:gd name="T18" fmla="*/ 5466 w 5595"/>
              <a:gd name="T19" fmla="*/ 1946 h 5566"/>
              <a:gd name="T20" fmla="*/ 5244 w 5595"/>
              <a:gd name="T21" fmla="*/ 1444 h 5566"/>
              <a:gd name="T22" fmla="*/ 4950 w 5595"/>
              <a:gd name="T23" fmla="*/ 1005 h 5566"/>
              <a:gd name="T24" fmla="*/ 4572 w 5595"/>
              <a:gd name="T25" fmla="*/ 621 h 5566"/>
              <a:gd name="T26" fmla="*/ 4120 w 5595"/>
              <a:gd name="T27" fmla="*/ 329 h 5566"/>
              <a:gd name="T28" fmla="*/ 3613 w 5595"/>
              <a:gd name="T29" fmla="*/ 118 h 5566"/>
              <a:gd name="T30" fmla="*/ 3069 w 5595"/>
              <a:gd name="T31" fmla="*/ 9 h 5566"/>
              <a:gd name="T32" fmla="*/ 2507 w 5595"/>
              <a:gd name="T33" fmla="*/ 9 h 5566"/>
              <a:gd name="T34" fmla="*/ 1954 w 5595"/>
              <a:gd name="T35" fmla="*/ 118 h 5566"/>
              <a:gd name="T36" fmla="*/ 1456 w 5595"/>
              <a:gd name="T37" fmla="*/ 329 h 5566"/>
              <a:gd name="T38" fmla="*/ 1004 w 5595"/>
              <a:gd name="T39" fmla="*/ 621 h 5566"/>
              <a:gd name="T40" fmla="*/ 626 w 5595"/>
              <a:gd name="T41" fmla="*/ 1005 h 5566"/>
              <a:gd name="T42" fmla="*/ 322 w 5595"/>
              <a:gd name="T43" fmla="*/ 1444 h 5566"/>
              <a:gd name="T44" fmla="*/ 110 w 5595"/>
              <a:gd name="T45" fmla="*/ 1946 h 5566"/>
              <a:gd name="T46" fmla="*/ 9 w 5595"/>
              <a:gd name="T47" fmla="*/ 2495 h 5566"/>
              <a:gd name="T48" fmla="*/ 9 w 5595"/>
              <a:gd name="T49" fmla="*/ 3062 h 5566"/>
              <a:gd name="T50" fmla="*/ 110 w 5595"/>
              <a:gd name="T51" fmla="*/ 3601 h 5566"/>
              <a:gd name="T52" fmla="*/ 322 w 5595"/>
              <a:gd name="T53" fmla="*/ 4104 h 5566"/>
              <a:gd name="T54" fmla="*/ 626 w 5595"/>
              <a:gd name="T55" fmla="*/ 4542 h 5566"/>
              <a:gd name="T56" fmla="*/ 1004 w 5595"/>
              <a:gd name="T57" fmla="*/ 4926 h 5566"/>
              <a:gd name="T58" fmla="*/ 1456 w 5595"/>
              <a:gd name="T59" fmla="*/ 5219 h 5566"/>
              <a:gd name="T60" fmla="*/ 1954 w 5595"/>
              <a:gd name="T61" fmla="*/ 5429 h 5566"/>
              <a:gd name="T62" fmla="*/ 2507 w 5595"/>
              <a:gd name="T63" fmla="*/ 5548 h 5566"/>
              <a:gd name="T64" fmla="*/ 2793 w 5595"/>
              <a:gd name="T65" fmla="*/ 5566 h 55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5595" h="5566">
                <a:moveTo>
                  <a:pt x="2793" y="5566"/>
                </a:moveTo>
                <a:lnTo>
                  <a:pt x="3069" y="5548"/>
                </a:lnTo>
                <a:lnTo>
                  <a:pt x="3355" y="5502"/>
                </a:lnTo>
                <a:lnTo>
                  <a:pt x="3613" y="5429"/>
                </a:lnTo>
                <a:lnTo>
                  <a:pt x="3880" y="5347"/>
                </a:lnTo>
                <a:lnTo>
                  <a:pt x="4120" y="5219"/>
                </a:lnTo>
                <a:lnTo>
                  <a:pt x="4350" y="5082"/>
                </a:lnTo>
                <a:lnTo>
                  <a:pt x="4572" y="4926"/>
                </a:lnTo>
                <a:lnTo>
                  <a:pt x="4774" y="4753"/>
                </a:lnTo>
                <a:lnTo>
                  <a:pt x="4950" y="4542"/>
                </a:lnTo>
                <a:lnTo>
                  <a:pt x="5115" y="4332"/>
                </a:lnTo>
                <a:lnTo>
                  <a:pt x="5244" y="4104"/>
                </a:lnTo>
                <a:lnTo>
                  <a:pt x="5374" y="3866"/>
                </a:lnTo>
                <a:lnTo>
                  <a:pt x="5466" y="3601"/>
                </a:lnTo>
                <a:lnTo>
                  <a:pt x="5530" y="3336"/>
                </a:lnTo>
                <a:lnTo>
                  <a:pt x="5576" y="3062"/>
                </a:lnTo>
                <a:lnTo>
                  <a:pt x="5595" y="2787"/>
                </a:lnTo>
                <a:lnTo>
                  <a:pt x="5576" y="2495"/>
                </a:lnTo>
                <a:lnTo>
                  <a:pt x="5530" y="2221"/>
                </a:lnTo>
                <a:lnTo>
                  <a:pt x="5466" y="1946"/>
                </a:lnTo>
                <a:lnTo>
                  <a:pt x="5374" y="1700"/>
                </a:lnTo>
                <a:lnTo>
                  <a:pt x="5244" y="1444"/>
                </a:lnTo>
                <a:lnTo>
                  <a:pt x="5115" y="1224"/>
                </a:lnTo>
                <a:lnTo>
                  <a:pt x="4950" y="1005"/>
                </a:lnTo>
                <a:lnTo>
                  <a:pt x="4774" y="813"/>
                </a:lnTo>
                <a:lnTo>
                  <a:pt x="4572" y="621"/>
                </a:lnTo>
                <a:lnTo>
                  <a:pt x="4350" y="466"/>
                </a:lnTo>
                <a:lnTo>
                  <a:pt x="4120" y="329"/>
                </a:lnTo>
                <a:lnTo>
                  <a:pt x="3880" y="210"/>
                </a:lnTo>
                <a:lnTo>
                  <a:pt x="3613" y="118"/>
                </a:lnTo>
                <a:lnTo>
                  <a:pt x="3355" y="54"/>
                </a:lnTo>
                <a:lnTo>
                  <a:pt x="3069" y="9"/>
                </a:lnTo>
                <a:lnTo>
                  <a:pt x="2793" y="0"/>
                </a:lnTo>
                <a:lnTo>
                  <a:pt x="2507" y="9"/>
                </a:lnTo>
                <a:lnTo>
                  <a:pt x="2221" y="54"/>
                </a:lnTo>
                <a:lnTo>
                  <a:pt x="1954" y="118"/>
                </a:lnTo>
                <a:lnTo>
                  <a:pt x="1705" y="210"/>
                </a:lnTo>
                <a:lnTo>
                  <a:pt x="1456" y="329"/>
                </a:lnTo>
                <a:lnTo>
                  <a:pt x="1225" y="466"/>
                </a:lnTo>
                <a:lnTo>
                  <a:pt x="1004" y="621"/>
                </a:lnTo>
                <a:lnTo>
                  <a:pt x="811" y="813"/>
                </a:lnTo>
                <a:lnTo>
                  <a:pt x="626" y="1005"/>
                </a:lnTo>
                <a:lnTo>
                  <a:pt x="470" y="1224"/>
                </a:lnTo>
                <a:lnTo>
                  <a:pt x="322" y="1444"/>
                </a:lnTo>
                <a:lnTo>
                  <a:pt x="212" y="1700"/>
                </a:lnTo>
                <a:lnTo>
                  <a:pt x="110" y="1946"/>
                </a:lnTo>
                <a:lnTo>
                  <a:pt x="46" y="2221"/>
                </a:lnTo>
                <a:lnTo>
                  <a:pt x="9" y="2495"/>
                </a:lnTo>
                <a:lnTo>
                  <a:pt x="0" y="2787"/>
                </a:lnTo>
                <a:lnTo>
                  <a:pt x="9" y="3062"/>
                </a:lnTo>
                <a:lnTo>
                  <a:pt x="46" y="3336"/>
                </a:lnTo>
                <a:lnTo>
                  <a:pt x="110" y="3601"/>
                </a:lnTo>
                <a:lnTo>
                  <a:pt x="212" y="3866"/>
                </a:lnTo>
                <a:lnTo>
                  <a:pt x="322" y="4104"/>
                </a:lnTo>
                <a:lnTo>
                  <a:pt x="470" y="4332"/>
                </a:lnTo>
                <a:lnTo>
                  <a:pt x="626" y="4542"/>
                </a:lnTo>
                <a:lnTo>
                  <a:pt x="811" y="4753"/>
                </a:lnTo>
                <a:lnTo>
                  <a:pt x="1004" y="4926"/>
                </a:lnTo>
                <a:lnTo>
                  <a:pt x="1225" y="5082"/>
                </a:lnTo>
                <a:lnTo>
                  <a:pt x="1456" y="5219"/>
                </a:lnTo>
                <a:lnTo>
                  <a:pt x="1705" y="5347"/>
                </a:lnTo>
                <a:lnTo>
                  <a:pt x="1954" y="5429"/>
                </a:lnTo>
                <a:lnTo>
                  <a:pt x="2221" y="5502"/>
                </a:lnTo>
                <a:lnTo>
                  <a:pt x="2507" y="5548"/>
                </a:lnTo>
                <a:lnTo>
                  <a:pt x="2793" y="5566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" name="Freeform 69">
            <a:extLst>
              <a:ext uri="{FF2B5EF4-FFF2-40B4-BE49-F238E27FC236}">
                <a16:creationId xmlns="" xmlns:a16="http://schemas.microsoft.com/office/drawing/2014/main" id="{00000000-0008-0000-0600-000008000000}"/>
              </a:ext>
            </a:extLst>
          </xdr:cNvPr>
          <xdr:cNvSpPr>
            <a:spLocks/>
          </xdr:cNvSpPr>
        </xdr:nvSpPr>
        <xdr:spPr bwMode="auto">
          <a:xfrm>
            <a:off x="182020" y="74949"/>
            <a:ext cx="206051" cy="405379"/>
          </a:xfrm>
          <a:custGeom>
            <a:avLst/>
            <a:gdLst>
              <a:gd name="T0" fmla="*/ 2268 w 2572"/>
              <a:gd name="T1" fmla="*/ 5028 h 5064"/>
              <a:gd name="T2" fmla="*/ 1733 w 2572"/>
              <a:gd name="T3" fmla="*/ 4918 h 5064"/>
              <a:gd name="T4" fmla="*/ 1263 w 2572"/>
              <a:gd name="T5" fmla="*/ 4726 h 5064"/>
              <a:gd name="T6" fmla="*/ 858 w 2572"/>
              <a:gd name="T7" fmla="*/ 4443 h 5064"/>
              <a:gd name="T8" fmla="*/ 507 w 2572"/>
              <a:gd name="T9" fmla="*/ 4095 h 5064"/>
              <a:gd name="T10" fmla="*/ 249 w 2572"/>
              <a:gd name="T11" fmla="*/ 3684 h 5064"/>
              <a:gd name="T12" fmla="*/ 74 w 2572"/>
              <a:gd name="T13" fmla="*/ 3218 h 5064"/>
              <a:gd name="T14" fmla="*/ 0 w 2572"/>
              <a:gd name="T15" fmla="*/ 2706 h 5064"/>
              <a:gd name="T16" fmla="*/ 19 w 2572"/>
              <a:gd name="T17" fmla="*/ 2148 h 5064"/>
              <a:gd name="T18" fmla="*/ 129 w 2572"/>
              <a:gd name="T19" fmla="*/ 1646 h 5064"/>
              <a:gd name="T20" fmla="*/ 332 w 2572"/>
              <a:gd name="T21" fmla="*/ 1189 h 5064"/>
              <a:gd name="T22" fmla="*/ 609 w 2572"/>
              <a:gd name="T23" fmla="*/ 805 h 5064"/>
              <a:gd name="T24" fmla="*/ 950 w 2572"/>
              <a:gd name="T25" fmla="*/ 476 h 5064"/>
              <a:gd name="T26" fmla="*/ 1355 w 2572"/>
              <a:gd name="T27" fmla="*/ 238 h 5064"/>
              <a:gd name="T28" fmla="*/ 1807 w 2572"/>
              <a:gd name="T29" fmla="*/ 64 h 5064"/>
              <a:gd name="T30" fmla="*/ 2305 w 2572"/>
              <a:gd name="T31" fmla="*/ 0 h 5064"/>
              <a:gd name="T32" fmla="*/ 2563 w 2572"/>
              <a:gd name="T33" fmla="*/ 265 h 5064"/>
              <a:gd name="T34" fmla="*/ 2084 w 2572"/>
              <a:gd name="T35" fmla="*/ 293 h 5064"/>
              <a:gd name="T36" fmla="*/ 1641 w 2572"/>
              <a:gd name="T37" fmla="*/ 412 h 5064"/>
              <a:gd name="T38" fmla="*/ 1236 w 2572"/>
              <a:gd name="T39" fmla="*/ 604 h 5064"/>
              <a:gd name="T40" fmla="*/ 904 w 2572"/>
              <a:gd name="T41" fmla="*/ 869 h 5064"/>
              <a:gd name="T42" fmla="*/ 609 w 2572"/>
              <a:gd name="T43" fmla="*/ 1189 h 5064"/>
              <a:gd name="T44" fmla="*/ 406 w 2572"/>
              <a:gd name="T45" fmla="*/ 1573 h 5064"/>
              <a:gd name="T46" fmla="*/ 277 w 2572"/>
              <a:gd name="T47" fmla="*/ 1993 h 5064"/>
              <a:gd name="T48" fmla="*/ 231 w 2572"/>
              <a:gd name="T49" fmla="*/ 2468 h 5064"/>
              <a:gd name="T50" fmla="*/ 277 w 2572"/>
              <a:gd name="T51" fmla="*/ 2925 h 5064"/>
              <a:gd name="T52" fmla="*/ 406 w 2572"/>
              <a:gd name="T53" fmla="*/ 3364 h 5064"/>
              <a:gd name="T54" fmla="*/ 600 w 2572"/>
              <a:gd name="T55" fmla="*/ 3766 h 5064"/>
              <a:gd name="T56" fmla="*/ 885 w 2572"/>
              <a:gd name="T57" fmla="*/ 4123 h 5064"/>
              <a:gd name="T58" fmla="*/ 1208 w 2572"/>
              <a:gd name="T59" fmla="*/ 4406 h 5064"/>
              <a:gd name="T60" fmla="*/ 1614 w 2572"/>
              <a:gd name="T61" fmla="*/ 4626 h 5064"/>
              <a:gd name="T62" fmla="*/ 2056 w 2572"/>
              <a:gd name="T63" fmla="*/ 4772 h 5064"/>
              <a:gd name="T64" fmla="*/ 2563 w 2572"/>
              <a:gd name="T65" fmla="*/ 4827 h 5064"/>
              <a:gd name="T66" fmla="*/ 2563 w 2572"/>
              <a:gd name="T67" fmla="*/ 5064 h 50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572" h="5064">
                <a:moveTo>
                  <a:pt x="2563" y="5064"/>
                </a:moveTo>
                <a:lnTo>
                  <a:pt x="2268" y="5028"/>
                </a:lnTo>
                <a:lnTo>
                  <a:pt x="1991" y="4991"/>
                </a:lnTo>
                <a:lnTo>
                  <a:pt x="1733" y="4918"/>
                </a:lnTo>
                <a:lnTo>
                  <a:pt x="1494" y="4836"/>
                </a:lnTo>
                <a:lnTo>
                  <a:pt x="1263" y="4726"/>
                </a:lnTo>
                <a:lnTo>
                  <a:pt x="1051" y="4598"/>
                </a:lnTo>
                <a:lnTo>
                  <a:pt x="858" y="4443"/>
                </a:lnTo>
                <a:lnTo>
                  <a:pt x="683" y="4287"/>
                </a:lnTo>
                <a:lnTo>
                  <a:pt x="507" y="4095"/>
                </a:lnTo>
                <a:lnTo>
                  <a:pt x="378" y="3903"/>
                </a:lnTo>
                <a:lnTo>
                  <a:pt x="249" y="3684"/>
                </a:lnTo>
                <a:lnTo>
                  <a:pt x="157" y="3474"/>
                </a:lnTo>
                <a:lnTo>
                  <a:pt x="74" y="3218"/>
                </a:lnTo>
                <a:lnTo>
                  <a:pt x="28" y="2971"/>
                </a:lnTo>
                <a:lnTo>
                  <a:pt x="0" y="2706"/>
                </a:lnTo>
                <a:lnTo>
                  <a:pt x="0" y="2432"/>
                </a:lnTo>
                <a:lnTo>
                  <a:pt x="19" y="2148"/>
                </a:lnTo>
                <a:lnTo>
                  <a:pt x="65" y="1892"/>
                </a:lnTo>
                <a:lnTo>
                  <a:pt x="129" y="1646"/>
                </a:lnTo>
                <a:lnTo>
                  <a:pt x="222" y="1408"/>
                </a:lnTo>
                <a:lnTo>
                  <a:pt x="332" y="1189"/>
                </a:lnTo>
                <a:lnTo>
                  <a:pt x="461" y="988"/>
                </a:lnTo>
                <a:lnTo>
                  <a:pt x="609" y="805"/>
                </a:lnTo>
                <a:lnTo>
                  <a:pt x="775" y="631"/>
                </a:lnTo>
                <a:lnTo>
                  <a:pt x="950" y="476"/>
                </a:lnTo>
                <a:lnTo>
                  <a:pt x="1143" y="348"/>
                </a:lnTo>
                <a:lnTo>
                  <a:pt x="1355" y="238"/>
                </a:lnTo>
                <a:lnTo>
                  <a:pt x="1577" y="147"/>
                </a:lnTo>
                <a:lnTo>
                  <a:pt x="1807" y="64"/>
                </a:lnTo>
                <a:lnTo>
                  <a:pt x="2056" y="19"/>
                </a:lnTo>
                <a:lnTo>
                  <a:pt x="2305" y="0"/>
                </a:lnTo>
                <a:lnTo>
                  <a:pt x="2572" y="0"/>
                </a:lnTo>
                <a:lnTo>
                  <a:pt x="2563" y="265"/>
                </a:lnTo>
                <a:lnTo>
                  <a:pt x="2305" y="265"/>
                </a:lnTo>
                <a:lnTo>
                  <a:pt x="2084" y="293"/>
                </a:lnTo>
                <a:lnTo>
                  <a:pt x="1844" y="339"/>
                </a:lnTo>
                <a:lnTo>
                  <a:pt x="1641" y="412"/>
                </a:lnTo>
                <a:lnTo>
                  <a:pt x="1429" y="494"/>
                </a:lnTo>
                <a:lnTo>
                  <a:pt x="1236" y="604"/>
                </a:lnTo>
                <a:lnTo>
                  <a:pt x="1051" y="722"/>
                </a:lnTo>
                <a:lnTo>
                  <a:pt x="904" y="869"/>
                </a:lnTo>
                <a:lnTo>
                  <a:pt x="747" y="1015"/>
                </a:lnTo>
                <a:lnTo>
                  <a:pt x="609" y="1189"/>
                </a:lnTo>
                <a:lnTo>
                  <a:pt x="489" y="1371"/>
                </a:lnTo>
                <a:lnTo>
                  <a:pt x="406" y="1573"/>
                </a:lnTo>
                <a:lnTo>
                  <a:pt x="323" y="1774"/>
                </a:lnTo>
                <a:lnTo>
                  <a:pt x="277" y="1993"/>
                </a:lnTo>
                <a:lnTo>
                  <a:pt x="231" y="2222"/>
                </a:lnTo>
                <a:lnTo>
                  <a:pt x="231" y="2468"/>
                </a:lnTo>
                <a:lnTo>
                  <a:pt x="240" y="2697"/>
                </a:lnTo>
                <a:lnTo>
                  <a:pt x="277" y="2925"/>
                </a:lnTo>
                <a:lnTo>
                  <a:pt x="323" y="3145"/>
                </a:lnTo>
                <a:lnTo>
                  <a:pt x="406" y="3364"/>
                </a:lnTo>
                <a:lnTo>
                  <a:pt x="489" y="3565"/>
                </a:lnTo>
                <a:lnTo>
                  <a:pt x="600" y="3766"/>
                </a:lnTo>
                <a:lnTo>
                  <a:pt x="729" y="3949"/>
                </a:lnTo>
                <a:lnTo>
                  <a:pt x="885" y="4123"/>
                </a:lnTo>
                <a:lnTo>
                  <a:pt x="1033" y="4269"/>
                </a:lnTo>
                <a:lnTo>
                  <a:pt x="1208" y="4406"/>
                </a:lnTo>
                <a:lnTo>
                  <a:pt x="1402" y="4525"/>
                </a:lnTo>
                <a:lnTo>
                  <a:pt x="1614" y="4626"/>
                </a:lnTo>
                <a:lnTo>
                  <a:pt x="1826" y="4708"/>
                </a:lnTo>
                <a:lnTo>
                  <a:pt x="2056" y="4772"/>
                </a:lnTo>
                <a:lnTo>
                  <a:pt x="2296" y="4808"/>
                </a:lnTo>
                <a:lnTo>
                  <a:pt x="2563" y="4827"/>
                </a:lnTo>
                <a:lnTo>
                  <a:pt x="2563" y="5064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" name="Freeform 70">
            <a:extLst>
              <a:ext uri="{FF2B5EF4-FFF2-40B4-BE49-F238E27FC236}">
                <a16:creationId xmlns="" xmlns:a16="http://schemas.microsoft.com/office/drawing/2014/main" id="{00000000-0008-0000-0600-000009000000}"/>
              </a:ext>
            </a:extLst>
          </xdr:cNvPr>
          <xdr:cNvSpPr>
            <a:spLocks/>
          </xdr:cNvSpPr>
        </xdr:nvSpPr>
        <xdr:spPr bwMode="auto">
          <a:xfrm>
            <a:off x="340544" y="87084"/>
            <a:ext cx="421739" cy="127235"/>
          </a:xfrm>
          <a:custGeom>
            <a:avLst/>
            <a:gdLst>
              <a:gd name="T0" fmla="*/ 451 w 5263"/>
              <a:gd name="T1" fmla="*/ 100 h 1590"/>
              <a:gd name="T2" fmla="*/ 507 w 5263"/>
              <a:gd name="T3" fmla="*/ 91 h 1590"/>
              <a:gd name="T4" fmla="*/ 581 w 5263"/>
              <a:gd name="T5" fmla="*/ 91 h 1590"/>
              <a:gd name="T6" fmla="*/ 663 w 5263"/>
              <a:gd name="T7" fmla="*/ 100 h 1590"/>
              <a:gd name="T8" fmla="*/ 756 w 5263"/>
              <a:gd name="T9" fmla="*/ 128 h 1590"/>
              <a:gd name="T10" fmla="*/ 866 w 5263"/>
              <a:gd name="T11" fmla="*/ 164 h 1590"/>
              <a:gd name="T12" fmla="*/ 977 w 5263"/>
              <a:gd name="T13" fmla="*/ 238 h 1590"/>
              <a:gd name="T14" fmla="*/ 1161 w 5263"/>
              <a:gd name="T15" fmla="*/ 393 h 1590"/>
              <a:gd name="T16" fmla="*/ 1364 w 5263"/>
              <a:gd name="T17" fmla="*/ 503 h 1590"/>
              <a:gd name="T18" fmla="*/ 1530 w 5263"/>
              <a:gd name="T19" fmla="*/ 512 h 1590"/>
              <a:gd name="T20" fmla="*/ 1659 w 5263"/>
              <a:gd name="T21" fmla="*/ 448 h 1590"/>
              <a:gd name="T22" fmla="*/ 1770 w 5263"/>
              <a:gd name="T23" fmla="*/ 338 h 1590"/>
              <a:gd name="T24" fmla="*/ 1899 w 5263"/>
              <a:gd name="T25" fmla="*/ 201 h 1590"/>
              <a:gd name="T26" fmla="*/ 2037 w 5263"/>
              <a:gd name="T27" fmla="*/ 91 h 1590"/>
              <a:gd name="T28" fmla="*/ 2231 w 5263"/>
              <a:gd name="T29" fmla="*/ 9 h 1590"/>
              <a:gd name="T30" fmla="*/ 2424 w 5263"/>
              <a:gd name="T31" fmla="*/ 0 h 1590"/>
              <a:gd name="T32" fmla="*/ 2562 w 5263"/>
              <a:gd name="T33" fmla="*/ 36 h 1590"/>
              <a:gd name="T34" fmla="*/ 2691 w 5263"/>
              <a:gd name="T35" fmla="*/ 110 h 1590"/>
              <a:gd name="T36" fmla="*/ 2793 w 5263"/>
              <a:gd name="T37" fmla="*/ 192 h 1590"/>
              <a:gd name="T38" fmla="*/ 2903 w 5263"/>
              <a:gd name="T39" fmla="*/ 292 h 1590"/>
              <a:gd name="T40" fmla="*/ 3005 w 5263"/>
              <a:gd name="T41" fmla="*/ 375 h 1590"/>
              <a:gd name="T42" fmla="*/ 3125 w 5263"/>
              <a:gd name="T43" fmla="*/ 439 h 1590"/>
              <a:gd name="T44" fmla="*/ 3254 w 5263"/>
              <a:gd name="T45" fmla="*/ 484 h 1590"/>
              <a:gd name="T46" fmla="*/ 3410 w 5263"/>
              <a:gd name="T47" fmla="*/ 484 h 1590"/>
              <a:gd name="T48" fmla="*/ 3530 w 5263"/>
              <a:gd name="T49" fmla="*/ 439 h 1590"/>
              <a:gd name="T50" fmla="*/ 3641 w 5263"/>
              <a:gd name="T51" fmla="*/ 375 h 1590"/>
              <a:gd name="T52" fmla="*/ 3733 w 5263"/>
              <a:gd name="T53" fmla="*/ 292 h 1590"/>
              <a:gd name="T54" fmla="*/ 3825 w 5263"/>
              <a:gd name="T55" fmla="*/ 201 h 1590"/>
              <a:gd name="T56" fmla="*/ 3927 w 5263"/>
              <a:gd name="T57" fmla="*/ 119 h 1590"/>
              <a:gd name="T58" fmla="*/ 4046 w 5263"/>
              <a:gd name="T59" fmla="*/ 46 h 1590"/>
              <a:gd name="T60" fmla="*/ 4194 w 5263"/>
              <a:gd name="T61" fmla="*/ 9 h 1590"/>
              <a:gd name="T62" fmla="*/ 4341 w 5263"/>
              <a:gd name="T63" fmla="*/ 18 h 1590"/>
              <a:gd name="T64" fmla="*/ 4470 w 5263"/>
              <a:gd name="T65" fmla="*/ 64 h 1590"/>
              <a:gd name="T66" fmla="*/ 4581 w 5263"/>
              <a:gd name="T67" fmla="*/ 137 h 1590"/>
              <a:gd name="T68" fmla="*/ 4673 w 5263"/>
              <a:gd name="T69" fmla="*/ 238 h 1590"/>
              <a:gd name="T70" fmla="*/ 4756 w 5263"/>
              <a:gd name="T71" fmla="*/ 329 h 1590"/>
              <a:gd name="T72" fmla="*/ 4858 w 5263"/>
              <a:gd name="T73" fmla="*/ 420 h 1590"/>
              <a:gd name="T74" fmla="*/ 4977 w 5263"/>
              <a:gd name="T75" fmla="*/ 484 h 1590"/>
              <a:gd name="T76" fmla="*/ 5143 w 5263"/>
              <a:gd name="T77" fmla="*/ 530 h 1590"/>
              <a:gd name="T78" fmla="*/ 5263 w 5263"/>
              <a:gd name="T79" fmla="*/ 1097 h 1590"/>
              <a:gd name="T80" fmla="*/ 0 w 5263"/>
              <a:gd name="T81" fmla="*/ 1563 h 1590"/>
              <a:gd name="T82" fmla="*/ 442 w 5263"/>
              <a:gd name="T83" fmla="*/ 110 h 15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590">
                <a:moveTo>
                  <a:pt x="442" y="110"/>
                </a:moveTo>
                <a:lnTo>
                  <a:pt x="451" y="100"/>
                </a:lnTo>
                <a:lnTo>
                  <a:pt x="488" y="91"/>
                </a:lnTo>
                <a:lnTo>
                  <a:pt x="507" y="91"/>
                </a:lnTo>
                <a:lnTo>
                  <a:pt x="553" y="91"/>
                </a:lnTo>
                <a:lnTo>
                  <a:pt x="581" y="91"/>
                </a:lnTo>
                <a:lnTo>
                  <a:pt x="627" y="100"/>
                </a:lnTo>
                <a:lnTo>
                  <a:pt x="663" y="100"/>
                </a:lnTo>
                <a:lnTo>
                  <a:pt x="710" y="119"/>
                </a:lnTo>
                <a:lnTo>
                  <a:pt x="756" y="128"/>
                </a:lnTo>
                <a:lnTo>
                  <a:pt x="811" y="146"/>
                </a:lnTo>
                <a:lnTo>
                  <a:pt x="866" y="164"/>
                </a:lnTo>
                <a:lnTo>
                  <a:pt x="922" y="201"/>
                </a:lnTo>
                <a:lnTo>
                  <a:pt x="977" y="238"/>
                </a:lnTo>
                <a:lnTo>
                  <a:pt x="1032" y="292"/>
                </a:lnTo>
                <a:lnTo>
                  <a:pt x="1161" y="393"/>
                </a:lnTo>
                <a:lnTo>
                  <a:pt x="1272" y="466"/>
                </a:lnTo>
                <a:lnTo>
                  <a:pt x="1364" y="503"/>
                </a:lnTo>
                <a:lnTo>
                  <a:pt x="1456" y="530"/>
                </a:lnTo>
                <a:lnTo>
                  <a:pt x="1530" y="512"/>
                </a:lnTo>
                <a:lnTo>
                  <a:pt x="1594" y="493"/>
                </a:lnTo>
                <a:lnTo>
                  <a:pt x="1659" y="448"/>
                </a:lnTo>
                <a:lnTo>
                  <a:pt x="1724" y="402"/>
                </a:lnTo>
                <a:lnTo>
                  <a:pt x="1770" y="338"/>
                </a:lnTo>
                <a:lnTo>
                  <a:pt x="1834" y="274"/>
                </a:lnTo>
                <a:lnTo>
                  <a:pt x="1899" y="201"/>
                </a:lnTo>
                <a:lnTo>
                  <a:pt x="1972" y="146"/>
                </a:lnTo>
                <a:lnTo>
                  <a:pt x="2037" y="91"/>
                </a:lnTo>
                <a:lnTo>
                  <a:pt x="2129" y="46"/>
                </a:lnTo>
                <a:lnTo>
                  <a:pt x="2231" y="9"/>
                </a:lnTo>
                <a:lnTo>
                  <a:pt x="2341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6"/>
                </a:lnTo>
                <a:lnTo>
                  <a:pt x="2636" y="73"/>
                </a:lnTo>
                <a:lnTo>
                  <a:pt x="2691" y="110"/>
                </a:lnTo>
                <a:lnTo>
                  <a:pt x="2747" y="146"/>
                </a:lnTo>
                <a:lnTo>
                  <a:pt x="2793" y="192"/>
                </a:lnTo>
                <a:lnTo>
                  <a:pt x="2857" y="247"/>
                </a:lnTo>
                <a:lnTo>
                  <a:pt x="2903" y="292"/>
                </a:lnTo>
                <a:lnTo>
                  <a:pt x="2950" y="329"/>
                </a:lnTo>
                <a:lnTo>
                  <a:pt x="3005" y="375"/>
                </a:lnTo>
                <a:lnTo>
                  <a:pt x="3060" y="420"/>
                </a:lnTo>
                <a:lnTo>
                  <a:pt x="3125" y="439"/>
                </a:lnTo>
                <a:lnTo>
                  <a:pt x="3189" y="466"/>
                </a:lnTo>
                <a:lnTo>
                  <a:pt x="3254" y="484"/>
                </a:lnTo>
                <a:lnTo>
                  <a:pt x="3337" y="493"/>
                </a:lnTo>
                <a:lnTo>
                  <a:pt x="3410" y="484"/>
                </a:lnTo>
                <a:lnTo>
                  <a:pt x="3466" y="466"/>
                </a:lnTo>
                <a:lnTo>
                  <a:pt x="3530" y="439"/>
                </a:lnTo>
                <a:lnTo>
                  <a:pt x="3586" y="411"/>
                </a:lnTo>
                <a:lnTo>
                  <a:pt x="3641" y="375"/>
                </a:lnTo>
                <a:lnTo>
                  <a:pt x="3687" y="329"/>
                </a:lnTo>
                <a:lnTo>
                  <a:pt x="3733" y="292"/>
                </a:lnTo>
                <a:lnTo>
                  <a:pt x="3788" y="247"/>
                </a:lnTo>
                <a:lnTo>
                  <a:pt x="3825" y="201"/>
                </a:lnTo>
                <a:lnTo>
                  <a:pt x="3881" y="155"/>
                </a:lnTo>
                <a:lnTo>
                  <a:pt x="3927" y="119"/>
                </a:lnTo>
                <a:lnTo>
                  <a:pt x="3991" y="82"/>
                </a:lnTo>
                <a:lnTo>
                  <a:pt x="4046" y="46"/>
                </a:lnTo>
                <a:lnTo>
                  <a:pt x="4111" y="27"/>
                </a:lnTo>
                <a:lnTo>
                  <a:pt x="4194" y="9"/>
                </a:lnTo>
                <a:lnTo>
                  <a:pt x="4277" y="18"/>
                </a:lnTo>
                <a:lnTo>
                  <a:pt x="4341" y="18"/>
                </a:lnTo>
                <a:lnTo>
                  <a:pt x="4415" y="36"/>
                </a:lnTo>
                <a:lnTo>
                  <a:pt x="4470" y="64"/>
                </a:lnTo>
                <a:lnTo>
                  <a:pt x="4535" y="100"/>
                </a:lnTo>
                <a:lnTo>
                  <a:pt x="4581" y="137"/>
                </a:lnTo>
                <a:lnTo>
                  <a:pt x="4627" y="183"/>
                </a:lnTo>
                <a:lnTo>
                  <a:pt x="4673" y="238"/>
                </a:lnTo>
                <a:lnTo>
                  <a:pt x="4719" y="292"/>
                </a:lnTo>
                <a:lnTo>
                  <a:pt x="4756" y="329"/>
                </a:lnTo>
                <a:lnTo>
                  <a:pt x="4812" y="375"/>
                </a:lnTo>
                <a:lnTo>
                  <a:pt x="4858" y="420"/>
                </a:lnTo>
                <a:lnTo>
                  <a:pt x="4922" y="466"/>
                </a:lnTo>
                <a:lnTo>
                  <a:pt x="4977" y="484"/>
                </a:lnTo>
                <a:lnTo>
                  <a:pt x="5060" y="512"/>
                </a:lnTo>
                <a:lnTo>
                  <a:pt x="5143" y="530"/>
                </a:lnTo>
                <a:lnTo>
                  <a:pt x="5254" y="530"/>
                </a:lnTo>
                <a:lnTo>
                  <a:pt x="5263" y="1097"/>
                </a:lnTo>
                <a:lnTo>
                  <a:pt x="3106" y="1590"/>
                </a:lnTo>
                <a:lnTo>
                  <a:pt x="0" y="1563"/>
                </a:lnTo>
                <a:lnTo>
                  <a:pt x="46" y="311"/>
                </a:lnTo>
                <a:lnTo>
                  <a:pt x="442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" name="Freeform 71">
            <a:extLst>
              <a:ext uri="{FF2B5EF4-FFF2-40B4-BE49-F238E27FC236}">
                <a16:creationId xmlns="" xmlns:a16="http://schemas.microsoft.com/office/drawing/2014/main" id="{00000000-0008-0000-0600-00000A000000}"/>
              </a:ext>
            </a:extLst>
          </xdr:cNvPr>
          <xdr:cNvSpPr>
            <a:spLocks/>
          </xdr:cNvSpPr>
        </xdr:nvSpPr>
        <xdr:spPr bwMode="auto">
          <a:xfrm>
            <a:off x="340544" y="98088"/>
            <a:ext cx="422453" cy="112662"/>
          </a:xfrm>
          <a:custGeom>
            <a:avLst/>
            <a:gdLst>
              <a:gd name="T0" fmla="*/ 451 w 5272"/>
              <a:gd name="T1" fmla="*/ 91 h 1408"/>
              <a:gd name="T2" fmla="*/ 507 w 5272"/>
              <a:gd name="T3" fmla="*/ 82 h 1408"/>
              <a:gd name="T4" fmla="*/ 590 w 5272"/>
              <a:gd name="T5" fmla="*/ 82 h 1408"/>
              <a:gd name="T6" fmla="*/ 673 w 5272"/>
              <a:gd name="T7" fmla="*/ 91 h 1408"/>
              <a:gd name="T8" fmla="*/ 765 w 5272"/>
              <a:gd name="T9" fmla="*/ 110 h 1408"/>
              <a:gd name="T10" fmla="*/ 866 w 5272"/>
              <a:gd name="T11" fmla="*/ 155 h 1408"/>
              <a:gd name="T12" fmla="*/ 977 w 5272"/>
              <a:gd name="T13" fmla="*/ 219 h 1408"/>
              <a:gd name="T14" fmla="*/ 1161 w 5272"/>
              <a:gd name="T15" fmla="*/ 347 h 1408"/>
              <a:gd name="T16" fmla="*/ 1364 w 5272"/>
              <a:gd name="T17" fmla="*/ 457 h 1408"/>
              <a:gd name="T18" fmla="*/ 1530 w 5272"/>
              <a:gd name="T19" fmla="*/ 457 h 1408"/>
              <a:gd name="T20" fmla="*/ 1659 w 5272"/>
              <a:gd name="T21" fmla="*/ 402 h 1408"/>
              <a:gd name="T22" fmla="*/ 1770 w 5272"/>
              <a:gd name="T23" fmla="*/ 302 h 1408"/>
              <a:gd name="T24" fmla="*/ 1899 w 5272"/>
              <a:gd name="T25" fmla="*/ 192 h 1408"/>
              <a:gd name="T26" fmla="*/ 2037 w 5272"/>
              <a:gd name="T27" fmla="*/ 82 h 1408"/>
              <a:gd name="T28" fmla="*/ 2231 w 5272"/>
              <a:gd name="T29" fmla="*/ 18 h 1408"/>
              <a:gd name="T30" fmla="*/ 2424 w 5272"/>
              <a:gd name="T31" fmla="*/ 0 h 1408"/>
              <a:gd name="T32" fmla="*/ 2562 w 5272"/>
              <a:gd name="T33" fmla="*/ 37 h 1408"/>
              <a:gd name="T34" fmla="*/ 2691 w 5272"/>
              <a:gd name="T35" fmla="*/ 101 h 1408"/>
              <a:gd name="T36" fmla="*/ 2793 w 5272"/>
              <a:gd name="T37" fmla="*/ 174 h 1408"/>
              <a:gd name="T38" fmla="*/ 2903 w 5272"/>
              <a:gd name="T39" fmla="*/ 265 h 1408"/>
              <a:gd name="T40" fmla="*/ 3005 w 5272"/>
              <a:gd name="T41" fmla="*/ 329 h 1408"/>
              <a:gd name="T42" fmla="*/ 3125 w 5272"/>
              <a:gd name="T43" fmla="*/ 393 h 1408"/>
              <a:gd name="T44" fmla="*/ 3254 w 5272"/>
              <a:gd name="T45" fmla="*/ 439 h 1408"/>
              <a:gd name="T46" fmla="*/ 3410 w 5272"/>
              <a:gd name="T47" fmla="*/ 430 h 1408"/>
              <a:gd name="T48" fmla="*/ 3530 w 5272"/>
              <a:gd name="T49" fmla="*/ 393 h 1408"/>
              <a:gd name="T50" fmla="*/ 3641 w 5272"/>
              <a:gd name="T51" fmla="*/ 329 h 1408"/>
              <a:gd name="T52" fmla="*/ 3733 w 5272"/>
              <a:gd name="T53" fmla="*/ 256 h 1408"/>
              <a:gd name="T54" fmla="*/ 3834 w 5272"/>
              <a:gd name="T55" fmla="*/ 183 h 1408"/>
              <a:gd name="T56" fmla="*/ 3936 w 5272"/>
              <a:gd name="T57" fmla="*/ 110 h 1408"/>
              <a:gd name="T58" fmla="*/ 4056 w 5272"/>
              <a:gd name="T59" fmla="*/ 46 h 1408"/>
              <a:gd name="T60" fmla="*/ 4194 w 5272"/>
              <a:gd name="T61" fmla="*/ 18 h 1408"/>
              <a:gd name="T62" fmla="*/ 4351 w 5272"/>
              <a:gd name="T63" fmla="*/ 18 h 1408"/>
              <a:gd name="T64" fmla="*/ 4480 w 5272"/>
              <a:gd name="T65" fmla="*/ 55 h 1408"/>
              <a:gd name="T66" fmla="*/ 4581 w 5272"/>
              <a:gd name="T67" fmla="*/ 128 h 1408"/>
              <a:gd name="T68" fmla="*/ 4682 w 5272"/>
              <a:gd name="T69" fmla="*/ 210 h 1408"/>
              <a:gd name="T70" fmla="*/ 4765 w 5272"/>
              <a:gd name="T71" fmla="*/ 302 h 1408"/>
              <a:gd name="T72" fmla="*/ 4867 w 5272"/>
              <a:gd name="T73" fmla="*/ 375 h 1408"/>
              <a:gd name="T74" fmla="*/ 4987 w 5272"/>
              <a:gd name="T75" fmla="*/ 439 h 1408"/>
              <a:gd name="T76" fmla="*/ 5153 w 5272"/>
              <a:gd name="T77" fmla="*/ 475 h 1408"/>
              <a:gd name="T78" fmla="*/ 5272 w 5272"/>
              <a:gd name="T79" fmla="*/ 978 h 1408"/>
              <a:gd name="T80" fmla="*/ 0 w 5272"/>
              <a:gd name="T81" fmla="*/ 1389 h 1408"/>
              <a:gd name="T82" fmla="*/ 442 w 5272"/>
              <a:gd name="T83" fmla="*/ 101 h 14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2" h="1408">
                <a:moveTo>
                  <a:pt x="442" y="101"/>
                </a:moveTo>
                <a:lnTo>
                  <a:pt x="451" y="91"/>
                </a:lnTo>
                <a:lnTo>
                  <a:pt x="488" y="82"/>
                </a:lnTo>
                <a:lnTo>
                  <a:pt x="507" y="82"/>
                </a:lnTo>
                <a:lnTo>
                  <a:pt x="553" y="82"/>
                </a:lnTo>
                <a:lnTo>
                  <a:pt x="590" y="82"/>
                </a:lnTo>
                <a:lnTo>
                  <a:pt x="636" y="91"/>
                </a:lnTo>
                <a:lnTo>
                  <a:pt x="673" y="91"/>
                </a:lnTo>
                <a:lnTo>
                  <a:pt x="719" y="101"/>
                </a:lnTo>
                <a:lnTo>
                  <a:pt x="765" y="110"/>
                </a:lnTo>
                <a:lnTo>
                  <a:pt x="820" y="128"/>
                </a:lnTo>
                <a:lnTo>
                  <a:pt x="866" y="155"/>
                </a:lnTo>
                <a:lnTo>
                  <a:pt x="922" y="183"/>
                </a:lnTo>
                <a:lnTo>
                  <a:pt x="977" y="219"/>
                </a:lnTo>
                <a:lnTo>
                  <a:pt x="1032" y="265"/>
                </a:lnTo>
                <a:lnTo>
                  <a:pt x="1161" y="347"/>
                </a:lnTo>
                <a:lnTo>
                  <a:pt x="1272" y="411"/>
                </a:lnTo>
                <a:lnTo>
                  <a:pt x="1364" y="457"/>
                </a:lnTo>
                <a:lnTo>
                  <a:pt x="1456" y="475"/>
                </a:lnTo>
                <a:lnTo>
                  <a:pt x="1530" y="457"/>
                </a:lnTo>
                <a:lnTo>
                  <a:pt x="1594" y="439"/>
                </a:lnTo>
                <a:lnTo>
                  <a:pt x="1659" y="402"/>
                </a:lnTo>
                <a:lnTo>
                  <a:pt x="1724" y="366"/>
                </a:lnTo>
                <a:lnTo>
                  <a:pt x="1770" y="302"/>
                </a:lnTo>
                <a:lnTo>
                  <a:pt x="1834" y="247"/>
                </a:lnTo>
                <a:lnTo>
                  <a:pt x="1899" y="192"/>
                </a:lnTo>
                <a:lnTo>
                  <a:pt x="1972" y="137"/>
                </a:lnTo>
                <a:lnTo>
                  <a:pt x="2037" y="82"/>
                </a:lnTo>
                <a:lnTo>
                  <a:pt x="2129" y="46"/>
                </a:lnTo>
                <a:lnTo>
                  <a:pt x="2231" y="18"/>
                </a:lnTo>
                <a:lnTo>
                  <a:pt x="2350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7"/>
                </a:lnTo>
                <a:lnTo>
                  <a:pt x="2636" y="64"/>
                </a:lnTo>
                <a:lnTo>
                  <a:pt x="2691" y="101"/>
                </a:lnTo>
                <a:lnTo>
                  <a:pt x="2747" y="137"/>
                </a:lnTo>
                <a:lnTo>
                  <a:pt x="2793" y="174"/>
                </a:lnTo>
                <a:lnTo>
                  <a:pt x="2857" y="219"/>
                </a:lnTo>
                <a:lnTo>
                  <a:pt x="2903" y="265"/>
                </a:lnTo>
                <a:lnTo>
                  <a:pt x="2950" y="302"/>
                </a:lnTo>
                <a:lnTo>
                  <a:pt x="3005" y="329"/>
                </a:lnTo>
                <a:lnTo>
                  <a:pt x="3060" y="366"/>
                </a:lnTo>
                <a:lnTo>
                  <a:pt x="3125" y="393"/>
                </a:lnTo>
                <a:lnTo>
                  <a:pt x="3189" y="420"/>
                </a:lnTo>
                <a:lnTo>
                  <a:pt x="3254" y="439"/>
                </a:lnTo>
                <a:lnTo>
                  <a:pt x="3337" y="439"/>
                </a:lnTo>
                <a:lnTo>
                  <a:pt x="3410" y="430"/>
                </a:lnTo>
                <a:lnTo>
                  <a:pt x="3466" y="411"/>
                </a:lnTo>
                <a:lnTo>
                  <a:pt x="3530" y="393"/>
                </a:lnTo>
                <a:lnTo>
                  <a:pt x="3595" y="366"/>
                </a:lnTo>
                <a:lnTo>
                  <a:pt x="3641" y="329"/>
                </a:lnTo>
                <a:lnTo>
                  <a:pt x="3687" y="292"/>
                </a:lnTo>
                <a:lnTo>
                  <a:pt x="3733" y="256"/>
                </a:lnTo>
                <a:lnTo>
                  <a:pt x="3788" y="219"/>
                </a:lnTo>
                <a:lnTo>
                  <a:pt x="3834" y="183"/>
                </a:lnTo>
                <a:lnTo>
                  <a:pt x="3881" y="146"/>
                </a:lnTo>
                <a:lnTo>
                  <a:pt x="3936" y="110"/>
                </a:lnTo>
                <a:lnTo>
                  <a:pt x="3991" y="82"/>
                </a:lnTo>
                <a:lnTo>
                  <a:pt x="4056" y="46"/>
                </a:lnTo>
                <a:lnTo>
                  <a:pt x="4120" y="27"/>
                </a:lnTo>
                <a:lnTo>
                  <a:pt x="4194" y="18"/>
                </a:lnTo>
                <a:lnTo>
                  <a:pt x="4277" y="18"/>
                </a:lnTo>
                <a:lnTo>
                  <a:pt x="4351" y="18"/>
                </a:lnTo>
                <a:lnTo>
                  <a:pt x="4424" y="37"/>
                </a:lnTo>
                <a:lnTo>
                  <a:pt x="4480" y="55"/>
                </a:lnTo>
                <a:lnTo>
                  <a:pt x="4535" y="91"/>
                </a:lnTo>
                <a:lnTo>
                  <a:pt x="4581" y="128"/>
                </a:lnTo>
                <a:lnTo>
                  <a:pt x="4636" y="174"/>
                </a:lnTo>
                <a:lnTo>
                  <a:pt x="4682" y="210"/>
                </a:lnTo>
                <a:lnTo>
                  <a:pt x="4729" y="265"/>
                </a:lnTo>
                <a:lnTo>
                  <a:pt x="4765" y="302"/>
                </a:lnTo>
                <a:lnTo>
                  <a:pt x="4821" y="347"/>
                </a:lnTo>
                <a:lnTo>
                  <a:pt x="4867" y="375"/>
                </a:lnTo>
                <a:lnTo>
                  <a:pt x="4931" y="411"/>
                </a:lnTo>
                <a:lnTo>
                  <a:pt x="4987" y="439"/>
                </a:lnTo>
                <a:lnTo>
                  <a:pt x="5070" y="466"/>
                </a:lnTo>
                <a:lnTo>
                  <a:pt x="5153" y="475"/>
                </a:lnTo>
                <a:lnTo>
                  <a:pt x="5254" y="475"/>
                </a:lnTo>
                <a:lnTo>
                  <a:pt x="5272" y="978"/>
                </a:lnTo>
                <a:lnTo>
                  <a:pt x="3115" y="1408"/>
                </a:lnTo>
                <a:lnTo>
                  <a:pt x="0" y="1389"/>
                </a:lnTo>
                <a:lnTo>
                  <a:pt x="46" y="283"/>
                </a:lnTo>
                <a:lnTo>
                  <a:pt x="442" y="101"/>
                </a:lnTo>
                <a:close/>
              </a:path>
            </a:pathLst>
          </a:custGeom>
          <a:solidFill>
            <a:srgbClr val="FFCC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" name="Freeform 72">
            <a:extLst>
              <a:ext uri="{FF2B5EF4-FFF2-40B4-BE49-F238E27FC236}">
                <a16:creationId xmlns="" xmlns:a16="http://schemas.microsoft.com/office/drawing/2014/main" id="{00000000-0008-0000-0600-00000B000000}"/>
              </a:ext>
            </a:extLst>
          </xdr:cNvPr>
          <xdr:cNvSpPr>
            <a:spLocks/>
          </xdr:cNvSpPr>
        </xdr:nvSpPr>
        <xdr:spPr bwMode="auto">
          <a:xfrm>
            <a:off x="342685" y="107011"/>
            <a:ext cx="421679" cy="98088"/>
          </a:xfrm>
          <a:custGeom>
            <a:avLst/>
            <a:gdLst>
              <a:gd name="T0" fmla="*/ 452 w 5263"/>
              <a:gd name="T1" fmla="*/ 83 h 1225"/>
              <a:gd name="T2" fmla="*/ 507 w 5263"/>
              <a:gd name="T3" fmla="*/ 73 h 1225"/>
              <a:gd name="T4" fmla="*/ 581 w 5263"/>
              <a:gd name="T5" fmla="*/ 73 h 1225"/>
              <a:gd name="T6" fmla="*/ 664 w 5263"/>
              <a:gd name="T7" fmla="*/ 73 h 1225"/>
              <a:gd name="T8" fmla="*/ 756 w 5263"/>
              <a:gd name="T9" fmla="*/ 92 h 1225"/>
              <a:gd name="T10" fmla="*/ 866 w 5263"/>
              <a:gd name="T11" fmla="*/ 128 h 1225"/>
              <a:gd name="T12" fmla="*/ 977 w 5263"/>
              <a:gd name="T13" fmla="*/ 183 h 1225"/>
              <a:gd name="T14" fmla="*/ 1152 w 5263"/>
              <a:gd name="T15" fmla="*/ 293 h 1225"/>
              <a:gd name="T16" fmla="*/ 1364 w 5263"/>
              <a:gd name="T17" fmla="*/ 384 h 1225"/>
              <a:gd name="T18" fmla="*/ 1521 w 5263"/>
              <a:gd name="T19" fmla="*/ 393 h 1225"/>
              <a:gd name="T20" fmla="*/ 1650 w 5263"/>
              <a:gd name="T21" fmla="*/ 338 h 1225"/>
              <a:gd name="T22" fmla="*/ 1770 w 5263"/>
              <a:gd name="T23" fmla="*/ 256 h 1225"/>
              <a:gd name="T24" fmla="*/ 1890 w 5263"/>
              <a:gd name="T25" fmla="*/ 156 h 1225"/>
              <a:gd name="T26" fmla="*/ 2037 w 5263"/>
              <a:gd name="T27" fmla="*/ 64 h 1225"/>
              <a:gd name="T28" fmla="*/ 2222 w 5263"/>
              <a:gd name="T29" fmla="*/ 9 h 1225"/>
              <a:gd name="T30" fmla="*/ 2415 w 5263"/>
              <a:gd name="T31" fmla="*/ 0 h 1225"/>
              <a:gd name="T32" fmla="*/ 2563 w 5263"/>
              <a:gd name="T33" fmla="*/ 28 h 1225"/>
              <a:gd name="T34" fmla="*/ 2682 w 5263"/>
              <a:gd name="T35" fmla="*/ 83 h 1225"/>
              <a:gd name="T36" fmla="*/ 2793 w 5263"/>
              <a:gd name="T37" fmla="*/ 156 h 1225"/>
              <a:gd name="T38" fmla="*/ 2894 w 5263"/>
              <a:gd name="T39" fmla="*/ 220 h 1225"/>
              <a:gd name="T40" fmla="*/ 3005 w 5263"/>
              <a:gd name="T41" fmla="*/ 293 h 1225"/>
              <a:gd name="T42" fmla="*/ 3116 w 5263"/>
              <a:gd name="T43" fmla="*/ 338 h 1225"/>
              <a:gd name="T44" fmla="*/ 3245 w 5263"/>
              <a:gd name="T45" fmla="*/ 375 h 1225"/>
              <a:gd name="T46" fmla="*/ 3401 w 5263"/>
              <a:gd name="T47" fmla="*/ 375 h 1225"/>
              <a:gd name="T48" fmla="*/ 3530 w 5263"/>
              <a:gd name="T49" fmla="*/ 338 h 1225"/>
              <a:gd name="T50" fmla="*/ 3632 w 5263"/>
              <a:gd name="T51" fmla="*/ 293 h 1225"/>
              <a:gd name="T52" fmla="*/ 3733 w 5263"/>
              <a:gd name="T53" fmla="*/ 220 h 1225"/>
              <a:gd name="T54" fmla="*/ 3825 w 5263"/>
              <a:gd name="T55" fmla="*/ 156 h 1225"/>
              <a:gd name="T56" fmla="*/ 3927 w 5263"/>
              <a:gd name="T57" fmla="*/ 92 h 1225"/>
              <a:gd name="T58" fmla="*/ 4047 w 5263"/>
              <a:gd name="T59" fmla="*/ 37 h 1225"/>
              <a:gd name="T60" fmla="*/ 4185 w 5263"/>
              <a:gd name="T61" fmla="*/ 9 h 1225"/>
              <a:gd name="T62" fmla="*/ 4342 w 5263"/>
              <a:gd name="T63" fmla="*/ 19 h 1225"/>
              <a:gd name="T64" fmla="*/ 4471 w 5263"/>
              <a:gd name="T65" fmla="*/ 46 h 1225"/>
              <a:gd name="T66" fmla="*/ 4572 w 5263"/>
              <a:gd name="T67" fmla="*/ 110 h 1225"/>
              <a:gd name="T68" fmla="*/ 4673 w 5263"/>
              <a:gd name="T69" fmla="*/ 183 h 1225"/>
              <a:gd name="T70" fmla="*/ 4756 w 5263"/>
              <a:gd name="T71" fmla="*/ 256 h 1225"/>
              <a:gd name="T72" fmla="*/ 4858 w 5263"/>
              <a:gd name="T73" fmla="*/ 329 h 1225"/>
              <a:gd name="T74" fmla="*/ 4978 w 5263"/>
              <a:gd name="T75" fmla="*/ 375 h 1225"/>
              <a:gd name="T76" fmla="*/ 5144 w 5263"/>
              <a:gd name="T77" fmla="*/ 402 h 1225"/>
              <a:gd name="T78" fmla="*/ 5263 w 5263"/>
              <a:gd name="T79" fmla="*/ 841 h 1225"/>
              <a:gd name="T80" fmla="*/ 0 w 5263"/>
              <a:gd name="T81" fmla="*/ 1198 h 1225"/>
              <a:gd name="T82" fmla="*/ 442 w 5263"/>
              <a:gd name="T83" fmla="*/ 92 h 12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225">
                <a:moveTo>
                  <a:pt x="442" y="92"/>
                </a:moveTo>
                <a:lnTo>
                  <a:pt x="452" y="83"/>
                </a:lnTo>
                <a:lnTo>
                  <a:pt x="489" y="73"/>
                </a:lnTo>
                <a:lnTo>
                  <a:pt x="507" y="73"/>
                </a:lnTo>
                <a:lnTo>
                  <a:pt x="544" y="73"/>
                </a:lnTo>
                <a:lnTo>
                  <a:pt x="581" y="73"/>
                </a:lnTo>
                <a:lnTo>
                  <a:pt x="627" y="73"/>
                </a:lnTo>
                <a:lnTo>
                  <a:pt x="664" y="73"/>
                </a:lnTo>
                <a:lnTo>
                  <a:pt x="710" y="83"/>
                </a:lnTo>
                <a:lnTo>
                  <a:pt x="756" y="92"/>
                </a:lnTo>
                <a:lnTo>
                  <a:pt x="811" y="119"/>
                </a:lnTo>
                <a:lnTo>
                  <a:pt x="866" y="128"/>
                </a:lnTo>
                <a:lnTo>
                  <a:pt x="913" y="156"/>
                </a:lnTo>
                <a:lnTo>
                  <a:pt x="977" y="183"/>
                </a:lnTo>
                <a:lnTo>
                  <a:pt x="1032" y="220"/>
                </a:lnTo>
                <a:lnTo>
                  <a:pt x="1152" y="293"/>
                </a:lnTo>
                <a:lnTo>
                  <a:pt x="1263" y="357"/>
                </a:lnTo>
                <a:lnTo>
                  <a:pt x="1364" y="384"/>
                </a:lnTo>
                <a:lnTo>
                  <a:pt x="1447" y="393"/>
                </a:lnTo>
                <a:lnTo>
                  <a:pt x="1521" y="393"/>
                </a:lnTo>
                <a:lnTo>
                  <a:pt x="1585" y="375"/>
                </a:lnTo>
                <a:lnTo>
                  <a:pt x="1650" y="338"/>
                </a:lnTo>
                <a:lnTo>
                  <a:pt x="1715" y="311"/>
                </a:lnTo>
                <a:lnTo>
                  <a:pt x="1770" y="256"/>
                </a:lnTo>
                <a:lnTo>
                  <a:pt x="1825" y="210"/>
                </a:lnTo>
                <a:lnTo>
                  <a:pt x="1890" y="156"/>
                </a:lnTo>
                <a:lnTo>
                  <a:pt x="1963" y="119"/>
                </a:lnTo>
                <a:lnTo>
                  <a:pt x="2037" y="64"/>
                </a:lnTo>
                <a:lnTo>
                  <a:pt x="2129" y="28"/>
                </a:lnTo>
                <a:lnTo>
                  <a:pt x="2222" y="9"/>
                </a:lnTo>
                <a:lnTo>
                  <a:pt x="2341" y="9"/>
                </a:lnTo>
                <a:lnTo>
                  <a:pt x="2415" y="0"/>
                </a:lnTo>
                <a:lnTo>
                  <a:pt x="2498" y="9"/>
                </a:lnTo>
                <a:lnTo>
                  <a:pt x="2563" y="28"/>
                </a:lnTo>
                <a:lnTo>
                  <a:pt x="2636" y="55"/>
                </a:lnTo>
                <a:lnTo>
                  <a:pt x="2682" y="83"/>
                </a:lnTo>
                <a:lnTo>
                  <a:pt x="2738" y="119"/>
                </a:lnTo>
                <a:lnTo>
                  <a:pt x="2793" y="156"/>
                </a:lnTo>
                <a:lnTo>
                  <a:pt x="2848" y="192"/>
                </a:lnTo>
                <a:lnTo>
                  <a:pt x="2894" y="220"/>
                </a:lnTo>
                <a:lnTo>
                  <a:pt x="2950" y="256"/>
                </a:lnTo>
                <a:lnTo>
                  <a:pt x="3005" y="293"/>
                </a:lnTo>
                <a:lnTo>
                  <a:pt x="3060" y="320"/>
                </a:lnTo>
                <a:lnTo>
                  <a:pt x="3116" y="338"/>
                </a:lnTo>
                <a:lnTo>
                  <a:pt x="3180" y="366"/>
                </a:lnTo>
                <a:lnTo>
                  <a:pt x="3245" y="375"/>
                </a:lnTo>
                <a:lnTo>
                  <a:pt x="3328" y="384"/>
                </a:lnTo>
                <a:lnTo>
                  <a:pt x="3401" y="375"/>
                </a:lnTo>
                <a:lnTo>
                  <a:pt x="3466" y="357"/>
                </a:lnTo>
                <a:lnTo>
                  <a:pt x="3530" y="338"/>
                </a:lnTo>
                <a:lnTo>
                  <a:pt x="3586" y="320"/>
                </a:lnTo>
                <a:lnTo>
                  <a:pt x="3632" y="293"/>
                </a:lnTo>
                <a:lnTo>
                  <a:pt x="3687" y="256"/>
                </a:lnTo>
                <a:lnTo>
                  <a:pt x="3733" y="220"/>
                </a:lnTo>
                <a:lnTo>
                  <a:pt x="3789" y="192"/>
                </a:lnTo>
                <a:lnTo>
                  <a:pt x="3825" y="156"/>
                </a:lnTo>
                <a:lnTo>
                  <a:pt x="3872" y="119"/>
                </a:lnTo>
                <a:lnTo>
                  <a:pt x="3927" y="92"/>
                </a:lnTo>
                <a:lnTo>
                  <a:pt x="3982" y="64"/>
                </a:lnTo>
                <a:lnTo>
                  <a:pt x="4047" y="37"/>
                </a:lnTo>
                <a:lnTo>
                  <a:pt x="4111" y="28"/>
                </a:lnTo>
                <a:lnTo>
                  <a:pt x="4185" y="9"/>
                </a:lnTo>
                <a:lnTo>
                  <a:pt x="4268" y="19"/>
                </a:lnTo>
                <a:lnTo>
                  <a:pt x="4342" y="19"/>
                </a:lnTo>
                <a:lnTo>
                  <a:pt x="4415" y="28"/>
                </a:lnTo>
                <a:lnTo>
                  <a:pt x="4471" y="46"/>
                </a:lnTo>
                <a:lnTo>
                  <a:pt x="4526" y="83"/>
                </a:lnTo>
                <a:lnTo>
                  <a:pt x="4572" y="110"/>
                </a:lnTo>
                <a:lnTo>
                  <a:pt x="4627" y="146"/>
                </a:lnTo>
                <a:lnTo>
                  <a:pt x="4673" y="183"/>
                </a:lnTo>
                <a:lnTo>
                  <a:pt x="4720" y="220"/>
                </a:lnTo>
                <a:lnTo>
                  <a:pt x="4756" y="256"/>
                </a:lnTo>
                <a:lnTo>
                  <a:pt x="4812" y="293"/>
                </a:lnTo>
                <a:lnTo>
                  <a:pt x="4858" y="329"/>
                </a:lnTo>
                <a:lnTo>
                  <a:pt x="4922" y="357"/>
                </a:lnTo>
                <a:lnTo>
                  <a:pt x="4978" y="375"/>
                </a:lnTo>
                <a:lnTo>
                  <a:pt x="5061" y="393"/>
                </a:lnTo>
                <a:lnTo>
                  <a:pt x="5144" y="402"/>
                </a:lnTo>
                <a:lnTo>
                  <a:pt x="5245" y="412"/>
                </a:lnTo>
                <a:lnTo>
                  <a:pt x="5263" y="841"/>
                </a:lnTo>
                <a:lnTo>
                  <a:pt x="3106" y="1225"/>
                </a:lnTo>
                <a:lnTo>
                  <a:pt x="0" y="1198"/>
                </a:lnTo>
                <a:lnTo>
                  <a:pt x="46" y="247"/>
                </a:lnTo>
                <a:lnTo>
                  <a:pt x="442" y="92"/>
                </a:lnTo>
                <a:close/>
              </a:path>
            </a:pathLst>
          </a:custGeom>
          <a:solidFill>
            <a:srgbClr val="DBE8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2" name="Freeform 73">
            <a:extLst>
              <a:ext uri="{FF2B5EF4-FFF2-40B4-BE49-F238E27FC236}">
                <a16:creationId xmlns="" xmlns:a16="http://schemas.microsoft.com/office/drawing/2014/main" id="{00000000-0008-0000-0600-00000C000000}"/>
              </a:ext>
            </a:extLst>
          </xdr:cNvPr>
          <xdr:cNvSpPr>
            <a:spLocks/>
          </xdr:cNvSpPr>
        </xdr:nvSpPr>
        <xdr:spPr bwMode="auto">
          <a:xfrm>
            <a:off x="345838" y="123844"/>
            <a:ext cx="422512" cy="83396"/>
          </a:xfrm>
          <a:custGeom>
            <a:avLst/>
            <a:gdLst>
              <a:gd name="T0" fmla="*/ 452 w 5273"/>
              <a:gd name="T1" fmla="*/ 73 h 1042"/>
              <a:gd name="T2" fmla="*/ 507 w 5273"/>
              <a:gd name="T3" fmla="*/ 64 h 1042"/>
              <a:gd name="T4" fmla="*/ 590 w 5273"/>
              <a:gd name="T5" fmla="*/ 64 h 1042"/>
              <a:gd name="T6" fmla="*/ 673 w 5273"/>
              <a:gd name="T7" fmla="*/ 73 h 1042"/>
              <a:gd name="T8" fmla="*/ 765 w 5273"/>
              <a:gd name="T9" fmla="*/ 83 h 1042"/>
              <a:gd name="T10" fmla="*/ 866 w 5273"/>
              <a:gd name="T11" fmla="*/ 119 h 1042"/>
              <a:gd name="T12" fmla="*/ 977 w 5273"/>
              <a:gd name="T13" fmla="*/ 156 h 1042"/>
              <a:gd name="T14" fmla="*/ 1152 w 5273"/>
              <a:gd name="T15" fmla="*/ 256 h 1042"/>
              <a:gd name="T16" fmla="*/ 1364 w 5273"/>
              <a:gd name="T17" fmla="*/ 329 h 1042"/>
              <a:gd name="T18" fmla="*/ 1521 w 5273"/>
              <a:gd name="T19" fmla="*/ 339 h 1042"/>
              <a:gd name="T20" fmla="*/ 1650 w 5273"/>
              <a:gd name="T21" fmla="*/ 302 h 1042"/>
              <a:gd name="T22" fmla="*/ 1770 w 5273"/>
              <a:gd name="T23" fmla="*/ 220 h 1042"/>
              <a:gd name="T24" fmla="*/ 1899 w 5273"/>
              <a:gd name="T25" fmla="*/ 137 h 1042"/>
              <a:gd name="T26" fmla="*/ 2037 w 5273"/>
              <a:gd name="T27" fmla="*/ 64 h 1042"/>
              <a:gd name="T28" fmla="*/ 2222 w 5273"/>
              <a:gd name="T29" fmla="*/ 9 h 1042"/>
              <a:gd name="T30" fmla="*/ 2415 w 5273"/>
              <a:gd name="T31" fmla="*/ 0 h 1042"/>
              <a:gd name="T32" fmla="*/ 2563 w 5273"/>
              <a:gd name="T33" fmla="*/ 28 h 1042"/>
              <a:gd name="T34" fmla="*/ 2682 w 5273"/>
              <a:gd name="T35" fmla="*/ 73 h 1042"/>
              <a:gd name="T36" fmla="*/ 2793 w 5273"/>
              <a:gd name="T37" fmla="*/ 128 h 1042"/>
              <a:gd name="T38" fmla="*/ 2894 w 5273"/>
              <a:gd name="T39" fmla="*/ 192 h 1042"/>
              <a:gd name="T40" fmla="*/ 3005 w 5273"/>
              <a:gd name="T41" fmla="*/ 247 h 1042"/>
              <a:gd name="T42" fmla="*/ 3116 w 5273"/>
              <a:gd name="T43" fmla="*/ 293 h 1042"/>
              <a:gd name="T44" fmla="*/ 3245 w 5273"/>
              <a:gd name="T45" fmla="*/ 329 h 1042"/>
              <a:gd name="T46" fmla="*/ 3401 w 5273"/>
              <a:gd name="T47" fmla="*/ 320 h 1042"/>
              <a:gd name="T48" fmla="*/ 3530 w 5273"/>
              <a:gd name="T49" fmla="*/ 293 h 1042"/>
              <a:gd name="T50" fmla="*/ 3632 w 5273"/>
              <a:gd name="T51" fmla="*/ 247 h 1042"/>
              <a:gd name="T52" fmla="*/ 3733 w 5273"/>
              <a:gd name="T53" fmla="*/ 192 h 1042"/>
              <a:gd name="T54" fmla="*/ 3825 w 5273"/>
              <a:gd name="T55" fmla="*/ 137 h 1042"/>
              <a:gd name="T56" fmla="*/ 3927 w 5273"/>
              <a:gd name="T57" fmla="*/ 83 h 1042"/>
              <a:gd name="T58" fmla="*/ 4047 w 5273"/>
              <a:gd name="T59" fmla="*/ 46 h 1042"/>
              <a:gd name="T60" fmla="*/ 4185 w 5273"/>
              <a:gd name="T61" fmla="*/ 19 h 1042"/>
              <a:gd name="T62" fmla="*/ 4351 w 5273"/>
              <a:gd name="T63" fmla="*/ 19 h 1042"/>
              <a:gd name="T64" fmla="*/ 4480 w 5273"/>
              <a:gd name="T65" fmla="*/ 46 h 1042"/>
              <a:gd name="T66" fmla="*/ 4581 w 5273"/>
              <a:gd name="T67" fmla="*/ 92 h 1042"/>
              <a:gd name="T68" fmla="*/ 4683 w 5273"/>
              <a:gd name="T69" fmla="*/ 156 h 1042"/>
              <a:gd name="T70" fmla="*/ 4766 w 5273"/>
              <a:gd name="T71" fmla="*/ 220 h 1042"/>
              <a:gd name="T72" fmla="*/ 4858 w 5273"/>
              <a:gd name="T73" fmla="*/ 284 h 1042"/>
              <a:gd name="T74" fmla="*/ 4987 w 5273"/>
              <a:gd name="T75" fmla="*/ 320 h 1042"/>
              <a:gd name="T76" fmla="*/ 5153 w 5273"/>
              <a:gd name="T77" fmla="*/ 348 h 1042"/>
              <a:gd name="T78" fmla="*/ 5273 w 5273"/>
              <a:gd name="T79" fmla="*/ 713 h 1042"/>
              <a:gd name="T80" fmla="*/ 0 w 5273"/>
              <a:gd name="T81" fmla="*/ 1015 h 1042"/>
              <a:gd name="T82" fmla="*/ 442 w 5273"/>
              <a:gd name="T83" fmla="*/ 83 h 10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1042">
                <a:moveTo>
                  <a:pt x="442" y="83"/>
                </a:moveTo>
                <a:lnTo>
                  <a:pt x="452" y="73"/>
                </a:lnTo>
                <a:lnTo>
                  <a:pt x="489" y="73"/>
                </a:lnTo>
                <a:lnTo>
                  <a:pt x="507" y="64"/>
                </a:lnTo>
                <a:lnTo>
                  <a:pt x="544" y="64"/>
                </a:lnTo>
                <a:lnTo>
                  <a:pt x="590" y="64"/>
                </a:lnTo>
                <a:lnTo>
                  <a:pt x="627" y="73"/>
                </a:lnTo>
                <a:lnTo>
                  <a:pt x="673" y="73"/>
                </a:lnTo>
                <a:lnTo>
                  <a:pt x="719" y="83"/>
                </a:lnTo>
                <a:lnTo>
                  <a:pt x="765" y="83"/>
                </a:lnTo>
                <a:lnTo>
                  <a:pt x="820" y="110"/>
                </a:lnTo>
                <a:lnTo>
                  <a:pt x="866" y="119"/>
                </a:lnTo>
                <a:lnTo>
                  <a:pt x="922" y="137"/>
                </a:lnTo>
                <a:lnTo>
                  <a:pt x="977" y="156"/>
                </a:lnTo>
                <a:lnTo>
                  <a:pt x="1032" y="192"/>
                </a:lnTo>
                <a:lnTo>
                  <a:pt x="1152" y="256"/>
                </a:lnTo>
                <a:lnTo>
                  <a:pt x="1263" y="302"/>
                </a:lnTo>
                <a:lnTo>
                  <a:pt x="1364" y="329"/>
                </a:lnTo>
                <a:lnTo>
                  <a:pt x="1456" y="348"/>
                </a:lnTo>
                <a:lnTo>
                  <a:pt x="1521" y="339"/>
                </a:lnTo>
                <a:lnTo>
                  <a:pt x="1595" y="329"/>
                </a:lnTo>
                <a:lnTo>
                  <a:pt x="1650" y="302"/>
                </a:lnTo>
                <a:lnTo>
                  <a:pt x="1724" y="265"/>
                </a:lnTo>
                <a:lnTo>
                  <a:pt x="1770" y="220"/>
                </a:lnTo>
                <a:lnTo>
                  <a:pt x="1825" y="183"/>
                </a:lnTo>
                <a:lnTo>
                  <a:pt x="1899" y="137"/>
                </a:lnTo>
                <a:lnTo>
                  <a:pt x="1963" y="101"/>
                </a:lnTo>
                <a:lnTo>
                  <a:pt x="2037" y="64"/>
                </a:lnTo>
                <a:lnTo>
                  <a:pt x="2129" y="37"/>
                </a:lnTo>
                <a:lnTo>
                  <a:pt x="2222" y="9"/>
                </a:lnTo>
                <a:lnTo>
                  <a:pt x="2351" y="9"/>
                </a:lnTo>
                <a:lnTo>
                  <a:pt x="2415" y="0"/>
                </a:lnTo>
                <a:lnTo>
                  <a:pt x="2498" y="19"/>
                </a:lnTo>
                <a:lnTo>
                  <a:pt x="2563" y="28"/>
                </a:lnTo>
                <a:lnTo>
                  <a:pt x="2636" y="55"/>
                </a:lnTo>
                <a:lnTo>
                  <a:pt x="2682" y="73"/>
                </a:lnTo>
                <a:lnTo>
                  <a:pt x="2738" y="110"/>
                </a:lnTo>
                <a:lnTo>
                  <a:pt x="2793" y="128"/>
                </a:lnTo>
                <a:lnTo>
                  <a:pt x="2848" y="174"/>
                </a:lnTo>
                <a:lnTo>
                  <a:pt x="2894" y="192"/>
                </a:lnTo>
                <a:lnTo>
                  <a:pt x="2950" y="220"/>
                </a:lnTo>
                <a:lnTo>
                  <a:pt x="3005" y="247"/>
                </a:lnTo>
                <a:lnTo>
                  <a:pt x="3060" y="284"/>
                </a:lnTo>
                <a:lnTo>
                  <a:pt x="3116" y="293"/>
                </a:lnTo>
                <a:lnTo>
                  <a:pt x="3180" y="311"/>
                </a:lnTo>
                <a:lnTo>
                  <a:pt x="3245" y="329"/>
                </a:lnTo>
                <a:lnTo>
                  <a:pt x="3328" y="329"/>
                </a:lnTo>
                <a:lnTo>
                  <a:pt x="3401" y="320"/>
                </a:lnTo>
                <a:lnTo>
                  <a:pt x="3466" y="311"/>
                </a:lnTo>
                <a:lnTo>
                  <a:pt x="3530" y="293"/>
                </a:lnTo>
                <a:lnTo>
                  <a:pt x="3595" y="275"/>
                </a:lnTo>
                <a:lnTo>
                  <a:pt x="3632" y="247"/>
                </a:lnTo>
                <a:lnTo>
                  <a:pt x="3687" y="220"/>
                </a:lnTo>
                <a:lnTo>
                  <a:pt x="3733" y="192"/>
                </a:lnTo>
                <a:lnTo>
                  <a:pt x="3789" y="174"/>
                </a:lnTo>
                <a:lnTo>
                  <a:pt x="3825" y="137"/>
                </a:lnTo>
                <a:lnTo>
                  <a:pt x="3872" y="110"/>
                </a:lnTo>
                <a:lnTo>
                  <a:pt x="3927" y="83"/>
                </a:lnTo>
                <a:lnTo>
                  <a:pt x="3982" y="64"/>
                </a:lnTo>
                <a:lnTo>
                  <a:pt x="4047" y="46"/>
                </a:lnTo>
                <a:lnTo>
                  <a:pt x="4111" y="28"/>
                </a:lnTo>
                <a:lnTo>
                  <a:pt x="4185" y="19"/>
                </a:lnTo>
                <a:lnTo>
                  <a:pt x="4268" y="19"/>
                </a:lnTo>
                <a:lnTo>
                  <a:pt x="4351" y="19"/>
                </a:lnTo>
                <a:lnTo>
                  <a:pt x="4415" y="37"/>
                </a:lnTo>
                <a:lnTo>
                  <a:pt x="4480" y="46"/>
                </a:lnTo>
                <a:lnTo>
                  <a:pt x="4535" y="73"/>
                </a:lnTo>
                <a:lnTo>
                  <a:pt x="4581" y="92"/>
                </a:lnTo>
                <a:lnTo>
                  <a:pt x="4637" y="128"/>
                </a:lnTo>
                <a:lnTo>
                  <a:pt x="4683" y="156"/>
                </a:lnTo>
                <a:lnTo>
                  <a:pt x="4729" y="192"/>
                </a:lnTo>
                <a:lnTo>
                  <a:pt x="4766" y="220"/>
                </a:lnTo>
                <a:lnTo>
                  <a:pt x="4812" y="256"/>
                </a:lnTo>
                <a:lnTo>
                  <a:pt x="4858" y="284"/>
                </a:lnTo>
                <a:lnTo>
                  <a:pt x="4922" y="302"/>
                </a:lnTo>
                <a:lnTo>
                  <a:pt x="4987" y="320"/>
                </a:lnTo>
                <a:lnTo>
                  <a:pt x="5070" y="339"/>
                </a:lnTo>
                <a:lnTo>
                  <a:pt x="5153" y="348"/>
                </a:lnTo>
                <a:lnTo>
                  <a:pt x="5254" y="357"/>
                </a:lnTo>
                <a:lnTo>
                  <a:pt x="5273" y="713"/>
                </a:lnTo>
                <a:lnTo>
                  <a:pt x="3116" y="1042"/>
                </a:lnTo>
                <a:lnTo>
                  <a:pt x="0" y="1015"/>
                </a:lnTo>
                <a:lnTo>
                  <a:pt x="46" y="211"/>
                </a:lnTo>
                <a:lnTo>
                  <a:pt x="442" y="83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3" name="Freeform 74">
            <a:extLst>
              <a:ext uri="{FF2B5EF4-FFF2-40B4-BE49-F238E27FC236}">
                <a16:creationId xmlns="" xmlns:a16="http://schemas.microsoft.com/office/drawing/2014/main" id="{00000000-0008-0000-0600-00000D000000}"/>
              </a:ext>
            </a:extLst>
          </xdr:cNvPr>
          <xdr:cNvSpPr>
            <a:spLocks/>
          </xdr:cNvSpPr>
        </xdr:nvSpPr>
        <xdr:spPr bwMode="auto">
          <a:xfrm>
            <a:off x="341317" y="133183"/>
            <a:ext cx="422453" cy="67335"/>
          </a:xfrm>
          <a:custGeom>
            <a:avLst/>
            <a:gdLst>
              <a:gd name="T0" fmla="*/ 461 w 5273"/>
              <a:gd name="T1" fmla="*/ 45 h 841"/>
              <a:gd name="T2" fmla="*/ 516 w 5273"/>
              <a:gd name="T3" fmla="*/ 36 h 841"/>
              <a:gd name="T4" fmla="*/ 590 w 5273"/>
              <a:gd name="T5" fmla="*/ 36 h 841"/>
              <a:gd name="T6" fmla="*/ 673 w 5273"/>
              <a:gd name="T7" fmla="*/ 45 h 841"/>
              <a:gd name="T8" fmla="*/ 765 w 5273"/>
              <a:gd name="T9" fmla="*/ 55 h 841"/>
              <a:gd name="T10" fmla="*/ 866 w 5273"/>
              <a:gd name="T11" fmla="*/ 82 h 841"/>
              <a:gd name="T12" fmla="*/ 977 w 5273"/>
              <a:gd name="T13" fmla="*/ 119 h 841"/>
              <a:gd name="T14" fmla="*/ 1161 w 5273"/>
              <a:gd name="T15" fmla="*/ 201 h 841"/>
              <a:gd name="T16" fmla="*/ 1373 w 5273"/>
              <a:gd name="T17" fmla="*/ 256 h 841"/>
              <a:gd name="T18" fmla="*/ 1521 w 5273"/>
              <a:gd name="T19" fmla="*/ 265 h 841"/>
              <a:gd name="T20" fmla="*/ 1650 w 5273"/>
              <a:gd name="T21" fmla="*/ 228 h 841"/>
              <a:gd name="T22" fmla="*/ 1779 w 5273"/>
              <a:gd name="T23" fmla="*/ 173 h 841"/>
              <a:gd name="T24" fmla="*/ 1899 w 5273"/>
              <a:gd name="T25" fmla="*/ 100 h 841"/>
              <a:gd name="T26" fmla="*/ 2046 w 5273"/>
              <a:gd name="T27" fmla="*/ 36 h 841"/>
              <a:gd name="T28" fmla="*/ 2231 w 5273"/>
              <a:gd name="T29" fmla="*/ 0 h 841"/>
              <a:gd name="T30" fmla="*/ 2424 w 5273"/>
              <a:gd name="T31" fmla="*/ 0 h 841"/>
              <a:gd name="T32" fmla="*/ 2572 w 5273"/>
              <a:gd name="T33" fmla="*/ 18 h 841"/>
              <a:gd name="T34" fmla="*/ 2692 w 5273"/>
              <a:gd name="T35" fmla="*/ 55 h 841"/>
              <a:gd name="T36" fmla="*/ 2802 w 5273"/>
              <a:gd name="T37" fmla="*/ 100 h 841"/>
              <a:gd name="T38" fmla="*/ 2904 w 5273"/>
              <a:gd name="T39" fmla="*/ 146 h 841"/>
              <a:gd name="T40" fmla="*/ 3005 w 5273"/>
              <a:gd name="T41" fmla="*/ 192 h 841"/>
              <a:gd name="T42" fmla="*/ 3125 w 5273"/>
              <a:gd name="T43" fmla="*/ 228 h 841"/>
              <a:gd name="T44" fmla="*/ 3254 w 5273"/>
              <a:gd name="T45" fmla="*/ 256 h 841"/>
              <a:gd name="T46" fmla="*/ 3411 w 5273"/>
              <a:gd name="T47" fmla="*/ 247 h 841"/>
              <a:gd name="T48" fmla="*/ 3530 w 5273"/>
              <a:gd name="T49" fmla="*/ 219 h 841"/>
              <a:gd name="T50" fmla="*/ 3641 w 5273"/>
              <a:gd name="T51" fmla="*/ 192 h 841"/>
              <a:gd name="T52" fmla="*/ 3742 w 5273"/>
              <a:gd name="T53" fmla="*/ 146 h 841"/>
              <a:gd name="T54" fmla="*/ 3835 w 5273"/>
              <a:gd name="T55" fmla="*/ 100 h 841"/>
              <a:gd name="T56" fmla="*/ 3936 w 5273"/>
              <a:gd name="T57" fmla="*/ 55 h 841"/>
              <a:gd name="T58" fmla="*/ 4047 w 5273"/>
              <a:gd name="T59" fmla="*/ 18 h 841"/>
              <a:gd name="T60" fmla="*/ 4194 w 5273"/>
              <a:gd name="T61" fmla="*/ 0 h 841"/>
              <a:gd name="T62" fmla="*/ 4351 w 5273"/>
              <a:gd name="T63" fmla="*/ 9 h 841"/>
              <a:gd name="T64" fmla="*/ 4480 w 5273"/>
              <a:gd name="T65" fmla="*/ 27 h 841"/>
              <a:gd name="T66" fmla="*/ 4581 w 5273"/>
              <a:gd name="T67" fmla="*/ 64 h 841"/>
              <a:gd name="T68" fmla="*/ 4683 w 5273"/>
              <a:gd name="T69" fmla="*/ 119 h 841"/>
              <a:gd name="T70" fmla="*/ 4766 w 5273"/>
              <a:gd name="T71" fmla="*/ 173 h 841"/>
              <a:gd name="T72" fmla="*/ 4858 w 5273"/>
              <a:gd name="T73" fmla="*/ 210 h 841"/>
              <a:gd name="T74" fmla="*/ 4987 w 5273"/>
              <a:gd name="T75" fmla="*/ 256 h 841"/>
              <a:gd name="T76" fmla="*/ 5153 w 5273"/>
              <a:gd name="T77" fmla="*/ 274 h 841"/>
              <a:gd name="T78" fmla="*/ 5273 w 5273"/>
              <a:gd name="T79" fmla="*/ 585 h 841"/>
              <a:gd name="T80" fmla="*/ 0 w 5273"/>
              <a:gd name="T81" fmla="*/ 822 h 841"/>
              <a:gd name="T82" fmla="*/ 452 w 5273"/>
              <a:gd name="T83" fmla="*/ 55 h 8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841">
                <a:moveTo>
                  <a:pt x="452" y="55"/>
                </a:moveTo>
                <a:lnTo>
                  <a:pt x="461" y="45"/>
                </a:lnTo>
                <a:lnTo>
                  <a:pt x="498" y="45"/>
                </a:lnTo>
                <a:lnTo>
                  <a:pt x="516" y="36"/>
                </a:lnTo>
                <a:lnTo>
                  <a:pt x="553" y="36"/>
                </a:lnTo>
                <a:lnTo>
                  <a:pt x="590" y="36"/>
                </a:lnTo>
                <a:lnTo>
                  <a:pt x="627" y="45"/>
                </a:lnTo>
                <a:lnTo>
                  <a:pt x="673" y="45"/>
                </a:lnTo>
                <a:lnTo>
                  <a:pt x="719" y="45"/>
                </a:lnTo>
                <a:lnTo>
                  <a:pt x="765" y="55"/>
                </a:lnTo>
                <a:lnTo>
                  <a:pt x="820" y="73"/>
                </a:lnTo>
                <a:lnTo>
                  <a:pt x="866" y="82"/>
                </a:lnTo>
                <a:lnTo>
                  <a:pt x="922" y="100"/>
                </a:lnTo>
                <a:lnTo>
                  <a:pt x="977" y="119"/>
                </a:lnTo>
                <a:lnTo>
                  <a:pt x="1042" y="146"/>
                </a:lnTo>
                <a:lnTo>
                  <a:pt x="1161" y="201"/>
                </a:lnTo>
                <a:lnTo>
                  <a:pt x="1272" y="237"/>
                </a:lnTo>
                <a:lnTo>
                  <a:pt x="1373" y="256"/>
                </a:lnTo>
                <a:lnTo>
                  <a:pt x="1456" y="274"/>
                </a:lnTo>
                <a:lnTo>
                  <a:pt x="1521" y="265"/>
                </a:lnTo>
                <a:lnTo>
                  <a:pt x="1595" y="256"/>
                </a:lnTo>
                <a:lnTo>
                  <a:pt x="1650" y="228"/>
                </a:lnTo>
                <a:lnTo>
                  <a:pt x="1724" y="210"/>
                </a:lnTo>
                <a:lnTo>
                  <a:pt x="1779" y="173"/>
                </a:lnTo>
                <a:lnTo>
                  <a:pt x="1834" y="137"/>
                </a:lnTo>
                <a:lnTo>
                  <a:pt x="1899" y="100"/>
                </a:lnTo>
                <a:lnTo>
                  <a:pt x="1973" y="73"/>
                </a:lnTo>
                <a:lnTo>
                  <a:pt x="2046" y="36"/>
                </a:lnTo>
                <a:lnTo>
                  <a:pt x="2129" y="18"/>
                </a:lnTo>
                <a:lnTo>
                  <a:pt x="2231" y="0"/>
                </a:lnTo>
                <a:lnTo>
                  <a:pt x="2351" y="0"/>
                </a:lnTo>
                <a:lnTo>
                  <a:pt x="2424" y="0"/>
                </a:lnTo>
                <a:lnTo>
                  <a:pt x="2507" y="0"/>
                </a:lnTo>
                <a:lnTo>
                  <a:pt x="2572" y="18"/>
                </a:lnTo>
                <a:lnTo>
                  <a:pt x="2636" y="36"/>
                </a:lnTo>
                <a:lnTo>
                  <a:pt x="2692" y="55"/>
                </a:lnTo>
                <a:lnTo>
                  <a:pt x="2747" y="73"/>
                </a:lnTo>
                <a:lnTo>
                  <a:pt x="2802" y="100"/>
                </a:lnTo>
                <a:lnTo>
                  <a:pt x="2858" y="128"/>
                </a:lnTo>
                <a:lnTo>
                  <a:pt x="2904" y="146"/>
                </a:lnTo>
                <a:lnTo>
                  <a:pt x="2959" y="173"/>
                </a:lnTo>
                <a:lnTo>
                  <a:pt x="3005" y="192"/>
                </a:lnTo>
                <a:lnTo>
                  <a:pt x="3070" y="210"/>
                </a:lnTo>
                <a:lnTo>
                  <a:pt x="3125" y="228"/>
                </a:lnTo>
                <a:lnTo>
                  <a:pt x="3189" y="247"/>
                </a:lnTo>
                <a:lnTo>
                  <a:pt x="3254" y="256"/>
                </a:lnTo>
                <a:lnTo>
                  <a:pt x="3337" y="256"/>
                </a:lnTo>
                <a:lnTo>
                  <a:pt x="3411" y="247"/>
                </a:lnTo>
                <a:lnTo>
                  <a:pt x="3475" y="237"/>
                </a:lnTo>
                <a:lnTo>
                  <a:pt x="3530" y="219"/>
                </a:lnTo>
                <a:lnTo>
                  <a:pt x="3595" y="210"/>
                </a:lnTo>
                <a:lnTo>
                  <a:pt x="3641" y="192"/>
                </a:lnTo>
                <a:lnTo>
                  <a:pt x="3696" y="173"/>
                </a:lnTo>
                <a:lnTo>
                  <a:pt x="3742" y="146"/>
                </a:lnTo>
                <a:lnTo>
                  <a:pt x="3789" y="128"/>
                </a:lnTo>
                <a:lnTo>
                  <a:pt x="3835" y="100"/>
                </a:lnTo>
                <a:lnTo>
                  <a:pt x="3881" y="73"/>
                </a:lnTo>
                <a:lnTo>
                  <a:pt x="3936" y="55"/>
                </a:lnTo>
                <a:lnTo>
                  <a:pt x="3991" y="36"/>
                </a:lnTo>
                <a:lnTo>
                  <a:pt x="4047" y="18"/>
                </a:lnTo>
                <a:lnTo>
                  <a:pt x="4120" y="9"/>
                </a:lnTo>
                <a:lnTo>
                  <a:pt x="4194" y="0"/>
                </a:lnTo>
                <a:lnTo>
                  <a:pt x="4277" y="9"/>
                </a:lnTo>
                <a:lnTo>
                  <a:pt x="4351" y="9"/>
                </a:lnTo>
                <a:lnTo>
                  <a:pt x="4415" y="18"/>
                </a:lnTo>
                <a:lnTo>
                  <a:pt x="4480" y="27"/>
                </a:lnTo>
                <a:lnTo>
                  <a:pt x="4535" y="45"/>
                </a:lnTo>
                <a:lnTo>
                  <a:pt x="4581" y="64"/>
                </a:lnTo>
                <a:lnTo>
                  <a:pt x="4637" y="91"/>
                </a:lnTo>
                <a:lnTo>
                  <a:pt x="4683" y="119"/>
                </a:lnTo>
                <a:lnTo>
                  <a:pt x="4729" y="146"/>
                </a:lnTo>
                <a:lnTo>
                  <a:pt x="4766" y="173"/>
                </a:lnTo>
                <a:lnTo>
                  <a:pt x="4812" y="192"/>
                </a:lnTo>
                <a:lnTo>
                  <a:pt x="4858" y="210"/>
                </a:lnTo>
                <a:lnTo>
                  <a:pt x="4922" y="237"/>
                </a:lnTo>
                <a:lnTo>
                  <a:pt x="4987" y="256"/>
                </a:lnTo>
                <a:lnTo>
                  <a:pt x="5070" y="265"/>
                </a:lnTo>
                <a:lnTo>
                  <a:pt x="5153" y="274"/>
                </a:lnTo>
                <a:lnTo>
                  <a:pt x="5254" y="274"/>
                </a:lnTo>
                <a:lnTo>
                  <a:pt x="5273" y="585"/>
                </a:lnTo>
                <a:lnTo>
                  <a:pt x="3116" y="841"/>
                </a:lnTo>
                <a:lnTo>
                  <a:pt x="0" y="822"/>
                </a:lnTo>
                <a:lnTo>
                  <a:pt x="46" y="164"/>
                </a:lnTo>
                <a:lnTo>
                  <a:pt x="452" y="55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4" name="Freeform 75">
            <a:extLst>
              <a:ext uri="{FF2B5EF4-FFF2-40B4-BE49-F238E27FC236}">
                <a16:creationId xmlns="" xmlns:a16="http://schemas.microsoft.com/office/drawing/2014/main" id="{00000000-0008-0000-0600-00000E000000}"/>
              </a:ext>
            </a:extLst>
          </xdr:cNvPr>
          <xdr:cNvSpPr>
            <a:spLocks/>
          </xdr:cNvSpPr>
        </xdr:nvSpPr>
        <xdr:spPr bwMode="auto">
          <a:xfrm>
            <a:off x="212000" y="94341"/>
            <a:ext cx="176547" cy="184517"/>
          </a:xfrm>
          <a:custGeom>
            <a:avLst/>
            <a:gdLst>
              <a:gd name="T0" fmla="*/ 2203 w 2203"/>
              <a:gd name="T1" fmla="*/ 0 h 2304"/>
              <a:gd name="T2" fmla="*/ 1973 w 2203"/>
              <a:gd name="T3" fmla="*/ 0 h 2304"/>
              <a:gd name="T4" fmla="*/ 1751 w 2203"/>
              <a:gd name="T5" fmla="*/ 37 h 2304"/>
              <a:gd name="T6" fmla="*/ 1539 w 2203"/>
              <a:gd name="T7" fmla="*/ 83 h 2304"/>
              <a:gd name="T8" fmla="*/ 1336 w 2203"/>
              <a:gd name="T9" fmla="*/ 156 h 2304"/>
              <a:gd name="T10" fmla="*/ 1143 w 2203"/>
              <a:gd name="T11" fmla="*/ 220 h 2304"/>
              <a:gd name="T12" fmla="*/ 968 w 2203"/>
              <a:gd name="T13" fmla="*/ 320 h 2304"/>
              <a:gd name="T14" fmla="*/ 802 w 2203"/>
              <a:gd name="T15" fmla="*/ 430 h 2304"/>
              <a:gd name="T16" fmla="*/ 654 w 2203"/>
              <a:gd name="T17" fmla="*/ 549 h 2304"/>
              <a:gd name="T18" fmla="*/ 498 w 2203"/>
              <a:gd name="T19" fmla="*/ 677 h 2304"/>
              <a:gd name="T20" fmla="*/ 378 w 2203"/>
              <a:gd name="T21" fmla="*/ 814 h 2304"/>
              <a:gd name="T22" fmla="*/ 267 w 2203"/>
              <a:gd name="T23" fmla="*/ 960 h 2304"/>
              <a:gd name="T24" fmla="*/ 175 w 2203"/>
              <a:gd name="T25" fmla="*/ 1106 h 2304"/>
              <a:gd name="T26" fmla="*/ 101 w 2203"/>
              <a:gd name="T27" fmla="*/ 1262 h 2304"/>
              <a:gd name="T28" fmla="*/ 46 w 2203"/>
              <a:gd name="T29" fmla="*/ 1426 h 2304"/>
              <a:gd name="T30" fmla="*/ 18 w 2203"/>
              <a:gd name="T31" fmla="*/ 1582 h 2304"/>
              <a:gd name="T32" fmla="*/ 0 w 2203"/>
              <a:gd name="T33" fmla="*/ 1746 h 2304"/>
              <a:gd name="T34" fmla="*/ 18 w 2203"/>
              <a:gd name="T35" fmla="*/ 1746 h 2304"/>
              <a:gd name="T36" fmla="*/ 92 w 2203"/>
              <a:gd name="T37" fmla="*/ 1774 h 2304"/>
              <a:gd name="T38" fmla="*/ 193 w 2203"/>
              <a:gd name="T39" fmla="*/ 1801 h 2304"/>
              <a:gd name="T40" fmla="*/ 341 w 2203"/>
              <a:gd name="T41" fmla="*/ 1838 h 2304"/>
              <a:gd name="T42" fmla="*/ 498 w 2203"/>
              <a:gd name="T43" fmla="*/ 1874 h 2304"/>
              <a:gd name="T44" fmla="*/ 691 w 2203"/>
              <a:gd name="T45" fmla="*/ 1920 h 2304"/>
              <a:gd name="T46" fmla="*/ 885 w 2203"/>
              <a:gd name="T47" fmla="*/ 1975 h 2304"/>
              <a:gd name="T48" fmla="*/ 1097 w 2203"/>
              <a:gd name="T49" fmla="*/ 2030 h 2304"/>
              <a:gd name="T50" fmla="*/ 1300 w 2203"/>
              <a:gd name="T51" fmla="*/ 2075 h 2304"/>
              <a:gd name="T52" fmla="*/ 1502 w 2203"/>
              <a:gd name="T53" fmla="*/ 2130 h 2304"/>
              <a:gd name="T54" fmla="*/ 1678 w 2203"/>
              <a:gd name="T55" fmla="*/ 2176 h 2304"/>
              <a:gd name="T56" fmla="*/ 1853 w 2203"/>
              <a:gd name="T57" fmla="*/ 2212 h 2304"/>
              <a:gd name="T58" fmla="*/ 1982 w 2203"/>
              <a:gd name="T59" fmla="*/ 2249 h 2304"/>
              <a:gd name="T60" fmla="*/ 2102 w 2203"/>
              <a:gd name="T61" fmla="*/ 2276 h 2304"/>
              <a:gd name="T62" fmla="*/ 2166 w 2203"/>
              <a:gd name="T63" fmla="*/ 2295 h 2304"/>
              <a:gd name="T64" fmla="*/ 2203 w 2203"/>
              <a:gd name="T65" fmla="*/ 2304 h 2304"/>
              <a:gd name="T66" fmla="*/ 2203 w 2203"/>
              <a:gd name="T67" fmla="*/ 0 h 2304"/>
              <a:gd name="T68" fmla="*/ 2203 w 2203"/>
              <a:gd name="T69" fmla="*/ 0 h 23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203" h="2304">
                <a:moveTo>
                  <a:pt x="2203" y="0"/>
                </a:moveTo>
                <a:lnTo>
                  <a:pt x="1973" y="0"/>
                </a:lnTo>
                <a:lnTo>
                  <a:pt x="1751" y="37"/>
                </a:lnTo>
                <a:lnTo>
                  <a:pt x="1539" y="83"/>
                </a:lnTo>
                <a:lnTo>
                  <a:pt x="1336" y="156"/>
                </a:lnTo>
                <a:lnTo>
                  <a:pt x="1143" y="220"/>
                </a:lnTo>
                <a:lnTo>
                  <a:pt x="968" y="320"/>
                </a:lnTo>
                <a:lnTo>
                  <a:pt x="802" y="430"/>
                </a:lnTo>
                <a:lnTo>
                  <a:pt x="654" y="549"/>
                </a:lnTo>
                <a:lnTo>
                  <a:pt x="498" y="677"/>
                </a:lnTo>
                <a:lnTo>
                  <a:pt x="378" y="814"/>
                </a:lnTo>
                <a:lnTo>
                  <a:pt x="267" y="960"/>
                </a:lnTo>
                <a:lnTo>
                  <a:pt x="175" y="1106"/>
                </a:lnTo>
                <a:lnTo>
                  <a:pt x="101" y="1262"/>
                </a:lnTo>
                <a:lnTo>
                  <a:pt x="46" y="1426"/>
                </a:lnTo>
                <a:lnTo>
                  <a:pt x="18" y="1582"/>
                </a:lnTo>
                <a:lnTo>
                  <a:pt x="0" y="1746"/>
                </a:lnTo>
                <a:lnTo>
                  <a:pt x="18" y="1746"/>
                </a:lnTo>
                <a:lnTo>
                  <a:pt x="92" y="1774"/>
                </a:lnTo>
                <a:lnTo>
                  <a:pt x="193" y="1801"/>
                </a:lnTo>
                <a:lnTo>
                  <a:pt x="341" y="1838"/>
                </a:lnTo>
                <a:lnTo>
                  <a:pt x="498" y="1874"/>
                </a:lnTo>
                <a:lnTo>
                  <a:pt x="691" y="1920"/>
                </a:lnTo>
                <a:lnTo>
                  <a:pt x="885" y="1975"/>
                </a:lnTo>
                <a:lnTo>
                  <a:pt x="1097" y="2030"/>
                </a:lnTo>
                <a:lnTo>
                  <a:pt x="1300" y="2075"/>
                </a:lnTo>
                <a:lnTo>
                  <a:pt x="1502" y="2130"/>
                </a:lnTo>
                <a:lnTo>
                  <a:pt x="1678" y="2176"/>
                </a:lnTo>
                <a:lnTo>
                  <a:pt x="1853" y="2212"/>
                </a:lnTo>
                <a:lnTo>
                  <a:pt x="1982" y="2249"/>
                </a:lnTo>
                <a:lnTo>
                  <a:pt x="2102" y="2276"/>
                </a:lnTo>
                <a:lnTo>
                  <a:pt x="2166" y="2295"/>
                </a:lnTo>
                <a:lnTo>
                  <a:pt x="2203" y="2304"/>
                </a:lnTo>
                <a:lnTo>
                  <a:pt x="2203" y="0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5" name="Freeform 76">
            <a:extLst>
              <a:ext uri="{FF2B5EF4-FFF2-40B4-BE49-F238E27FC236}">
                <a16:creationId xmlns="" xmlns:a16="http://schemas.microsoft.com/office/drawing/2014/main" id="{00000000-0008-0000-0600-00000F000000}"/>
              </a:ext>
            </a:extLst>
          </xdr:cNvPr>
          <xdr:cNvSpPr>
            <a:spLocks/>
          </xdr:cNvSpPr>
        </xdr:nvSpPr>
        <xdr:spPr bwMode="auto">
          <a:xfrm>
            <a:off x="239422" y="15126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B8B8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6" name="Freeform 77">
            <a:extLst>
              <a:ext uri="{FF2B5EF4-FFF2-40B4-BE49-F238E27FC236}">
                <a16:creationId xmlns="" xmlns:a16="http://schemas.microsoft.com/office/drawing/2014/main" id="{00000000-0008-0000-0600-000010000000}"/>
              </a:ext>
            </a:extLst>
          </xdr:cNvPr>
          <xdr:cNvSpPr>
            <a:spLocks/>
          </xdr:cNvSpPr>
        </xdr:nvSpPr>
        <xdr:spPr bwMode="auto">
          <a:xfrm>
            <a:off x="0" y="163877"/>
            <a:ext cx="762996" cy="236922"/>
          </a:xfrm>
          <a:custGeom>
            <a:avLst/>
            <a:gdLst>
              <a:gd name="T0" fmla="*/ 0 w 9522"/>
              <a:gd name="T1" fmla="*/ 2961 h 2961"/>
              <a:gd name="T2" fmla="*/ 9522 w 9522"/>
              <a:gd name="T3" fmla="*/ 2961 h 2961"/>
              <a:gd name="T4" fmla="*/ 9522 w 9522"/>
              <a:gd name="T5" fmla="*/ 0 h 2961"/>
              <a:gd name="T6" fmla="*/ 0 w 9522"/>
              <a:gd name="T7" fmla="*/ 0 h 2961"/>
              <a:gd name="T8" fmla="*/ 0 w 9522"/>
              <a:gd name="T9" fmla="*/ 2961 h 2961"/>
              <a:gd name="T10" fmla="*/ 0 w 9522"/>
              <a:gd name="T11" fmla="*/ 2961 h 29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9522" h="2961">
                <a:moveTo>
                  <a:pt x="0" y="2961"/>
                </a:moveTo>
                <a:lnTo>
                  <a:pt x="9522" y="2961"/>
                </a:lnTo>
                <a:lnTo>
                  <a:pt x="9522" y="0"/>
                </a:lnTo>
                <a:lnTo>
                  <a:pt x="0" y="0"/>
                </a:lnTo>
                <a:lnTo>
                  <a:pt x="0" y="2961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7" name="Freeform 78">
            <a:extLst>
              <a:ext uri="{FF2B5EF4-FFF2-40B4-BE49-F238E27FC236}">
                <a16:creationId xmlns="" xmlns:a16="http://schemas.microsoft.com/office/drawing/2014/main" id="{00000000-0008-0000-0600-000011000000}"/>
              </a:ext>
            </a:extLst>
          </xdr:cNvPr>
          <xdr:cNvSpPr>
            <a:spLocks/>
          </xdr:cNvSpPr>
        </xdr:nvSpPr>
        <xdr:spPr bwMode="auto">
          <a:xfrm>
            <a:off x="204683" y="140440"/>
            <a:ext cx="92319" cy="124439"/>
          </a:xfrm>
          <a:custGeom>
            <a:avLst/>
            <a:gdLst>
              <a:gd name="T0" fmla="*/ 728 w 1152"/>
              <a:gd name="T1" fmla="*/ 0 h 1554"/>
              <a:gd name="T2" fmla="*/ 709 w 1152"/>
              <a:gd name="T3" fmla="*/ 0 h 1554"/>
              <a:gd name="T4" fmla="*/ 682 w 1152"/>
              <a:gd name="T5" fmla="*/ 28 h 1554"/>
              <a:gd name="T6" fmla="*/ 645 w 1152"/>
              <a:gd name="T7" fmla="*/ 55 h 1554"/>
              <a:gd name="T8" fmla="*/ 608 w 1152"/>
              <a:gd name="T9" fmla="*/ 119 h 1554"/>
              <a:gd name="T10" fmla="*/ 544 w 1152"/>
              <a:gd name="T11" fmla="*/ 174 h 1554"/>
              <a:gd name="T12" fmla="*/ 488 w 1152"/>
              <a:gd name="T13" fmla="*/ 247 h 1554"/>
              <a:gd name="T14" fmla="*/ 415 w 1152"/>
              <a:gd name="T15" fmla="*/ 338 h 1554"/>
              <a:gd name="T16" fmla="*/ 350 w 1152"/>
              <a:gd name="T17" fmla="*/ 448 h 1554"/>
              <a:gd name="T18" fmla="*/ 285 w 1152"/>
              <a:gd name="T19" fmla="*/ 558 h 1554"/>
              <a:gd name="T20" fmla="*/ 221 w 1152"/>
              <a:gd name="T21" fmla="*/ 667 h 1554"/>
              <a:gd name="T22" fmla="*/ 156 w 1152"/>
              <a:gd name="T23" fmla="*/ 795 h 1554"/>
              <a:gd name="T24" fmla="*/ 101 w 1152"/>
              <a:gd name="T25" fmla="*/ 942 h 1554"/>
              <a:gd name="T26" fmla="*/ 46 w 1152"/>
              <a:gd name="T27" fmla="*/ 1070 h 1554"/>
              <a:gd name="T28" fmla="*/ 18 w 1152"/>
              <a:gd name="T29" fmla="*/ 1225 h 1554"/>
              <a:gd name="T30" fmla="*/ 0 w 1152"/>
              <a:gd name="T31" fmla="*/ 1380 h 1554"/>
              <a:gd name="T32" fmla="*/ 0 w 1152"/>
              <a:gd name="T33" fmla="*/ 1554 h 1554"/>
              <a:gd name="T34" fmla="*/ 18 w 1152"/>
              <a:gd name="T35" fmla="*/ 1554 h 1554"/>
              <a:gd name="T36" fmla="*/ 46 w 1152"/>
              <a:gd name="T37" fmla="*/ 1554 h 1554"/>
              <a:gd name="T38" fmla="*/ 92 w 1152"/>
              <a:gd name="T39" fmla="*/ 1554 h 1554"/>
              <a:gd name="T40" fmla="*/ 129 w 1152"/>
              <a:gd name="T41" fmla="*/ 1554 h 1554"/>
              <a:gd name="T42" fmla="*/ 184 w 1152"/>
              <a:gd name="T43" fmla="*/ 1554 h 1554"/>
              <a:gd name="T44" fmla="*/ 239 w 1152"/>
              <a:gd name="T45" fmla="*/ 1554 h 1554"/>
              <a:gd name="T46" fmla="*/ 304 w 1152"/>
              <a:gd name="T47" fmla="*/ 1554 h 1554"/>
              <a:gd name="T48" fmla="*/ 350 w 1152"/>
              <a:gd name="T49" fmla="*/ 1545 h 1554"/>
              <a:gd name="T50" fmla="*/ 415 w 1152"/>
              <a:gd name="T51" fmla="*/ 1536 h 1554"/>
              <a:gd name="T52" fmla="*/ 461 w 1152"/>
              <a:gd name="T53" fmla="*/ 1527 h 1554"/>
              <a:gd name="T54" fmla="*/ 516 w 1152"/>
              <a:gd name="T55" fmla="*/ 1527 h 1554"/>
              <a:gd name="T56" fmla="*/ 553 w 1152"/>
              <a:gd name="T57" fmla="*/ 1527 h 1554"/>
              <a:gd name="T58" fmla="*/ 580 w 1152"/>
              <a:gd name="T59" fmla="*/ 1527 h 1554"/>
              <a:gd name="T60" fmla="*/ 599 w 1152"/>
              <a:gd name="T61" fmla="*/ 1527 h 1554"/>
              <a:gd name="T62" fmla="*/ 617 w 1152"/>
              <a:gd name="T63" fmla="*/ 1527 h 1554"/>
              <a:gd name="T64" fmla="*/ 1152 w 1152"/>
              <a:gd name="T65" fmla="*/ 274 h 1554"/>
              <a:gd name="T66" fmla="*/ 728 w 1152"/>
              <a:gd name="T67" fmla="*/ 274 h 1554"/>
              <a:gd name="T68" fmla="*/ 728 w 1152"/>
              <a:gd name="T69" fmla="*/ 0 h 1554"/>
              <a:gd name="T70" fmla="*/ 728 w 1152"/>
              <a:gd name="T71" fmla="*/ 0 h 15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1152" h="1554">
                <a:moveTo>
                  <a:pt x="728" y="0"/>
                </a:moveTo>
                <a:lnTo>
                  <a:pt x="709" y="0"/>
                </a:lnTo>
                <a:lnTo>
                  <a:pt x="682" y="28"/>
                </a:lnTo>
                <a:lnTo>
                  <a:pt x="645" y="55"/>
                </a:lnTo>
                <a:lnTo>
                  <a:pt x="608" y="119"/>
                </a:lnTo>
                <a:lnTo>
                  <a:pt x="544" y="174"/>
                </a:lnTo>
                <a:lnTo>
                  <a:pt x="488" y="247"/>
                </a:lnTo>
                <a:lnTo>
                  <a:pt x="415" y="338"/>
                </a:lnTo>
                <a:lnTo>
                  <a:pt x="350" y="448"/>
                </a:lnTo>
                <a:lnTo>
                  <a:pt x="285" y="558"/>
                </a:lnTo>
                <a:lnTo>
                  <a:pt x="221" y="667"/>
                </a:lnTo>
                <a:lnTo>
                  <a:pt x="156" y="795"/>
                </a:lnTo>
                <a:lnTo>
                  <a:pt x="101" y="942"/>
                </a:lnTo>
                <a:lnTo>
                  <a:pt x="46" y="1070"/>
                </a:lnTo>
                <a:lnTo>
                  <a:pt x="18" y="1225"/>
                </a:lnTo>
                <a:lnTo>
                  <a:pt x="0" y="1380"/>
                </a:lnTo>
                <a:lnTo>
                  <a:pt x="0" y="1554"/>
                </a:lnTo>
                <a:lnTo>
                  <a:pt x="18" y="1554"/>
                </a:lnTo>
                <a:lnTo>
                  <a:pt x="46" y="1554"/>
                </a:lnTo>
                <a:lnTo>
                  <a:pt x="92" y="1554"/>
                </a:lnTo>
                <a:lnTo>
                  <a:pt x="129" y="1554"/>
                </a:lnTo>
                <a:lnTo>
                  <a:pt x="184" y="1554"/>
                </a:lnTo>
                <a:lnTo>
                  <a:pt x="239" y="1554"/>
                </a:lnTo>
                <a:lnTo>
                  <a:pt x="304" y="1554"/>
                </a:lnTo>
                <a:lnTo>
                  <a:pt x="350" y="1545"/>
                </a:lnTo>
                <a:lnTo>
                  <a:pt x="415" y="1536"/>
                </a:lnTo>
                <a:lnTo>
                  <a:pt x="461" y="1527"/>
                </a:lnTo>
                <a:lnTo>
                  <a:pt x="516" y="1527"/>
                </a:lnTo>
                <a:lnTo>
                  <a:pt x="553" y="1527"/>
                </a:lnTo>
                <a:lnTo>
                  <a:pt x="580" y="1527"/>
                </a:lnTo>
                <a:lnTo>
                  <a:pt x="599" y="1527"/>
                </a:lnTo>
                <a:lnTo>
                  <a:pt x="617" y="1527"/>
                </a:lnTo>
                <a:lnTo>
                  <a:pt x="1152" y="274"/>
                </a:lnTo>
                <a:lnTo>
                  <a:pt x="728" y="274"/>
                </a:lnTo>
                <a:lnTo>
                  <a:pt x="728" y="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8" name="Freeform 79">
            <a:extLst>
              <a:ext uri="{FF2B5EF4-FFF2-40B4-BE49-F238E27FC236}">
                <a16:creationId xmlns="" xmlns:a16="http://schemas.microsoft.com/office/drawing/2014/main" id="{00000000-0008-0000-0600-000012000000}"/>
              </a:ext>
            </a:extLst>
          </xdr:cNvPr>
          <xdr:cNvSpPr>
            <a:spLocks/>
          </xdr:cNvSpPr>
        </xdr:nvSpPr>
        <xdr:spPr bwMode="auto">
          <a:xfrm>
            <a:off x="50383" y="252091"/>
            <a:ext cx="181722" cy="45326"/>
          </a:xfrm>
          <a:custGeom>
            <a:avLst/>
            <a:gdLst>
              <a:gd name="T0" fmla="*/ 2194 w 2268"/>
              <a:gd name="T1" fmla="*/ 64 h 567"/>
              <a:gd name="T2" fmla="*/ 2120 w 2268"/>
              <a:gd name="T3" fmla="*/ 36 h 567"/>
              <a:gd name="T4" fmla="*/ 2028 w 2268"/>
              <a:gd name="T5" fmla="*/ 9 h 567"/>
              <a:gd name="T6" fmla="*/ 1963 w 2268"/>
              <a:gd name="T7" fmla="*/ 9 h 567"/>
              <a:gd name="T8" fmla="*/ 1880 w 2268"/>
              <a:gd name="T9" fmla="*/ 0 h 567"/>
              <a:gd name="T10" fmla="*/ 1807 w 2268"/>
              <a:gd name="T11" fmla="*/ 9 h 567"/>
              <a:gd name="T12" fmla="*/ 1715 w 2268"/>
              <a:gd name="T13" fmla="*/ 36 h 567"/>
              <a:gd name="T14" fmla="*/ 1641 w 2268"/>
              <a:gd name="T15" fmla="*/ 55 h 567"/>
              <a:gd name="T16" fmla="*/ 1576 w 2268"/>
              <a:gd name="T17" fmla="*/ 100 h 567"/>
              <a:gd name="T18" fmla="*/ 1503 w 2268"/>
              <a:gd name="T19" fmla="*/ 164 h 567"/>
              <a:gd name="T20" fmla="*/ 1420 w 2268"/>
              <a:gd name="T21" fmla="*/ 210 h 567"/>
              <a:gd name="T22" fmla="*/ 1318 w 2268"/>
              <a:gd name="T23" fmla="*/ 247 h 567"/>
              <a:gd name="T24" fmla="*/ 1244 w 2268"/>
              <a:gd name="T25" fmla="*/ 256 h 567"/>
              <a:gd name="T26" fmla="*/ 1180 w 2268"/>
              <a:gd name="T27" fmla="*/ 237 h 567"/>
              <a:gd name="T28" fmla="*/ 1106 w 2268"/>
              <a:gd name="T29" fmla="*/ 210 h 567"/>
              <a:gd name="T30" fmla="*/ 1032 w 2268"/>
              <a:gd name="T31" fmla="*/ 183 h 567"/>
              <a:gd name="T32" fmla="*/ 949 w 2268"/>
              <a:gd name="T33" fmla="*/ 155 h 567"/>
              <a:gd name="T34" fmla="*/ 866 w 2268"/>
              <a:gd name="T35" fmla="*/ 128 h 567"/>
              <a:gd name="T36" fmla="*/ 784 w 2268"/>
              <a:gd name="T37" fmla="*/ 119 h 567"/>
              <a:gd name="T38" fmla="*/ 682 w 2268"/>
              <a:gd name="T39" fmla="*/ 119 h 567"/>
              <a:gd name="T40" fmla="*/ 590 w 2268"/>
              <a:gd name="T41" fmla="*/ 137 h 567"/>
              <a:gd name="T42" fmla="*/ 498 w 2268"/>
              <a:gd name="T43" fmla="*/ 164 h 567"/>
              <a:gd name="T44" fmla="*/ 415 w 2268"/>
              <a:gd name="T45" fmla="*/ 210 h 567"/>
              <a:gd name="T46" fmla="*/ 341 w 2268"/>
              <a:gd name="T47" fmla="*/ 237 h 567"/>
              <a:gd name="T48" fmla="*/ 267 w 2268"/>
              <a:gd name="T49" fmla="*/ 274 h 567"/>
              <a:gd name="T50" fmla="*/ 175 w 2268"/>
              <a:gd name="T51" fmla="*/ 329 h 567"/>
              <a:gd name="T52" fmla="*/ 92 w 2268"/>
              <a:gd name="T53" fmla="*/ 347 h 567"/>
              <a:gd name="T54" fmla="*/ 28 w 2268"/>
              <a:gd name="T55" fmla="*/ 356 h 567"/>
              <a:gd name="T56" fmla="*/ 0 w 2268"/>
              <a:gd name="T57" fmla="*/ 356 h 567"/>
              <a:gd name="T58" fmla="*/ 28 w 2268"/>
              <a:gd name="T59" fmla="*/ 365 h 567"/>
              <a:gd name="T60" fmla="*/ 101 w 2268"/>
              <a:gd name="T61" fmla="*/ 384 h 567"/>
              <a:gd name="T62" fmla="*/ 194 w 2268"/>
              <a:gd name="T63" fmla="*/ 402 h 567"/>
              <a:gd name="T64" fmla="*/ 267 w 2268"/>
              <a:gd name="T65" fmla="*/ 402 h 567"/>
              <a:gd name="T66" fmla="*/ 350 w 2268"/>
              <a:gd name="T67" fmla="*/ 402 h 567"/>
              <a:gd name="T68" fmla="*/ 433 w 2268"/>
              <a:gd name="T69" fmla="*/ 384 h 567"/>
              <a:gd name="T70" fmla="*/ 507 w 2268"/>
              <a:gd name="T71" fmla="*/ 356 h 567"/>
              <a:gd name="T72" fmla="*/ 590 w 2268"/>
              <a:gd name="T73" fmla="*/ 338 h 567"/>
              <a:gd name="T74" fmla="*/ 691 w 2268"/>
              <a:gd name="T75" fmla="*/ 329 h 567"/>
              <a:gd name="T76" fmla="*/ 820 w 2268"/>
              <a:gd name="T77" fmla="*/ 356 h 567"/>
              <a:gd name="T78" fmla="*/ 922 w 2268"/>
              <a:gd name="T79" fmla="*/ 402 h 567"/>
              <a:gd name="T80" fmla="*/ 1005 w 2268"/>
              <a:gd name="T81" fmla="*/ 439 h 567"/>
              <a:gd name="T82" fmla="*/ 1078 w 2268"/>
              <a:gd name="T83" fmla="*/ 475 h 567"/>
              <a:gd name="T84" fmla="*/ 1152 w 2268"/>
              <a:gd name="T85" fmla="*/ 512 h 567"/>
              <a:gd name="T86" fmla="*/ 1244 w 2268"/>
              <a:gd name="T87" fmla="*/ 539 h 567"/>
              <a:gd name="T88" fmla="*/ 1364 w 2268"/>
              <a:gd name="T89" fmla="*/ 557 h 567"/>
              <a:gd name="T90" fmla="*/ 1466 w 2268"/>
              <a:gd name="T91" fmla="*/ 539 h 567"/>
              <a:gd name="T92" fmla="*/ 1549 w 2268"/>
              <a:gd name="T93" fmla="*/ 512 h 567"/>
              <a:gd name="T94" fmla="*/ 1650 w 2268"/>
              <a:gd name="T95" fmla="*/ 466 h 567"/>
              <a:gd name="T96" fmla="*/ 1751 w 2268"/>
              <a:gd name="T97" fmla="*/ 429 h 567"/>
              <a:gd name="T98" fmla="*/ 1844 w 2268"/>
              <a:gd name="T99" fmla="*/ 402 h 567"/>
              <a:gd name="T100" fmla="*/ 1963 w 2268"/>
              <a:gd name="T101" fmla="*/ 420 h 567"/>
              <a:gd name="T102" fmla="*/ 2083 w 2268"/>
              <a:gd name="T103" fmla="*/ 457 h 567"/>
              <a:gd name="T104" fmla="*/ 2194 w 2268"/>
              <a:gd name="T105" fmla="*/ 512 h 567"/>
              <a:gd name="T106" fmla="*/ 2258 w 2268"/>
              <a:gd name="T107" fmla="*/ 557 h 567"/>
              <a:gd name="T108" fmla="*/ 2203 w 2268"/>
              <a:gd name="T109" fmla="*/ 73 h 5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268" h="567">
                <a:moveTo>
                  <a:pt x="2203" y="73"/>
                </a:moveTo>
                <a:lnTo>
                  <a:pt x="2194" y="64"/>
                </a:lnTo>
                <a:lnTo>
                  <a:pt x="2166" y="55"/>
                </a:lnTo>
                <a:lnTo>
                  <a:pt x="2120" y="36"/>
                </a:lnTo>
                <a:lnTo>
                  <a:pt x="2074" y="27"/>
                </a:lnTo>
                <a:lnTo>
                  <a:pt x="2028" y="9"/>
                </a:lnTo>
                <a:lnTo>
                  <a:pt x="2000" y="9"/>
                </a:lnTo>
                <a:lnTo>
                  <a:pt x="1963" y="9"/>
                </a:lnTo>
                <a:lnTo>
                  <a:pt x="1927" y="9"/>
                </a:lnTo>
                <a:lnTo>
                  <a:pt x="1880" y="0"/>
                </a:lnTo>
                <a:lnTo>
                  <a:pt x="1844" y="9"/>
                </a:lnTo>
                <a:lnTo>
                  <a:pt x="1807" y="9"/>
                </a:lnTo>
                <a:lnTo>
                  <a:pt x="1770" y="27"/>
                </a:lnTo>
                <a:lnTo>
                  <a:pt x="1715" y="36"/>
                </a:lnTo>
                <a:lnTo>
                  <a:pt x="1678" y="46"/>
                </a:lnTo>
                <a:lnTo>
                  <a:pt x="1641" y="55"/>
                </a:lnTo>
                <a:lnTo>
                  <a:pt x="1622" y="82"/>
                </a:lnTo>
                <a:lnTo>
                  <a:pt x="1576" y="100"/>
                </a:lnTo>
                <a:lnTo>
                  <a:pt x="1539" y="137"/>
                </a:lnTo>
                <a:lnTo>
                  <a:pt x="1503" y="164"/>
                </a:lnTo>
                <a:lnTo>
                  <a:pt x="1466" y="183"/>
                </a:lnTo>
                <a:lnTo>
                  <a:pt x="1420" y="210"/>
                </a:lnTo>
                <a:lnTo>
                  <a:pt x="1355" y="247"/>
                </a:lnTo>
                <a:lnTo>
                  <a:pt x="1318" y="247"/>
                </a:lnTo>
                <a:lnTo>
                  <a:pt x="1281" y="256"/>
                </a:lnTo>
                <a:lnTo>
                  <a:pt x="1244" y="256"/>
                </a:lnTo>
                <a:lnTo>
                  <a:pt x="1217" y="256"/>
                </a:lnTo>
                <a:lnTo>
                  <a:pt x="1180" y="237"/>
                </a:lnTo>
                <a:lnTo>
                  <a:pt x="1134" y="228"/>
                </a:lnTo>
                <a:lnTo>
                  <a:pt x="1106" y="210"/>
                </a:lnTo>
                <a:lnTo>
                  <a:pt x="1069" y="210"/>
                </a:lnTo>
                <a:lnTo>
                  <a:pt x="1032" y="183"/>
                </a:lnTo>
                <a:lnTo>
                  <a:pt x="986" y="174"/>
                </a:lnTo>
                <a:lnTo>
                  <a:pt x="949" y="155"/>
                </a:lnTo>
                <a:lnTo>
                  <a:pt x="913" y="146"/>
                </a:lnTo>
                <a:lnTo>
                  <a:pt x="866" y="128"/>
                </a:lnTo>
                <a:lnTo>
                  <a:pt x="830" y="119"/>
                </a:lnTo>
                <a:lnTo>
                  <a:pt x="784" y="119"/>
                </a:lnTo>
                <a:lnTo>
                  <a:pt x="737" y="119"/>
                </a:lnTo>
                <a:lnTo>
                  <a:pt x="682" y="119"/>
                </a:lnTo>
                <a:lnTo>
                  <a:pt x="636" y="128"/>
                </a:lnTo>
                <a:lnTo>
                  <a:pt x="590" y="137"/>
                </a:lnTo>
                <a:lnTo>
                  <a:pt x="544" y="155"/>
                </a:lnTo>
                <a:lnTo>
                  <a:pt x="498" y="164"/>
                </a:lnTo>
                <a:lnTo>
                  <a:pt x="461" y="183"/>
                </a:lnTo>
                <a:lnTo>
                  <a:pt x="415" y="210"/>
                </a:lnTo>
                <a:lnTo>
                  <a:pt x="378" y="228"/>
                </a:lnTo>
                <a:lnTo>
                  <a:pt x="341" y="237"/>
                </a:lnTo>
                <a:lnTo>
                  <a:pt x="304" y="256"/>
                </a:lnTo>
                <a:lnTo>
                  <a:pt x="267" y="274"/>
                </a:lnTo>
                <a:lnTo>
                  <a:pt x="240" y="292"/>
                </a:lnTo>
                <a:lnTo>
                  <a:pt x="175" y="329"/>
                </a:lnTo>
                <a:lnTo>
                  <a:pt x="138" y="347"/>
                </a:lnTo>
                <a:lnTo>
                  <a:pt x="92" y="347"/>
                </a:lnTo>
                <a:lnTo>
                  <a:pt x="46" y="356"/>
                </a:lnTo>
                <a:lnTo>
                  <a:pt x="28" y="356"/>
                </a:lnTo>
                <a:lnTo>
                  <a:pt x="9" y="356"/>
                </a:lnTo>
                <a:lnTo>
                  <a:pt x="0" y="356"/>
                </a:lnTo>
                <a:lnTo>
                  <a:pt x="9" y="365"/>
                </a:lnTo>
                <a:lnTo>
                  <a:pt x="28" y="365"/>
                </a:lnTo>
                <a:lnTo>
                  <a:pt x="55" y="375"/>
                </a:lnTo>
                <a:lnTo>
                  <a:pt x="101" y="384"/>
                </a:lnTo>
                <a:lnTo>
                  <a:pt x="166" y="402"/>
                </a:lnTo>
                <a:lnTo>
                  <a:pt x="194" y="402"/>
                </a:lnTo>
                <a:lnTo>
                  <a:pt x="230" y="402"/>
                </a:lnTo>
                <a:lnTo>
                  <a:pt x="267" y="402"/>
                </a:lnTo>
                <a:lnTo>
                  <a:pt x="313" y="402"/>
                </a:lnTo>
                <a:lnTo>
                  <a:pt x="350" y="402"/>
                </a:lnTo>
                <a:lnTo>
                  <a:pt x="387" y="402"/>
                </a:lnTo>
                <a:lnTo>
                  <a:pt x="433" y="384"/>
                </a:lnTo>
                <a:lnTo>
                  <a:pt x="479" y="384"/>
                </a:lnTo>
                <a:lnTo>
                  <a:pt x="507" y="356"/>
                </a:lnTo>
                <a:lnTo>
                  <a:pt x="544" y="347"/>
                </a:lnTo>
                <a:lnTo>
                  <a:pt x="590" y="338"/>
                </a:lnTo>
                <a:lnTo>
                  <a:pt x="627" y="338"/>
                </a:lnTo>
                <a:lnTo>
                  <a:pt x="691" y="329"/>
                </a:lnTo>
                <a:lnTo>
                  <a:pt x="765" y="338"/>
                </a:lnTo>
                <a:lnTo>
                  <a:pt x="820" y="356"/>
                </a:lnTo>
                <a:lnTo>
                  <a:pt x="894" y="384"/>
                </a:lnTo>
                <a:lnTo>
                  <a:pt x="922" y="402"/>
                </a:lnTo>
                <a:lnTo>
                  <a:pt x="959" y="420"/>
                </a:lnTo>
                <a:lnTo>
                  <a:pt x="1005" y="439"/>
                </a:lnTo>
                <a:lnTo>
                  <a:pt x="1051" y="466"/>
                </a:lnTo>
                <a:lnTo>
                  <a:pt x="1078" y="475"/>
                </a:lnTo>
                <a:lnTo>
                  <a:pt x="1115" y="493"/>
                </a:lnTo>
                <a:lnTo>
                  <a:pt x="1152" y="512"/>
                </a:lnTo>
                <a:lnTo>
                  <a:pt x="1189" y="521"/>
                </a:lnTo>
                <a:lnTo>
                  <a:pt x="1244" y="539"/>
                </a:lnTo>
                <a:lnTo>
                  <a:pt x="1309" y="557"/>
                </a:lnTo>
                <a:lnTo>
                  <a:pt x="1364" y="557"/>
                </a:lnTo>
                <a:lnTo>
                  <a:pt x="1420" y="557"/>
                </a:lnTo>
                <a:lnTo>
                  <a:pt x="1466" y="539"/>
                </a:lnTo>
                <a:lnTo>
                  <a:pt x="1512" y="539"/>
                </a:lnTo>
                <a:lnTo>
                  <a:pt x="1549" y="512"/>
                </a:lnTo>
                <a:lnTo>
                  <a:pt x="1604" y="484"/>
                </a:lnTo>
                <a:lnTo>
                  <a:pt x="1650" y="466"/>
                </a:lnTo>
                <a:lnTo>
                  <a:pt x="1705" y="448"/>
                </a:lnTo>
                <a:lnTo>
                  <a:pt x="1751" y="429"/>
                </a:lnTo>
                <a:lnTo>
                  <a:pt x="1797" y="420"/>
                </a:lnTo>
                <a:lnTo>
                  <a:pt x="1844" y="402"/>
                </a:lnTo>
                <a:lnTo>
                  <a:pt x="1899" y="411"/>
                </a:lnTo>
                <a:lnTo>
                  <a:pt x="1963" y="420"/>
                </a:lnTo>
                <a:lnTo>
                  <a:pt x="2028" y="439"/>
                </a:lnTo>
                <a:lnTo>
                  <a:pt x="2083" y="457"/>
                </a:lnTo>
                <a:lnTo>
                  <a:pt x="2148" y="484"/>
                </a:lnTo>
                <a:lnTo>
                  <a:pt x="2194" y="512"/>
                </a:lnTo>
                <a:lnTo>
                  <a:pt x="2231" y="539"/>
                </a:lnTo>
                <a:lnTo>
                  <a:pt x="2258" y="557"/>
                </a:lnTo>
                <a:lnTo>
                  <a:pt x="2268" y="567"/>
                </a:lnTo>
                <a:lnTo>
                  <a:pt x="2203" y="73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9" name="Freeform 80">
            <a:extLst>
              <a:ext uri="{FF2B5EF4-FFF2-40B4-BE49-F238E27FC236}">
                <a16:creationId xmlns="" xmlns:a16="http://schemas.microsoft.com/office/drawing/2014/main" id="{00000000-0008-0000-0600-000013000000}"/>
              </a:ext>
            </a:extLst>
          </xdr:cNvPr>
          <xdr:cNvSpPr>
            <a:spLocks/>
          </xdr:cNvSpPr>
        </xdr:nvSpPr>
        <xdr:spPr bwMode="auto">
          <a:xfrm>
            <a:off x="396161" y="267675"/>
            <a:ext cx="172740" cy="170539"/>
          </a:xfrm>
          <a:custGeom>
            <a:avLst/>
            <a:gdLst>
              <a:gd name="T0" fmla="*/ 857 w 2157"/>
              <a:gd name="T1" fmla="*/ 2130 h 2130"/>
              <a:gd name="T2" fmla="*/ 1032 w 2157"/>
              <a:gd name="T3" fmla="*/ 2038 h 2130"/>
              <a:gd name="T4" fmla="*/ 1189 w 2157"/>
              <a:gd name="T5" fmla="*/ 1947 h 2130"/>
              <a:gd name="T6" fmla="*/ 1336 w 2157"/>
              <a:gd name="T7" fmla="*/ 1837 h 2130"/>
              <a:gd name="T8" fmla="*/ 1475 w 2157"/>
              <a:gd name="T9" fmla="*/ 1718 h 2130"/>
              <a:gd name="T10" fmla="*/ 1585 w 2157"/>
              <a:gd name="T11" fmla="*/ 1590 h 2130"/>
              <a:gd name="T12" fmla="*/ 1696 w 2157"/>
              <a:gd name="T13" fmla="*/ 1453 h 2130"/>
              <a:gd name="T14" fmla="*/ 1788 w 2157"/>
              <a:gd name="T15" fmla="*/ 1316 h 2130"/>
              <a:gd name="T16" fmla="*/ 1871 w 2157"/>
              <a:gd name="T17" fmla="*/ 1170 h 2130"/>
              <a:gd name="T18" fmla="*/ 1935 w 2157"/>
              <a:gd name="T19" fmla="*/ 1014 h 2130"/>
              <a:gd name="T20" fmla="*/ 1991 w 2157"/>
              <a:gd name="T21" fmla="*/ 868 h 2130"/>
              <a:gd name="T22" fmla="*/ 2037 w 2157"/>
              <a:gd name="T23" fmla="*/ 713 h 2130"/>
              <a:gd name="T24" fmla="*/ 2083 w 2157"/>
              <a:gd name="T25" fmla="*/ 566 h 2130"/>
              <a:gd name="T26" fmla="*/ 2111 w 2157"/>
              <a:gd name="T27" fmla="*/ 420 h 2130"/>
              <a:gd name="T28" fmla="*/ 2138 w 2157"/>
              <a:gd name="T29" fmla="*/ 274 h 2130"/>
              <a:gd name="T30" fmla="*/ 2147 w 2157"/>
              <a:gd name="T31" fmla="*/ 137 h 2130"/>
              <a:gd name="T32" fmla="*/ 2157 w 2157"/>
              <a:gd name="T33" fmla="*/ 9 h 2130"/>
              <a:gd name="T34" fmla="*/ 2129 w 2157"/>
              <a:gd name="T35" fmla="*/ 0 h 2130"/>
              <a:gd name="T36" fmla="*/ 2064 w 2157"/>
              <a:gd name="T37" fmla="*/ 0 h 2130"/>
              <a:gd name="T38" fmla="*/ 1954 w 2157"/>
              <a:gd name="T39" fmla="*/ 0 h 2130"/>
              <a:gd name="T40" fmla="*/ 1816 w 2157"/>
              <a:gd name="T41" fmla="*/ 0 h 2130"/>
              <a:gd name="T42" fmla="*/ 1650 w 2157"/>
              <a:gd name="T43" fmla="*/ 0 h 2130"/>
              <a:gd name="T44" fmla="*/ 1465 w 2157"/>
              <a:gd name="T45" fmla="*/ 0 h 2130"/>
              <a:gd name="T46" fmla="*/ 1272 w 2157"/>
              <a:gd name="T47" fmla="*/ 0 h 2130"/>
              <a:gd name="T48" fmla="*/ 1078 w 2157"/>
              <a:gd name="T49" fmla="*/ 9 h 2130"/>
              <a:gd name="T50" fmla="*/ 866 w 2157"/>
              <a:gd name="T51" fmla="*/ 9 h 2130"/>
              <a:gd name="T52" fmla="*/ 673 w 2157"/>
              <a:gd name="T53" fmla="*/ 9 h 2130"/>
              <a:gd name="T54" fmla="*/ 497 w 2157"/>
              <a:gd name="T55" fmla="*/ 9 h 2130"/>
              <a:gd name="T56" fmla="*/ 332 w 2157"/>
              <a:gd name="T57" fmla="*/ 18 h 2130"/>
              <a:gd name="T58" fmla="*/ 184 w 2157"/>
              <a:gd name="T59" fmla="*/ 18 h 2130"/>
              <a:gd name="T60" fmla="*/ 83 w 2157"/>
              <a:gd name="T61" fmla="*/ 18 h 2130"/>
              <a:gd name="T62" fmla="*/ 18 w 2157"/>
              <a:gd name="T63" fmla="*/ 18 h 2130"/>
              <a:gd name="T64" fmla="*/ 0 w 2157"/>
              <a:gd name="T65" fmla="*/ 18 h 2130"/>
              <a:gd name="T66" fmla="*/ 857 w 2157"/>
              <a:gd name="T67" fmla="*/ 2130 h 2130"/>
              <a:gd name="T68" fmla="*/ 857 w 2157"/>
              <a:gd name="T69" fmla="*/ 2130 h 21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157" h="2130">
                <a:moveTo>
                  <a:pt x="857" y="2130"/>
                </a:moveTo>
                <a:lnTo>
                  <a:pt x="1032" y="2038"/>
                </a:lnTo>
                <a:lnTo>
                  <a:pt x="1189" y="1947"/>
                </a:lnTo>
                <a:lnTo>
                  <a:pt x="1336" y="1837"/>
                </a:lnTo>
                <a:lnTo>
                  <a:pt x="1475" y="1718"/>
                </a:lnTo>
                <a:lnTo>
                  <a:pt x="1585" y="1590"/>
                </a:lnTo>
                <a:lnTo>
                  <a:pt x="1696" y="1453"/>
                </a:lnTo>
                <a:lnTo>
                  <a:pt x="1788" y="1316"/>
                </a:lnTo>
                <a:lnTo>
                  <a:pt x="1871" y="1170"/>
                </a:lnTo>
                <a:lnTo>
                  <a:pt x="1935" y="1014"/>
                </a:lnTo>
                <a:lnTo>
                  <a:pt x="1991" y="868"/>
                </a:lnTo>
                <a:lnTo>
                  <a:pt x="2037" y="713"/>
                </a:lnTo>
                <a:lnTo>
                  <a:pt x="2083" y="566"/>
                </a:lnTo>
                <a:lnTo>
                  <a:pt x="2111" y="420"/>
                </a:lnTo>
                <a:lnTo>
                  <a:pt x="2138" y="274"/>
                </a:lnTo>
                <a:lnTo>
                  <a:pt x="2147" y="137"/>
                </a:lnTo>
                <a:lnTo>
                  <a:pt x="2157" y="9"/>
                </a:lnTo>
                <a:lnTo>
                  <a:pt x="2129" y="0"/>
                </a:lnTo>
                <a:lnTo>
                  <a:pt x="2064" y="0"/>
                </a:lnTo>
                <a:lnTo>
                  <a:pt x="1954" y="0"/>
                </a:lnTo>
                <a:lnTo>
                  <a:pt x="1816" y="0"/>
                </a:lnTo>
                <a:lnTo>
                  <a:pt x="1650" y="0"/>
                </a:lnTo>
                <a:lnTo>
                  <a:pt x="1465" y="0"/>
                </a:lnTo>
                <a:lnTo>
                  <a:pt x="1272" y="0"/>
                </a:lnTo>
                <a:lnTo>
                  <a:pt x="1078" y="9"/>
                </a:lnTo>
                <a:lnTo>
                  <a:pt x="866" y="9"/>
                </a:lnTo>
                <a:lnTo>
                  <a:pt x="673" y="9"/>
                </a:lnTo>
                <a:lnTo>
                  <a:pt x="497" y="9"/>
                </a:lnTo>
                <a:lnTo>
                  <a:pt x="332" y="18"/>
                </a:lnTo>
                <a:lnTo>
                  <a:pt x="184" y="18"/>
                </a:lnTo>
                <a:lnTo>
                  <a:pt x="83" y="18"/>
                </a:lnTo>
                <a:lnTo>
                  <a:pt x="18" y="18"/>
                </a:lnTo>
                <a:lnTo>
                  <a:pt x="0" y="18"/>
                </a:lnTo>
                <a:lnTo>
                  <a:pt x="857" y="213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0" name="Freeform 81">
            <a:extLst>
              <a:ext uri="{FF2B5EF4-FFF2-40B4-BE49-F238E27FC236}">
                <a16:creationId xmlns="" xmlns:a16="http://schemas.microsoft.com/office/drawing/2014/main" id="{00000000-0008-0000-0600-000014000000}"/>
              </a:ext>
            </a:extLst>
          </xdr:cNvPr>
          <xdr:cNvSpPr>
            <a:spLocks/>
          </xdr:cNvSpPr>
        </xdr:nvSpPr>
        <xdr:spPr bwMode="auto">
          <a:xfrm>
            <a:off x="235555" y="128484"/>
            <a:ext cx="307233" cy="305090"/>
          </a:xfrm>
          <a:custGeom>
            <a:avLst/>
            <a:gdLst>
              <a:gd name="T0" fmla="*/ 2101 w 3834"/>
              <a:gd name="T1" fmla="*/ 3793 h 3812"/>
              <a:gd name="T2" fmla="*/ 2470 w 3834"/>
              <a:gd name="T3" fmla="*/ 3711 h 3812"/>
              <a:gd name="T4" fmla="*/ 2820 w 3834"/>
              <a:gd name="T5" fmla="*/ 3574 h 3812"/>
              <a:gd name="T6" fmla="*/ 3125 w 3834"/>
              <a:gd name="T7" fmla="*/ 3364 h 3812"/>
              <a:gd name="T8" fmla="*/ 3383 w 3834"/>
              <a:gd name="T9" fmla="*/ 3108 h 3812"/>
              <a:gd name="T10" fmla="*/ 3595 w 3834"/>
              <a:gd name="T11" fmla="*/ 2806 h 3812"/>
              <a:gd name="T12" fmla="*/ 3733 w 3834"/>
              <a:gd name="T13" fmla="*/ 2459 h 3812"/>
              <a:gd name="T14" fmla="*/ 3825 w 3834"/>
              <a:gd name="T15" fmla="*/ 2093 h 3812"/>
              <a:gd name="T16" fmla="*/ 3825 w 3834"/>
              <a:gd name="T17" fmla="*/ 1709 h 3812"/>
              <a:gd name="T18" fmla="*/ 3733 w 3834"/>
              <a:gd name="T19" fmla="*/ 1335 h 3812"/>
              <a:gd name="T20" fmla="*/ 3595 w 3834"/>
              <a:gd name="T21" fmla="*/ 987 h 3812"/>
              <a:gd name="T22" fmla="*/ 3383 w 3834"/>
              <a:gd name="T23" fmla="*/ 686 h 3812"/>
              <a:gd name="T24" fmla="*/ 3125 w 3834"/>
              <a:gd name="T25" fmla="*/ 430 h 3812"/>
              <a:gd name="T26" fmla="*/ 2820 w 3834"/>
              <a:gd name="T27" fmla="*/ 229 h 3812"/>
              <a:gd name="T28" fmla="*/ 2470 w 3834"/>
              <a:gd name="T29" fmla="*/ 82 h 3812"/>
              <a:gd name="T30" fmla="*/ 2101 w 3834"/>
              <a:gd name="T31" fmla="*/ 9 h 3812"/>
              <a:gd name="T32" fmla="*/ 1714 w 3834"/>
              <a:gd name="T33" fmla="*/ 9 h 3812"/>
              <a:gd name="T34" fmla="*/ 1336 w 3834"/>
              <a:gd name="T35" fmla="*/ 82 h 3812"/>
              <a:gd name="T36" fmla="*/ 995 w 3834"/>
              <a:gd name="T37" fmla="*/ 229 h 3812"/>
              <a:gd name="T38" fmla="*/ 691 w 3834"/>
              <a:gd name="T39" fmla="*/ 430 h 3812"/>
              <a:gd name="T40" fmla="*/ 424 w 3834"/>
              <a:gd name="T41" fmla="*/ 686 h 3812"/>
              <a:gd name="T42" fmla="*/ 230 w 3834"/>
              <a:gd name="T43" fmla="*/ 987 h 3812"/>
              <a:gd name="T44" fmla="*/ 74 w 3834"/>
              <a:gd name="T45" fmla="*/ 1335 h 3812"/>
              <a:gd name="T46" fmla="*/ 9 w 3834"/>
              <a:gd name="T47" fmla="*/ 1709 h 3812"/>
              <a:gd name="T48" fmla="*/ 9 w 3834"/>
              <a:gd name="T49" fmla="*/ 2093 h 3812"/>
              <a:gd name="T50" fmla="*/ 74 w 3834"/>
              <a:gd name="T51" fmla="*/ 2459 h 3812"/>
              <a:gd name="T52" fmla="*/ 230 w 3834"/>
              <a:gd name="T53" fmla="*/ 2806 h 3812"/>
              <a:gd name="T54" fmla="*/ 424 w 3834"/>
              <a:gd name="T55" fmla="*/ 3108 h 3812"/>
              <a:gd name="T56" fmla="*/ 691 w 3834"/>
              <a:gd name="T57" fmla="*/ 3364 h 3812"/>
              <a:gd name="T58" fmla="*/ 995 w 3834"/>
              <a:gd name="T59" fmla="*/ 3574 h 3812"/>
              <a:gd name="T60" fmla="*/ 1336 w 3834"/>
              <a:gd name="T61" fmla="*/ 3711 h 3812"/>
              <a:gd name="T62" fmla="*/ 1714 w 3834"/>
              <a:gd name="T63" fmla="*/ 3793 h 3812"/>
              <a:gd name="T64" fmla="*/ 1917 w 3834"/>
              <a:gd name="T65" fmla="*/ 3812 h 38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834" h="3812">
                <a:moveTo>
                  <a:pt x="1917" y="3812"/>
                </a:moveTo>
                <a:lnTo>
                  <a:pt x="2101" y="3793"/>
                </a:lnTo>
                <a:lnTo>
                  <a:pt x="2295" y="3766"/>
                </a:lnTo>
                <a:lnTo>
                  <a:pt x="2470" y="3711"/>
                </a:lnTo>
                <a:lnTo>
                  <a:pt x="2655" y="3656"/>
                </a:lnTo>
                <a:lnTo>
                  <a:pt x="2820" y="3574"/>
                </a:lnTo>
                <a:lnTo>
                  <a:pt x="2977" y="3474"/>
                </a:lnTo>
                <a:lnTo>
                  <a:pt x="3125" y="3364"/>
                </a:lnTo>
                <a:lnTo>
                  <a:pt x="3272" y="3245"/>
                </a:lnTo>
                <a:lnTo>
                  <a:pt x="3383" y="3108"/>
                </a:lnTo>
                <a:lnTo>
                  <a:pt x="3493" y="2962"/>
                </a:lnTo>
                <a:lnTo>
                  <a:pt x="3595" y="2806"/>
                </a:lnTo>
                <a:lnTo>
                  <a:pt x="3678" y="2642"/>
                </a:lnTo>
                <a:lnTo>
                  <a:pt x="3733" y="2459"/>
                </a:lnTo>
                <a:lnTo>
                  <a:pt x="3788" y="2276"/>
                </a:lnTo>
                <a:lnTo>
                  <a:pt x="3825" y="2093"/>
                </a:lnTo>
                <a:lnTo>
                  <a:pt x="3834" y="1901"/>
                </a:lnTo>
                <a:lnTo>
                  <a:pt x="3825" y="1709"/>
                </a:lnTo>
                <a:lnTo>
                  <a:pt x="3788" y="1517"/>
                </a:lnTo>
                <a:lnTo>
                  <a:pt x="3733" y="1335"/>
                </a:lnTo>
                <a:lnTo>
                  <a:pt x="3678" y="1161"/>
                </a:lnTo>
                <a:lnTo>
                  <a:pt x="3595" y="987"/>
                </a:lnTo>
                <a:lnTo>
                  <a:pt x="3493" y="841"/>
                </a:lnTo>
                <a:lnTo>
                  <a:pt x="3383" y="686"/>
                </a:lnTo>
                <a:lnTo>
                  <a:pt x="3272" y="558"/>
                </a:lnTo>
                <a:lnTo>
                  <a:pt x="3125" y="430"/>
                </a:lnTo>
                <a:lnTo>
                  <a:pt x="2977" y="320"/>
                </a:lnTo>
                <a:lnTo>
                  <a:pt x="2820" y="229"/>
                </a:lnTo>
                <a:lnTo>
                  <a:pt x="2655" y="146"/>
                </a:lnTo>
                <a:lnTo>
                  <a:pt x="2470" y="82"/>
                </a:lnTo>
                <a:lnTo>
                  <a:pt x="2295" y="37"/>
                </a:lnTo>
                <a:lnTo>
                  <a:pt x="2101" y="9"/>
                </a:lnTo>
                <a:lnTo>
                  <a:pt x="1917" y="0"/>
                </a:lnTo>
                <a:lnTo>
                  <a:pt x="1714" y="9"/>
                </a:lnTo>
                <a:lnTo>
                  <a:pt x="1530" y="37"/>
                </a:lnTo>
                <a:lnTo>
                  <a:pt x="1336" y="82"/>
                </a:lnTo>
                <a:lnTo>
                  <a:pt x="1161" y="146"/>
                </a:lnTo>
                <a:lnTo>
                  <a:pt x="995" y="229"/>
                </a:lnTo>
                <a:lnTo>
                  <a:pt x="839" y="320"/>
                </a:lnTo>
                <a:lnTo>
                  <a:pt x="691" y="430"/>
                </a:lnTo>
                <a:lnTo>
                  <a:pt x="553" y="558"/>
                </a:lnTo>
                <a:lnTo>
                  <a:pt x="424" y="686"/>
                </a:lnTo>
                <a:lnTo>
                  <a:pt x="322" y="841"/>
                </a:lnTo>
                <a:lnTo>
                  <a:pt x="230" y="987"/>
                </a:lnTo>
                <a:lnTo>
                  <a:pt x="147" y="1161"/>
                </a:lnTo>
                <a:lnTo>
                  <a:pt x="74" y="1335"/>
                </a:lnTo>
                <a:lnTo>
                  <a:pt x="37" y="1517"/>
                </a:lnTo>
                <a:lnTo>
                  <a:pt x="9" y="1709"/>
                </a:lnTo>
                <a:lnTo>
                  <a:pt x="0" y="1901"/>
                </a:lnTo>
                <a:lnTo>
                  <a:pt x="9" y="2093"/>
                </a:lnTo>
                <a:lnTo>
                  <a:pt x="37" y="2276"/>
                </a:lnTo>
                <a:lnTo>
                  <a:pt x="74" y="2459"/>
                </a:lnTo>
                <a:lnTo>
                  <a:pt x="147" y="2642"/>
                </a:lnTo>
                <a:lnTo>
                  <a:pt x="230" y="2806"/>
                </a:lnTo>
                <a:lnTo>
                  <a:pt x="322" y="2962"/>
                </a:lnTo>
                <a:lnTo>
                  <a:pt x="424" y="3108"/>
                </a:lnTo>
                <a:lnTo>
                  <a:pt x="553" y="3245"/>
                </a:lnTo>
                <a:lnTo>
                  <a:pt x="691" y="3364"/>
                </a:lnTo>
                <a:lnTo>
                  <a:pt x="839" y="3474"/>
                </a:lnTo>
                <a:lnTo>
                  <a:pt x="995" y="3574"/>
                </a:lnTo>
                <a:lnTo>
                  <a:pt x="1161" y="3656"/>
                </a:lnTo>
                <a:lnTo>
                  <a:pt x="1336" y="3711"/>
                </a:lnTo>
                <a:lnTo>
                  <a:pt x="1530" y="3766"/>
                </a:lnTo>
                <a:lnTo>
                  <a:pt x="1714" y="3793"/>
                </a:lnTo>
                <a:lnTo>
                  <a:pt x="1917" y="3812"/>
                </a:lnTo>
                <a:close/>
              </a:path>
            </a:pathLst>
          </a:custGeom>
          <a:solidFill>
            <a:srgbClr val="E6FF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1" name="Freeform 82">
            <a:extLst>
              <a:ext uri="{FF2B5EF4-FFF2-40B4-BE49-F238E27FC236}">
                <a16:creationId xmlns="" xmlns:a16="http://schemas.microsoft.com/office/drawing/2014/main" id="{00000000-0008-0000-0600-000015000000}"/>
              </a:ext>
            </a:extLst>
          </xdr:cNvPr>
          <xdr:cNvSpPr>
            <a:spLocks/>
          </xdr:cNvSpPr>
        </xdr:nvSpPr>
        <xdr:spPr bwMode="auto">
          <a:xfrm>
            <a:off x="234722" y="128068"/>
            <a:ext cx="258575" cy="256790"/>
          </a:xfrm>
          <a:custGeom>
            <a:avLst/>
            <a:gdLst>
              <a:gd name="T0" fmla="*/ 1779 w 3227"/>
              <a:gd name="T1" fmla="*/ 3190 h 3208"/>
              <a:gd name="T2" fmla="*/ 2083 w 3227"/>
              <a:gd name="T3" fmla="*/ 3126 h 3208"/>
              <a:gd name="T4" fmla="*/ 2369 w 3227"/>
              <a:gd name="T5" fmla="*/ 2998 h 3208"/>
              <a:gd name="T6" fmla="*/ 2627 w 3227"/>
              <a:gd name="T7" fmla="*/ 2825 h 3208"/>
              <a:gd name="T8" fmla="*/ 2849 w 3227"/>
              <a:gd name="T9" fmla="*/ 2605 h 3208"/>
              <a:gd name="T10" fmla="*/ 3024 w 3227"/>
              <a:gd name="T11" fmla="*/ 2349 h 3208"/>
              <a:gd name="T12" fmla="*/ 3153 w 3227"/>
              <a:gd name="T13" fmla="*/ 2066 h 3208"/>
              <a:gd name="T14" fmla="*/ 3217 w 3227"/>
              <a:gd name="T15" fmla="*/ 1755 h 3208"/>
              <a:gd name="T16" fmla="*/ 3217 w 3227"/>
              <a:gd name="T17" fmla="*/ 1426 h 3208"/>
              <a:gd name="T18" fmla="*/ 3153 w 3227"/>
              <a:gd name="T19" fmla="*/ 1124 h 3208"/>
              <a:gd name="T20" fmla="*/ 3024 w 3227"/>
              <a:gd name="T21" fmla="*/ 832 h 3208"/>
              <a:gd name="T22" fmla="*/ 2849 w 3227"/>
              <a:gd name="T23" fmla="*/ 585 h 3208"/>
              <a:gd name="T24" fmla="*/ 2627 w 3227"/>
              <a:gd name="T25" fmla="*/ 366 h 3208"/>
              <a:gd name="T26" fmla="*/ 2369 w 3227"/>
              <a:gd name="T27" fmla="*/ 192 h 3208"/>
              <a:gd name="T28" fmla="*/ 2083 w 3227"/>
              <a:gd name="T29" fmla="*/ 64 h 3208"/>
              <a:gd name="T30" fmla="*/ 1779 w 3227"/>
              <a:gd name="T31" fmla="*/ 9 h 3208"/>
              <a:gd name="T32" fmla="*/ 1438 w 3227"/>
              <a:gd name="T33" fmla="*/ 9 h 3208"/>
              <a:gd name="T34" fmla="*/ 1125 w 3227"/>
              <a:gd name="T35" fmla="*/ 64 h 3208"/>
              <a:gd name="T36" fmla="*/ 839 w 3227"/>
              <a:gd name="T37" fmla="*/ 192 h 3208"/>
              <a:gd name="T38" fmla="*/ 581 w 3227"/>
              <a:gd name="T39" fmla="*/ 366 h 3208"/>
              <a:gd name="T40" fmla="*/ 369 w 3227"/>
              <a:gd name="T41" fmla="*/ 585 h 3208"/>
              <a:gd name="T42" fmla="*/ 194 w 3227"/>
              <a:gd name="T43" fmla="*/ 832 h 3208"/>
              <a:gd name="T44" fmla="*/ 65 w 3227"/>
              <a:gd name="T45" fmla="*/ 1124 h 3208"/>
              <a:gd name="T46" fmla="*/ 9 w 3227"/>
              <a:gd name="T47" fmla="*/ 1426 h 3208"/>
              <a:gd name="T48" fmla="*/ 9 w 3227"/>
              <a:gd name="T49" fmla="*/ 1755 h 3208"/>
              <a:gd name="T50" fmla="*/ 65 w 3227"/>
              <a:gd name="T51" fmla="*/ 2066 h 3208"/>
              <a:gd name="T52" fmla="*/ 194 w 3227"/>
              <a:gd name="T53" fmla="*/ 2349 h 3208"/>
              <a:gd name="T54" fmla="*/ 369 w 3227"/>
              <a:gd name="T55" fmla="*/ 2605 h 3208"/>
              <a:gd name="T56" fmla="*/ 581 w 3227"/>
              <a:gd name="T57" fmla="*/ 2825 h 3208"/>
              <a:gd name="T58" fmla="*/ 839 w 3227"/>
              <a:gd name="T59" fmla="*/ 2998 h 3208"/>
              <a:gd name="T60" fmla="*/ 1125 w 3227"/>
              <a:gd name="T61" fmla="*/ 3126 h 3208"/>
              <a:gd name="T62" fmla="*/ 1438 w 3227"/>
              <a:gd name="T63" fmla="*/ 3190 h 3208"/>
              <a:gd name="T64" fmla="*/ 1613 w 3227"/>
              <a:gd name="T65" fmla="*/ 3208 h 3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227" h="3208">
                <a:moveTo>
                  <a:pt x="1613" y="3208"/>
                </a:moveTo>
                <a:lnTo>
                  <a:pt x="1779" y="3190"/>
                </a:lnTo>
                <a:lnTo>
                  <a:pt x="1936" y="3163"/>
                </a:lnTo>
                <a:lnTo>
                  <a:pt x="2083" y="3126"/>
                </a:lnTo>
                <a:lnTo>
                  <a:pt x="2240" y="3080"/>
                </a:lnTo>
                <a:lnTo>
                  <a:pt x="2369" y="2998"/>
                </a:lnTo>
                <a:lnTo>
                  <a:pt x="2508" y="2925"/>
                </a:lnTo>
                <a:lnTo>
                  <a:pt x="2627" y="2825"/>
                </a:lnTo>
                <a:lnTo>
                  <a:pt x="2756" y="2733"/>
                </a:lnTo>
                <a:lnTo>
                  <a:pt x="2849" y="2605"/>
                </a:lnTo>
                <a:lnTo>
                  <a:pt x="2941" y="2486"/>
                </a:lnTo>
                <a:lnTo>
                  <a:pt x="3024" y="2349"/>
                </a:lnTo>
                <a:lnTo>
                  <a:pt x="3097" y="2221"/>
                </a:lnTo>
                <a:lnTo>
                  <a:pt x="3153" y="2066"/>
                </a:lnTo>
                <a:lnTo>
                  <a:pt x="3190" y="1920"/>
                </a:lnTo>
                <a:lnTo>
                  <a:pt x="3217" y="1755"/>
                </a:lnTo>
                <a:lnTo>
                  <a:pt x="3227" y="1600"/>
                </a:lnTo>
                <a:lnTo>
                  <a:pt x="3217" y="1426"/>
                </a:lnTo>
                <a:lnTo>
                  <a:pt x="3190" y="1280"/>
                </a:lnTo>
                <a:lnTo>
                  <a:pt x="3153" y="1124"/>
                </a:lnTo>
                <a:lnTo>
                  <a:pt x="3097" y="978"/>
                </a:lnTo>
                <a:lnTo>
                  <a:pt x="3024" y="832"/>
                </a:lnTo>
                <a:lnTo>
                  <a:pt x="2941" y="704"/>
                </a:lnTo>
                <a:lnTo>
                  <a:pt x="2849" y="585"/>
                </a:lnTo>
                <a:lnTo>
                  <a:pt x="2756" y="475"/>
                </a:lnTo>
                <a:lnTo>
                  <a:pt x="2627" y="366"/>
                </a:lnTo>
                <a:lnTo>
                  <a:pt x="2508" y="274"/>
                </a:lnTo>
                <a:lnTo>
                  <a:pt x="2369" y="192"/>
                </a:lnTo>
                <a:lnTo>
                  <a:pt x="2240" y="128"/>
                </a:lnTo>
                <a:lnTo>
                  <a:pt x="2083" y="64"/>
                </a:lnTo>
                <a:lnTo>
                  <a:pt x="1936" y="37"/>
                </a:lnTo>
                <a:lnTo>
                  <a:pt x="1779" y="9"/>
                </a:lnTo>
                <a:lnTo>
                  <a:pt x="1613" y="0"/>
                </a:lnTo>
                <a:lnTo>
                  <a:pt x="1438" y="9"/>
                </a:lnTo>
                <a:lnTo>
                  <a:pt x="1282" y="37"/>
                </a:lnTo>
                <a:lnTo>
                  <a:pt x="1125" y="64"/>
                </a:lnTo>
                <a:lnTo>
                  <a:pt x="987" y="128"/>
                </a:lnTo>
                <a:lnTo>
                  <a:pt x="839" y="192"/>
                </a:lnTo>
                <a:lnTo>
                  <a:pt x="710" y="274"/>
                </a:lnTo>
                <a:lnTo>
                  <a:pt x="581" y="366"/>
                </a:lnTo>
                <a:lnTo>
                  <a:pt x="470" y="475"/>
                </a:lnTo>
                <a:lnTo>
                  <a:pt x="369" y="585"/>
                </a:lnTo>
                <a:lnTo>
                  <a:pt x="277" y="704"/>
                </a:lnTo>
                <a:lnTo>
                  <a:pt x="194" y="832"/>
                </a:lnTo>
                <a:lnTo>
                  <a:pt x="129" y="978"/>
                </a:lnTo>
                <a:lnTo>
                  <a:pt x="65" y="1124"/>
                </a:lnTo>
                <a:lnTo>
                  <a:pt x="37" y="1280"/>
                </a:lnTo>
                <a:lnTo>
                  <a:pt x="9" y="1426"/>
                </a:lnTo>
                <a:lnTo>
                  <a:pt x="0" y="1600"/>
                </a:lnTo>
                <a:lnTo>
                  <a:pt x="9" y="1755"/>
                </a:lnTo>
                <a:lnTo>
                  <a:pt x="37" y="1920"/>
                </a:lnTo>
                <a:lnTo>
                  <a:pt x="65" y="2066"/>
                </a:lnTo>
                <a:lnTo>
                  <a:pt x="129" y="2221"/>
                </a:lnTo>
                <a:lnTo>
                  <a:pt x="194" y="2349"/>
                </a:lnTo>
                <a:lnTo>
                  <a:pt x="277" y="2486"/>
                </a:lnTo>
                <a:lnTo>
                  <a:pt x="369" y="2605"/>
                </a:lnTo>
                <a:lnTo>
                  <a:pt x="470" y="2733"/>
                </a:lnTo>
                <a:lnTo>
                  <a:pt x="581" y="2825"/>
                </a:lnTo>
                <a:lnTo>
                  <a:pt x="710" y="2925"/>
                </a:lnTo>
                <a:lnTo>
                  <a:pt x="839" y="2998"/>
                </a:lnTo>
                <a:lnTo>
                  <a:pt x="987" y="3080"/>
                </a:lnTo>
                <a:lnTo>
                  <a:pt x="1125" y="3126"/>
                </a:lnTo>
                <a:lnTo>
                  <a:pt x="1282" y="3163"/>
                </a:lnTo>
                <a:lnTo>
                  <a:pt x="1438" y="3190"/>
                </a:lnTo>
                <a:lnTo>
                  <a:pt x="1613" y="3208"/>
                </a:lnTo>
                <a:close/>
              </a:path>
            </a:pathLst>
          </a:custGeom>
          <a:solidFill>
            <a:srgbClr val="EDFF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2" name="Freeform 83">
            <a:extLst>
              <a:ext uri="{FF2B5EF4-FFF2-40B4-BE49-F238E27FC236}">
                <a16:creationId xmlns="" xmlns:a16="http://schemas.microsoft.com/office/drawing/2014/main" id="{00000000-0008-0000-0600-000016000000}"/>
              </a:ext>
            </a:extLst>
          </xdr:cNvPr>
          <xdr:cNvSpPr>
            <a:spLocks/>
          </xdr:cNvSpPr>
        </xdr:nvSpPr>
        <xdr:spPr bwMode="auto">
          <a:xfrm>
            <a:off x="256315" y="144901"/>
            <a:ext cx="209799" cy="208489"/>
          </a:xfrm>
          <a:custGeom>
            <a:avLst/>
            <a:gdLst>
              <a:gd name="T0" fmla="*/ 1438 w 2618"/>
              <a:gd name="T1" fmla="*/ 2587 h 2605"/>
              <a:gd name="T2" fmla="*/ 1687 w 2618"/>
              <a:gd name="T3" fmla="*/ 2532 h 2605"/>
              <a:gd name="T4" fmla="*/ 1926 w 2618"/>
              <a:gd name="T5" fmla="*/ 2431 h 2605"/>
              <a:gd name="T6" fmla="*/ 2129 w 2618"/>
              <a:gd name="T7" fmla="*/ 2294 h 2605"/>
              <a:gd name="T8" fmla="*/ 2304 w 2618"/>
              <a:gd name="T9" fmla="*/ 2121 h 2605"/>
              <a:gd name="T10" fmla="*/ 2452 w 2618"/>
              <a:gd name="T11" fmla="*/ 1910 h 2605"/>
              <a:gd name="T12" fmla="*/ 2544 w 2618"/>
              <a:gd name="T13" fmla="*/ 1682 h 2605"/>
              <a:gd name="T14" fmla="*/ 2609 w 2618"/>
              <a:gd name="T15" fmla="*/ 1435 h 2605"/>
              <a:gd name="T16" fmla="*/ 2609 w 2618"/>
              <a:gd name="T17" fmla="*/ 1170 h 2605"/>
              <a:gd name="T18" fmla="*/ 2544 w 2618"/>
              <a:gd name="T19" fmla="*/ 914 h 2605"/>
              <a:gd name="T20" fmla="*/ 2452 w 2618"/>
              <a:gd name="T21" fmla="*/ 676 h 2605"/>
              <a:gd name="T22" fmla="*/ 2304 w 2618"/>
              <a:gd name="T23" fmla="*/ 466 h 2605"/>
              <a:gd name="T24" fmla="*/ 2129 w 2618"/>
              <a:gd name="T25" fmla="*/ 292 h 2605"/>
              <a:gd name="T26" fmla="*/ 1926 w 2618"/>
              <a:gd name="T27" fmla="*/ 155 h 2605"/>
              <a:gd name="T28" fmla="*/ 1687 w 2618"/>
              <a:gd name="T29" fmla="*/ 55 h 2605"/>
              <a:gd name="T30" fmla="*/ 1438 w 2618"/>
              <a:gd name="T31" fmla="*/ 0 h 2605"/>
              <a:gd name="T32" fmla="*/ 1171 w 2618"/>
              <a:gd name="T33" fmla="*/ 0 h 2605"/>
              <a:gd name="T34" fmla="*/ 913 w 2618"/>
              <a:gd name="T35" fmla="*/ 55 h 2605"/>
              <a:gd name="T36" fmla="*/ 673 w 2618"/>
              <a:gd name="T37" fmla="*/ 155 h 2605"/>
              <a:gd name="T38" fmla="*/ 470 w 2618"/>
              <a:gd name="T39" fmla="*/ 292 h 2605"/>
              <a:gd name="T40" fmla="*/ 295 w 2618"/>
              <a:gd name="T41" fmla="*/ 466 h 2605"/>
              <a:gd name="T42" fmla="*/ 147 w 2618"/>
              <a:gd name="T43" fmla="*/ 676 h 2605"/>
              <a:gd name="T44" fmla="*/ 55 w 2618"/>
              <a:gd name="T45" fmla="*/ 914 h 2605"/>
              <a:gd name="T46" fmla="*/ 0 w 2618"/>
              <a:gd name="T47" fmla="*/ 1170 h 2605"/>
              <a:gd name="T48" fmla="*/ 0 w 2618"/>
              <a:gd name="T49" fmla="*/ 1435 h 2605"/>
              <a:gd name="T50" fmla="*/ 55 w 2618"/>
              <a:gd name="T51" fmla="*/ 1682 h 2605"/>
              <a:gd name="T52" fmla="*/ 147 w 2618"/>
              <a:gd name="T53" fmla="*/ 1910 h 2605"/>
              <a:gd name="T54" fmla="*/ 295 w 2618"/>
              <a:gd name="T55" fmla="*/ 2121 h 2605"/>
              <a:gd name="T56" fmla="*/ 470 w 2618"/>
              <a:gd name="T57" fmla="*/ 2294 h 2605"/>
              <a:gd name="T58" fmla="*/ 673 w 2618"/>
              <a:gd name="T59" fmla="*/ 2431 h 2605"/>
              <a:gd name="T60" fmla="*/ 913 w 2618"/>
              <a:gd name="T61" fmla="*/ 2532 h 2605"/>
              <a:gd name="T62" fmla="*/ 1171 w 2618"/>
              <a:gd name="T63" fmla="*/ 2587 h 2605"/>
              <a:gd name="T64" fmla="*/ 1309 w 2618"/>
              <a:gd name="T65" fmla="*/ 2605 h 26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618" h="2605">
                <a:moveTo>
                  <a:pt x="1309" y="2605"/>
                </a:moveTo>
                <a:lnTo>
                  <a:pt x="1438" y="2587"/>
                </a:lnTo>
                <a:lnTo>
                  <a:pt x="1567" y="2569"/>
                </a:lnTo>
                <a:lnTo>
                  <a:pt x="1687" y="2532"/>
                </a:lnTo>
                <a:lnTo>
                  <a:pt x="1816" y="2495"/>
                </a:lnTo>
                <a:lnTo>
                  <a:pt x="1926" y="2431"/>
                </a:lnTo>
                <a:lnTo>
                  <a:pt x="2037" y="2367"/>
                </a:lnTo>
                <a:lnTo>
                  <a:pt x="2129" y="2294"/>
                </a:lnTo>
                <a:lnTo>
                  <a:pt x="2231" y="2212"/>
                </a:lnTo>
                <a:lnTo>
                  <a:pt x="2304" y="2121"/>
                </a:lnTo>
                <a:lnTo>
                  <a:pt x="2387" y="2020"/>
                </a:lnTo>
                <a:lnTo>
                  <a:pt x="2452" y="1910"/>
                </a:lnTo>
                <a:lnTo>
                  <a:pt x="2507" y="1801"/>
                </a:lnTo>
                <a:lnTo>
                  <a:pt x="2544" y="1682"/>
                </a:lnTo>
                <a:lnTo>
                  <a:pt x="2581" y="1563"/>
                </a:lnTo>
                <a:lnTo>
                  <a:pt x="2609" y="1435"/>
                </a:lnTo>
                <a:lnTo>
                  <a:pt x="2618" y="1298"/>
                </a:lnTo>
                <a:lnTo>
                  <a:pt x="2609" y="1170"/>
                </a:lnTo>
                <a:lnTo>
                  <a:pt x="2581" y="1042"/>
                </a:lnTo>
                <a:lnTo>
                  <a:pt x="2544" y="914"/>
                </a:lnTo>
                <a:lnTo>
                  <a:pt x="2507" y="795"/>
                </a:lnTo>
                <a:lnTo>
                  <a:pt x="2452" y="676"/>
                </a:lnTo>
                <a:lnTo>
                  <a:pt x="2387" y="567"/>
                </a:lnTo>
                <a:lnTo>
                  <a:pt x="2304" y="466"/>
                </a:lnTo>
                <a:lnTo>
                  <a:pt x="2231" y="384"/>
                </a:lnTo>
                <a:lnTo>
                  <a:pt x="2129" y="292"/>
                </a:lnTo>
                <a:lnTo>
                  <a:pt x="2037" y="219"/>
                </a:lnTo>
                <a:lnTo>
                  <a:pt x="1926" y="155"/>
                </a:lnTo>
                <a:lnTo>
                  <a:pt x="1816" y="101"/>
                </a:lnTo>
                <a:lnTo>
                  <a:pt x="1687" y="55"/>
                </a:lnTo>
                <a:lnTo>
                  <a:pt x="1567" y="27"/>
                </a:lnTo>
                <a:lnTo>
                  <a:pt x="1438" y="0"/>
                </a:lnTo>
                <a:lnTo>
                  <a:pt x="1309" y="0"/>
                </a:lnTo>
                <a:lnTo>
                  <a:pt x="1171" y="0"/>
                </a:lnTo>
                <a:lnTo>
                  <a:pt x="1042" y="27"/>
                </a:lnTo>
                <a:lnTo>
                  <a:pt x="913" y="55"/>
                </a:lnTo>
                <a:lnTo>
                  <a:pt x="802" y="101"/>
                </a:lnTo>
                <a:lnTo>
                  <a:pt x="673" y="155"/>
                </a:lnTo>
                <a:lnTo>
                  <a:pt x="571" y="219"/>
                </a:lnTo>
                <a:lnTo>
                  <a:pt x="470" y="292"/>
                </a:lnTo>
                <a:lnTo>
                  <a:pt x="387" y="384"/>
                </a:lnTo>
                <a:lnTo>
                  <a:pt x="295" y="466"/>
                </a:lnTo>
                <a:lnTo>
                  <a:pt x="212" y="567"/>
                </a:lnTo>
                <a:lnTo>
                  <a:pt x="147" y="676"/>
                </a:lnTo>
                <a:lnTo>
                  <a:pt x="101" y="795"/>
                </a:lnTo>
                <a:lnTo>
                  <a:pt x="55" y="914"/>
                </a:lnTo>
                <a:lnTo>
                  <a:pt x="18" y="1042"/>
                </a:lnTo>
                <a:lnTo>
                  <a:pt x="0" y="1170"/>
                </a:lnTo>
                <a:lnTo>
                  <a:pt x="0" y="1298"/>
                </a:lnTo>
                <a:lnTo>
                  <a:pt x="0" y="1435"/>
                </a:lnTo>
                <a:lnTo>
                  <a:pt x="18" y="1563"/>
                </a:lnTo>
                <a:lnTo>
                  <a:pt x="55" y="1682"/>
                </a:lnTo>
                <a:lnTo>
                  <a:pt x="101" y="1801"/>
                </a:lnTo>
                <a:lnTo>
                  <a:pt x="147" y="1910"/>
                </a:lnTo>
                <a:lnTo>
                  <a:pt x="212" y="2020"/>
                </a:lnTo>
                <a:lnTo>
                  <a:pt x="295" y="2121"/>
                </a:lnTo>
                <a:lnTo>
                  <a:pt x="387" y="2212"/>
                </a:lnTo>
                <a:lnTo>
                  <a:pt x="470" y="2294"/>
                </a:lnTo>
                <a:lnTo>
                  <a:pt x="571" y="2367"/>
                </a:lnTo>
                <a:lnTo>
                  <a:pt x="673" y="2431"/>
                </a:lnTo>
                <a:lnTo>
                  <a:pt x="802" y="2495"/>
                </a:lnTo>
                <a:lnTo>
                  <a:pt x="913" y="2532"/>
                </a:lnTo>
                <a:lnTo>
                  <a:pt x="1042" y="2569"/>
                </a:lnTo>
                <a:lnTo>
                  <a:pt x="1171" y="2587"/>
                </a:lnTo>
                <a:lnTo>
                  <a:pt x="1309" y="2605"/>
                </a:lnTo>
                <a:close/>
              </a:path>
            </a:pathLst>
          </a:custGeom>
          <a:solidFill>
            <a:srgbClr val="F0FCD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3" name="Freeform 84">
            <a:extLst>
              <a:ext uri="{FF2B5EF4-FFF2-40B4-BE49-F238E27FC236}">
                <a16:creationId xmlns="" xmlns:a16="http://schemas.microsoft.com/office/drawing/2014/main" id="{00000000-0008-0000-0600-000017000000}"/>
              </a:ext>
            </a:extLst>
          </xdr:cNvPr>
          <xdr:cNvSpPr>
            <a:spLocks/>
          </xdr:cNvSpPr>
        </xdr:nvSpPr>
        <xdr:spPr bwMode="auto">
          <a:xfrm>
            <a:off x="268093" y="155073"/>
            <a:ext cx="161082" cy="159534"/>
          </a:xfrm>
          <a:custGeom>
            <a:avLst/>
            <a:gdLst>
              <a:gd name="T0" fmla="*/ 1107 w 2010"/>
              <a:gd name="T1" fmla="*/ 1974 h 1993"/>
              <a:gd name="T2" fmla="*/ 1291 w 2010"/>
              <a:gd name="T3" fmla="*/ 1938 h 1993"/>
              <a:gd name="T4" fmla="*/ 1475 w 2010"/>
              <a:gd name="T5" fmla="*/ 1865 h 1993"/>
              <a:gd name="T6" fmla="*/ 1632 w 2010"/>
              <a:gd name="T7" fmla="*/ 1755 h 1993"/>
              <a:gd name="T8" fmla="*/ 1770 w 2010"/>
              <a:gd name="T9" fmla="*/ 1618 h 1993"/>
              <a:gd name="T10" fmla="*/ 1881 w 2010"/>
              <a:gd name="T11" fmla="*/ 1462 h 1993"/>
              <a:gd name="T12" fmla="*/ 1955 w 2010"/>
              <a:gd name="T13" fmla="*/ 1280 h 1993"/>
              <a:gd name="T14" fmla="*/ 2001 w 2010"/>
              <a:gd name="T15" fmla="*/ 1097 h 1993"/>
              <a:gd name="T16" fmla="*/ 2001 w 2010"/>
              <a:gd name="T17" fmla="*/ 887 h 1993"/>
              <a:gd name="T18" fmla="*/ 1955 w 2010"/>
              <a:gd name="T19" fmla="*/ 695 h 1993"/>
              <a:gd name="T20" fmla="*/ 1881 w 2010"/>
              <a:gd name="T21" fmla="*/ 512 h 1993"/>
              <a:gd name="T22" fmla="*/ 1770 w 2010"/>
              <a:gd name="T23" fmla="*/ 356 h 1993"/>
              <a:gd name="T24" fmla="*/ 1632 w 2010"/>
              <a:gd name="T25" fmla="*/ 219 h 1993"/>
              <a:gd name="T26" fmla="*/ 1475 w 2010"/>
              <a:gd name="T27" fmla="*/ 110 h 1993"/>
              <a:gd name="T28" fmla="*/ 1291 w 2010"/>
              <a:gd name="T29" fmla="*/ 46 h 1993"/>
              <a:gd name="T30" fmla="*/ 1107 w 2010"/>
              <a:gd name="T31" fmla="*/ 0 h 1993"/>
              <a:gd name="T32" fmla="*/ 895 w 2010"/>
              <a:gd name="T33" fmla="*/ 0 h 1993"/>
              <a:gd name="T34" fmla="*/ 701 w 2010"/>
              <a:gd name="T35" fmla="*/ 46 h 1993"/>
              <a:gd name="T36" fmla="*/ 517 w 2010"/>
              <a:gd name="T37" fmla="*/ 110 h 1993"/>
              <a:gd name="T38" fmla="*/ 360 w 2010"/>
              <a:gd name="T39" fmla="*/ 219 h 1993"/>
              <a:gd name="T40" fmla="*/ 222 w 2010"/>
              <a:gd name="T41" fmla="*/ 356 h 1993"/>
              <a:gd name="T42" fmla="*/ 111 w 2010"/>
              <a:gd name="T43" fmla="*/ 512 h 1993"/>
              <a:gd name="T44" fmla="*/ 47 w 2010"/>
              <a:gd name="T45" fmla="*/ 695 h 1993"/>
              <a:gd name="T46" fmla="*/ 0 w 2010"/>
              <a:gd name="T47" fmla="*/ 887 h 1993"/>
              <a:gd name="T48" fmla="*/ 0 w 2010"/>
              <a:gd name="T49" fmla="*/ 1097 h 1993"/>
              <a:gd name="T50" fmla="*/ 47 w 2010"/>
              <a:gd name="T51" fmla="*/ 1280 h 1993"/>
              <a:gd name="T52" fmla="*/ 111 w 2010"/>
              <a:gd name="T53" fmla="*/ 1462 h 1993"/>
              <a:gd name="T54" fmla="*/ 222 w 2010"/>
              <a:gd name="T55" fmla="*/ 1618 h 1993"/>
              <a:gd name="T56" fmla="*/ 360 w 2010"/>
              <a:gd name="T57" fmla="*/ 1755 h 1993"/>
              <a:gd name="T58" fmla="*/ 517 w 2010"/>
              <a:gd name="T59" fmla="*/ 1865 h 1993"/>
              <a:gd name="T60" fmla="*/ 701 w 2010"/>
              <a:gd name="T61" fmla="*/ 1938 h 1993"/>
              <a:gd name="T62" fmla="*/ 895 w 2010"/>
              <a:gd name="T63" fmla="*/ 1974 h 1993"/>
              <a:gd name="T64" fmla="*/ 1005 w 2010"/>
              <a:gd name="T65" fmla="*/ 1993 h 19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0" h="1993">
                <a:moveTo>
                  <a:pt x="1005" y="1993"/>
                </a:moveTo>
                <a:lnTo>
                  <a:pt x="1107" y="1974"/>
                </a:lnTo>
                <a:lnTo>
                  <a:pt x="1199" y="1965"/>
                </a:lnTo>
                <a:lnTo>
                  <a:pt x="1291" y="1938"/>
                </a:lnTo>
                <a:lnTo>
                  <a:pt x="1392" y="1910"/>
                </a:lnTo>
                <a:lnTo>
                  <a:pt x="1475" y="1865"/>
                </a:lnTo>
                <a:lnTo>
                  <a:pt x="1558" y="1810"/>
                </a:lnTo>
                <a:lnTo>
                  <a:pt x="1632" y="1755"/>
                </a:lnTo>
                <a:lnTo>
                  <a:pt x="1715" y="1700"/>
                </a:lnTo>
                <a:lnTo>
                  <a:pt x="1770" y="1618"/>
                </a:lnTo>
                <a:lnTo>
                  <a:pt x="1826" y="1545"/>
                </a:lnTo>
                <a:lnTo>
                  <a:pt x="1881" y="1462"/>
                </a:lnTo>
                <a:lnTo>
                  <a:pt x="1927" y="1380"/>
                </a:lnTo>
                <a:lnTo>
                  <a:pt x="1955" y="1280"/>
                </a:lnTo>
                <a:lnTo>
                  <a:pt x="1982" y="1197"/>
                </a:lnTo>
                <a:lnTo>
                  <a:pt x="2001" y="1097"/>
                </a:lnTo>
                <a:lnTo>
                  <a:pt x="2010" y="996"/>
                </a:lnTo>
                <a:lnTo>
                  <a:pt x="2001" y="887"/>
                </a:lnTo>
                <a:lnTo>
                  <a:pt x="1982" y="795"/>
                </a:lnTo>
                <a:lnTo>
                  <a:pt x="1955" y="695"/>
                </a:lnTo>
                <a:lnTo>
                  <a:pt x="1927" y="612"/>
                </a:lnTo>
                <a:lnTo>
                  <a:pt x="1881" y="512"/>
                </a:lnTo>
                <a:lnTo>
                  <a:pt x="1826" y="439"/>
                </a:lnTo>
                <a:lnTo>
                  <a:pt x="1770" y="356"/>
                </a:lnTo>
                <a:lnTo>
                  <a:pt x="1715" y="292"/>
                </a:lnTo>
                <a:lnTo>
                  <a:pt x="1632" y="219"/>
                </a:lnTo>
                <a:lnTo>
                  <a:pt x="1558" y="164"/>
                </a:lnTo>
                <a:lnTo>
                  <a:pt x="1475" y="110"/>
                </a:lnTo>
                <a:lnTo>
                  <a:pt x="1392" y="82"/>
                </a:lnTo>
                <a:lnTo>
                  <a:pt x="1291" y="46"/>
                </a:lnTo>
                <a:lnTo>
                  <a:pt x="1199" y="27"/>
                </a:lnTo>
                <a:lnTo>
                  <a:pt x="1107" y="0"/>
                </a:lnTo>
                <a:lnTo>
                  <a:pt x="1005" y="0"/>
                </a:lnTo>
                <a:lnTo>
                  <a:pt x="895" y="0"/>
                </a:lnTo>
                <a:lnTo>
                  <a:pt x="802" y="27"/>
                </a:lnTo>
                <a:lnTo>
                  <a:pt x="701" y="46"/>
                </a:lnTo>
                <a:lnTo>
                  <a:pt x="609" y="82"/>
                </a:lnTo>
                <a:lnTo>
                  <a:pt x="517" y="110"/>
                </a:lnTo>
                <a:lnTo>
                  <a:pt x="434" y="164"/>
                </a:lnTo>
                <a:lnTo>
                  <a:pt x="360" y="219"/>
                </a:lnTo>
                <a:lnTo>
                  <a:pt x="295" y="292"/>
                </a:lnTo>
                <a:lnTo>
                  <a:pt x="222" y="356"/>
                </a:lnTo>
                <a:lnTo>
                  <a:pt x="166" y="439"/>
                </a:lnTo>
                <a:lnTo>
                  <a:pt x="111" y="512"/>
                </a:lnTo>
                <a:lnTo>
                  <a:pt x="83" y="612"/>
                </a:lnTo>
                <a:lnTo>
                  <a:pt x="47" y="695"/>
                </a:lnTo>
                <a:lnTo>
                  <a:pt x="19" y="795"/>
                </a:lnTo>
                <a:lnTo>
                  <a:pt x="0" y="887"/>
                </a:lnTo>
                <a:lnTo>
                  <a:pt x="0" y="996"/>
                </a:lnTo>
                <a:lnTo>
                  <a:pt x="0" y="1097"/>
                </a:lnTo>
                <a:lnTo>
                  <a:pt x="19" y="1197"/>
                </a:lnTo>
                <a:lnTo>
                  <a:pt x="47" y="1280"/>
                </a:lnTo>
                <a:lnTo>
                  <a:pt x="83" y="1380"/>
                </a:lnTo>
                <a:lnTo>
                  <a:pt x="111" y="1462"/>
                </a:lnTo>
                <a:lnTo>
                  <a:pt x="166" y="1545"/>
                </a:lnTo>
                <a:lnTo>
                  <a:pt x="222" y="1618"/>
                </a:lnTo>
                <a:lnTo>
                  <a:pt x="295" y="1700"/>
                </a:lnTo>
                <a:lnTo>
                  <a:pt x="360" y="1755"/>
                </a:lnTo>
                <a:lnTo>
                  <a:pt x="434" y="1810"/>
                </a:lnTo>
                <a:lnTo>
                  <a:pt x="517" y="1865"/>
                </a:lnTo>
                <a:lnTo>
                  <a:pt x="609" y="1910"/>
                </a:lnTo>
                <a:lnTo>
                  <a:pt x="701" y="1938"/>
                </a:lnTo>
                <a:lnTo>
                  <a:pt x="802" y="1965"/>
                </a:lnTo>
                <a:lnTo>
                  <a:pt x="895" y="1974"/>
                </a:lnTo>
                <a:lnTo>
                  <a:pt x="1005" y="1993"/>
                </a:lnTo>
                <a:close/>
              </a:path>
            </a:pathLst>
          </a:custGeom>
          <a:solidFill>
            <a:srgbClr val="F5FA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4" name="Freeform 85">
            <a:extLst>
              <a:ext uri="{FF2B5EF4-FFF2-40B4-BE49-F238E27FC236}">
                <a16:creationId xmlns="" xmlns:a16="http://schemas.microsoft.com/office/drawing/2014/main" id="{00000000-0008-0000-0600-000018000000}"/>
              </a:ext>
            </a:extLst>
          </xdr:cNvPr>
          <xdr:cNvSpPr>
            <a:spLocks/>
          </xdr:cNvSpPr>
        </xdr:nvSpPr>
        <xdr:spPr bwMode="auto">
          <a:xfrm>
            <a:off x="524467" y="232758"/>
            <a:ext cx="239303" cy="8744"/>
          </a:xfrm>
          <a:custGeom>
            <a:avLst/>
            <a:gdLst>
              <a:gd name="T0" fmla="*/ 0 w 2987"/>
              <a:gd name="T1" fmla="*/ 110 h 110"/>
              <a:gd name="T2" fmla="*/ 2987 w 2987"/>
              <a:gd name="T3" fmla="*/ 110 h 110"/>
              <a:gd name="T4" fmla="*/ 2987 w 2987"/>
              <a:gd name="T5" fmla="*/ 0 h 110"/>
              <a:gd name="T6" fmla="*/ 0 w 2987"/>
              <a:gd name="T7" fmla="*/ 0 h 110"/>
              <a:gd name="T8" fmla="*/ 0 w 2987"/>
              <a:gd name="T9" fmla="*/ 110 h 110"/>
              <a:gd name="T10" fmla="*/ 0 w 2987"/>
              <a:gd name="T11" fmla="*/ 110 h 1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987" h="110">
                <a:moveTo>
                  <a:pt x="0" y="110"/>
                </a:moveTo>
                <a:lnTo>
                  <a:pt x="2987" y="110"/>
                </a:lnTo>
                <a:lnTo>
                  <a:pt x="2987" y="0"/>
                </a:lnTo>
                <a:lnTo>
                  <a:pt x="0" y="0"/>
                </a:lnTo>
                <a:lnTo>
                  <a:pt x="0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5" name="Freeform 86">
            <a:extLst>
              <a:ext uri="{FF2B5EF4-FFF2-40B4-BE49-F238E27FC236}">
                <a16:creationId xmlns="" xmlns:a16="http://schemas.microsoft.com/office/drawing/2014/main" id="{00000000-0008-0000-0600-000019000000}"/>
              </a:ext>
            </a:extLst>
          </xdr:cNvPr>
          <xdr:cNvSpPr>
            <a:spLocks/>
          </xdr:cNvSpPr>
        </xdr:nvSpPr>
        <xdr:spPr bwMode="auto">
          <a:xfrm>
            <a:off x="288139" y="167029"/>
            <a:ext cx="111532" cy="111234"/>
          </a:xfrm>
          <a:custGeom>
            <a:avLst/>
            <a:gdLst>
              <a:gd name="T0" fmla="*/ 756 w 1392"/>
              <a:gd name="T1" fmla="*/ 1380 h 1389"/>
              <a:gd name="T2" fmla="*/ 894 w 1392"/>
              <a:gd name="T3" fmla="*/ 1353 h 1389"/>
              <a:gd name="T4" fmla="*/ 1023 w 1392"/>
              <a:gd name="T5" fmla="*/ 1298 h 1389"/>
              <a:gd name="T6" fmla="*/ 1134 w 1392"/>
              <a:gd name="T7" fmla="*/ 1216 h 1389"/>
              <a:gd name="T8" fmla="*/ 1226 w 1392"/>
              <a:gd name="T9" fmla="*/ 1133 h 1389"/>
              <a:gd name="T10" fmla="*/ 1300 w 1392"/>
              <a:gd name="T11" fmla="*/ 1024 h 1389"/>
              <a:gd name="T12" fmla="*/ 1355 w 1392"/>
              <a:gd name="T13" fmla="*/ 896 h 1389"/>
              <a:gd name="T14" fmla="*/ 1383 w 1392"/>
              <a:gd name="T15" fmla="*/ 759 h 1389"/>
              <a:gd name="T16" fmla="*/ 1383 w 1392"/>
              <a:gd name="T17" fmla="*/ 612 h 1389"/>
              <a:gd name="T18" fmla="*/ 1355 w 1392"/>
              <a:gd name="T19" fmla="*/ 475 h 1389"/>
              <a:gd name="T20" fmla="*/ 1300 w 1392"/>
              <a:gd name="T21" fmla="*/ 356 h 1389"/>
              <a:gd name="T22" fmla="*/ 1226 w 1392"/>
              <a:gd name="T23" fmla="*/ 247 h 1389"/>
              <a:gd name="T24" fmla="*/ 1134 w 1392"/>
              <a:gd name="T25" fmla="*/ 155 h 1389"/>
              <a:gd name="T26" fmla="*/ 1023 w 1392"/>
              <a:gd name="T27" fmla="*/ 73 h 1389"/>
              <a:gd name="T28" fmla="*/ 894 w 1392"/>
              <a:gd name="T29" fmla="*/ 27 h 1389"/>
              <a:gd name="T30" fmla="*/ 756 w 1392"/>
              <a:gd name="T31" fmla="*/ 0 h 1389"/>
              <a:gd name="T32" fmla="*/ 618 w 1392"/>
              <a:gd name="T33" fmla="*/ 0 h 1389"/>
              <a:gd name="T34" fmla="*/ 470 w 1392"/>
              <a:gd name="T35" fmla="*/ 27 h 1389"/>
              <a:gd name="T36" fmla="*/ 360 w 1392"/>
              <a:gd name="T37" fmla="*/ 73 h 1389"/>
              <a:gd name="T38" fmla="*/ 240 w 1392"/>
              <a:gd name="T39" fmla="*/ 155 h 1389"/>
              <a:gd name="T40" fmla="*/ 148 w 1392"/>
              <a:gd name="T41" fmla="*/ 247 h 1389"/>
              <a:gd name="T42" fmla="*/ 74 w 1392"/>
              <a:gd name="T43" fmla="*/ 356 h 1389"/>
              <a:gd name="T44" fmla="*/ 28 w 1392"/>
              <a:gd name="T45" fmla="*/ 475 h 1389"/>
              <a:gd name="T46" fmla="*/ 0 w 1392"/>
              <a:gd name="T47" fmla="*/ 612 h 1389"/>
              <a:gd name="T48" fmla="*/ 0 w 1392"/>
              <a:gd name="T49" fmla="*/ 759 h 1389"/>
              <a:gd name="T50" fmla="*/ 28 w 1392"/>
              <a:gd name="T51" fmla="*/ 896 h 1389"/>
              <a:gd name="T52" fmla="*/ 74 w 1392"/>
              <a:gd name="T53" fmla="*/ 1024 h 1389"/>
              <a:gd name="T54" fmla="*/ 148 w 1392"/>
              <a:gd name="T55" fmla="*/ 1133 h 1389"/>
              <a:gd name="T56" fmla="*/ 240 w 1392"/>
              <a:gd name="T57" fmla="*/ 1216 h 1389"/>
              <a:gd name="T58" fmla="*/ 360 w 1392"/>
              <a:gd name="T59" fmla="*/ 1298 h 1389"/>
              <a:gd name="T60" fmla="*/ 470 w 1392"/>
              <a:gd name="T61" fmla="*/ 1353 h 1389"/>
              <a:gd name="T62" fmla="*/ 618 w 1392"/>
              <a:gd name="T63" fmla="*/ 1380 h 1389"/>
              <a:gd name="T64" fmla="*/ 691 w 1392"/>
              <a:gd name="T65" fmla="*/ 1389 h 13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392" h="1389">
                <a:moveTo>
                  <a:pt x="691" y="1389"/>
                </a:moveTo>
                <a:lnTo>
                  <a:pt x="756" y="1380"/>
                </a:lnTo>
                <a:lnTo>
                  <a:pt x="830" y="1371"/>
                </a:lnTo>
                <a:lnTo>
                  <a:pt x="894" y="1353"/>
                </a:lnTo>
                <a:lnTo>
                  <a:pt x="968" y="1325"/>
                </a:lnTo>
                <a:lnTo>
                  <a:pt x="1023" y="1298"/>
                </a:lnTo>
                <a:lnTo>
                  <a:pt x="1079" y="1261"/>
                </a:lnTo>
                <a:lnTo>
                  <a:pt x="1134" y="1216"/>
                </a:lnTo>
                <a:lnTo>
                  <a:pt x="1189" y="1179"/>
                </a:lnTo>
                <a:lnTo>
                  <a:pt x="1226" y="1133"/>
                </a:lnTo>
                <a:lnTo>
                  <a:pt x="1272" y="1079"/>
                </a:lnTo>
                <a:lnTo>
                  <a:pt x="1300" y="1024"/>
                </a:lnTo>
                <a:lnTo>
                  <a:pt x="1337" y="960"/>
                </a:lnTo>
                <a:lnTo>
                  <a:pt x="1355" y="896"/>
                </a:lnTo>
                <a:lnTo>
                  <a:pt x="1374" y="832"/>
                </a:lnTo>
                <a:lnTo>
                  <a:pt x="1383" y="759"/>
                </a:lnTo>
                <a:lnTo>
                  <a:pt x="1392" y="695"/>
                </a:lnTo>
                <a:lnTo>
                  <a:pt x="1383" y="612"/>
                </a:lnTo>
                <a:lnTo>
                  <a:pt x="1374" y="548"/>
                </a:lnTo>
                <a:lnTo>
                  <a:pt x="1355" y="475"/>
                </a:lnTo>
                <a:lnTo>
                  <a:pt x="1337" y="420"/>
                </a:lnTo>
                <a:lnTo>
                  <a:pt x="1300" y="356"/>
                </a:lnTo>
                <a:lnTo>
                  <a:pt x="1272" y="302"/>
                </a:lnTo>
                <a:lnTo>
                  <a:pt x="1226" y="247"/>
                </a:lnTo>
                <a:lnTo>
                  <a:pt x="1189" y="201"/>
                </a:lnTo>
                <a:lnTo>
                  <a:pt x="1134" y="155"/>
                </a:lnTo>
                <a:lnTo>
                  <a:pt x="1079" y="110"/>
                </a:lnTo>
                <a:lnTo>
                  <a:pt x="1023" y="73"/>
                </a:lnTo>
                <a:lnTo>
                  <a:pt x="968" y="55"/>
                </a:lnTo>
                <a:lnTo>
                  <a:pt x="894" y="27"/>
                </a:lnTo>
                <a:lnTo>
                  <a:pt x="830" y="18"/>
                </a:lnTo>
                <a:lnTo>
                  <a:pt x="756" y="0"/>
                </a:lnTo>
                <a:lnTo>
                  <a:pt x="691" y="0"/>
                </a:lnTo>
                <a:lnTo>
                  <a:pt x="618" y="0"/>
                </a:lnTo>
                <a:lnTo>
                  <a:pt x="544" y="18"/>
                </a:lnTo>
                <a:lnTo>
                  <a:pt x="470" y="27"/>
                </a:lnTo>
                <a:lnTo>
                  <a:pt x="415" y="55"/>
                </a:lnTo>
                <a:lnTo>
                  <a:pt x="360" y="73"/>
                </a:lnTo>
                <a:lnTo>
                  <a:pt x="295" y="110"/>
                </a:lnTo>
                <a:lnTo>
                  <a:pt x="240" y="155"/>
                </a:lnTo>
                <a:lnTo>
                  <a:pt x="203" y="201"/>
                </a:lnTo>
                <a:lnTo>
                  <a:pt x="148" y="247"/>
                </a:lnTo>
                <a:lnTo>
                  <a:pt x="111" y="302"/>
                </a:lnTo>
                <a:lnTo>
                  <a:pt x="74" y="356"/>
                </a:lnTo>
                <a:lnTo>
                  <a:pt x="55" y="420"/>
                </a:lnTo>
                <a:lnTo>
                  <a:pt x="28" y="475"/>
                </a:lnTo>
                <a:lnTo>
                  <a:pt x="9" y="548"/>
                </a:lnTo>
                <a:lnTo>
                  <a:pt x="0" y="612"/>
                </a:lnTo>
                <a:lnTo>
                  <a:pt x="0" y="695"/>
                </a:lnTo>
                <a:lnTo>
                  <a:pt x="0" y="759"/>
                </a:lnTo>
                <a:lnTo>
                  <a:pt x="9" y="832"/>
                </a:lnTo>
                <a:lnTo>
                  <a:pt x="28" y="896"/>
                </a:lnTo>
                <a:lnTo>
                  <a:pt x="55" y="960"/>
                </a:lnTo>
                <a:lnTo>
                  <a:pt x="74" y="1024"/>
                </a:lnTo>
                <a:lnTo>
                  <a:pt x="111" y="1079"/>
                </a:lnTo>
                <a:lnTo>
                  <a:pt x="148" y="1133"/>
                </a:lnTo>
                <a:lnTo>
                  <a:pt x="203" y="1179"/>
                </a:lnTo>
                <a:lnTo>
                  <a:pt x="240" y="1216"/>
                </a:lnTo>
                <a:lnTo>
                  <a:pt x="295" y="1261"/>
                </a:lnTo>
                <a:lnTo>
                  <a:pt x="360" y="1298"/>
                </a:lnTo>
                <a:lnTo>
                  <a:pt x="415" y="1325"/>
                </a:lnTo>
                <a:lnTo>
                  <a:pt x="470" y="1353"/>
                </a:lnTo>
                <a:lnTo>
                  <a:pt x="544" y="1371"/>
                </a:lnTo>
                <a:lnTo>
                  <a:pt x="618" y="1380"/>
                </a:lnTo>
                <a:lnTo>
                  <a:pt x="691" y="1389"/>
                </a:lnTo>
                <a:close/>
              </a:path>
            </a:pathLst>
          </a:custGeom>
          <a:solidFill>
            <a:srgbClr val="FAFA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6" name="Freeform 87">
            <a:extLst>
              <a:ext uri="{FF2B5EF4-FFF2-40B4-BE49-F238E27FC236}">
                <a16:creationId xmlns="" xmlns:a16="http://schemas.microsoft.com/office/drawing/2014/main" id="{00000000-0008-0000-0600-00001A000000}"/>
              </a:ext>
            </a:extLst>
          </xdr:cNvPr>
          <xdr:cNvSpPr>
            <a:spLocks/>
          </xdr:cNvSpPr>
        </xdr:nvSpPr>
        <xdr:spPr bwMode="auto">
          <a:xfrm>
            <a:off x="535472" y="252507"/>
            <a:ext cx="228298" cy="7911"/>
          </a:xfrm>
          <a:custGeom>
            <a:avLst/>
            <a:gdLst>
              <a:gd name="T0" fmla="*/ 0 w 2849"/>
              <a:gd name="T1" fmla="*/ 100 h 100"/>
              <a:gd name="T2" fmla="*/ 2849 w 2849"/>
              <a:gd name="T3" fmla="*/ 100 h 100"/>
              <a:gd name="T4" fmla="*/ 2849 w 2849"/>
              <a:gd name="T5" fmla="*/ 0 h 100"/>
              <a:gd name="T6" fmla="*/ 0 w 2849"/>
              <a:gd name="T7" fmla="*/ 0 h 100"/>
              <a:gd name="T8" fmla="*/ 0 w 2849"/>
              <a:gd name="T9" fmla="*/ 100 h 100"/>
              <a:gd name="T10" fmla="*/ 0 w 2849"/>
              <a:gd name="T11" fmla="*/ 100 h 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49" h="100">
                <a:moveTo>
                  <a:pt x="0" y="100"/>
                </a:moveTo>
                <a:lnTo>
                  <a:pt x="2849" y="100"/>
                </a:lnTo>
                <a:lnTo>
                  <a:pt x="2849" y="0"/>
                </a:lnTo>
                <a:lnTo>
                  <a:pt x="0" y="0"/>
                </a:lnTo>
                <a:lnTo>
                  <a:pt x="0" y="10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7" name="Freeform 88">
            <a:extLst>
              <a:ext uri="{FF2B5EF4-FFF2-40B4-BE49-F238E27FC236}">
                <a16:creationId xmlns="" xmlns:a16="http://schemas.microsoft.com/office/drawing/2014/main" id="{00000000-0008-0000-0600-00001B000000}"/>
              </a:ext>
            </a:extLst>
          </xdr:cNvPr>
          <xdr:cNvSpPr>
            <a:spLocks/>
          </xdr:cNvSpPr>
        </xdr:nvSpPr>
        <xdr:spPr bwMode="auto">
          <a:xfrm>
            <a:off x="244894" y="167029"/>
            <a:ext cx="199389" cy="265653"/>
          </a:xfrm>
          <a:custGeom>
            <a:avLst/>
            <a:gdLst>
              <a:gd name="T0" fmla="*/ 2046 w 2488"/>
              <a:gd name="T1" fmla="*/ 2842 h 3318"/>
              <a:gd name="T2" fmla="*/ 2138 w 2488"/>
              <a:gd name="T3" fmla="*/ 2733 h 3318"/>
              <a:gd name="T4" fmla="*/ 2193 w 2488"/>
              <a:gd name="T5" fmla="*/ 2678 h 3318"/>
              <a:gd name="T6" fmla="*/ 2488 w 2488"/>
              <a:gd name="T7" fmla="*/ 2312 h 3318"/>
              <a:gd name="T8" fmla="*/ 1576 w 2488"/>
              <a:gd name="T9" fmla="*/ 1873 h 3318"/>
              <a:gd name="T10" fmla="*/ 1152 w 2488"/>
              <a:gd name="T11" fmla="*/ 2047 h 3318"/>
              <a:gd name="T12" fmla="*/ 940 w 2488"/>
              <a:gd name="T13" fmla="*/ 1718 h 3318"/>
              <a:gd name="T14" fmla="*/ 617 w 2488"/>
              <a:gd name="T15" fmla="*/ 1718 h 3318"/>
              <a:gd name="T16" fmla="*/ 1336 w 2488"/>
              <a:gd name="T17" fmla="*/ 1764 h 3318"/>
              <a:gd name="T18" fmla="*/ 1419 w 2488"/>
              <a:gd name="T19" fmla="*/ 1425 h 3318"/>
              <a:gd name="T20" fmla="*/ 1447 w 2488"/>
              <a:gd name="T21" fmla="*/ 968 h 3318"/>
              <a:gd name="T22" fmla="*/ 1742 w 2488"/>
              <a:gd name="T23" fmla="*/ 685 h 3318"/>
              <a:gd name="T24" fmla="*/ 1779 w 2488"/>
              <a:gd name="T25" fmla="*/ 292 h 3318"/>
              <a:gd name="T26" fmla="*/ 1309 w 2488"/>
              <a:gd name="T27" fmla="*/ 466 h 3318"/>
              <a:gd name="T28" fmla="*/ 1170 w 2488"/>
              <a:gd name="T29" fmla="*/ 685 h 3318"/>
              <a:gd name="T30" fmla="*/ 1133 w 2488"/>
              <a:gd name="T31" fmla="*/ 338 h 3318"/>
              <a:gd name="T32" fmla="*/ 931 w 2488"/>
              <a:gd name="T33" fmla="*/ 173 h 3318"/>
              <a:gd name="T34" fmla="*/ 1336 w 2488"/>
              <a:gd name="T35" fmla="*/ 173 h 3318"/>
              <a:gd name="T36" fmla="*/ 1115 w 2488"/>
              <a:gd name="T37" fmla="*/ 63 h 3318"/>
              <a:gd name="T38" fmla="*/ 700 w 2488"/>
              <a:gd name="T39" fmla="*/ 109 h 3318"/>
              <a:gd name="T40" fmla="*/ 350 w 2488"/>
              <a:gd name="T41" fmla="*/ 210 h 3318"/>
              <a:gd name="T42" fmla="*/ 230 w 2488"/>
              <a:gd name="T43" fmla="*/ 338 h 3318"/>
              <a:gd name="T44" fmla="*/ 110 w 2488"/>
              <a:gd name="T45" fmla="*/ 511 h 3318"/>
              <a:gd name="T46" fmla="*/ 64 w 2488"/>
              <a:gd name="T47" fmla="*/ 612 h 3318"/>
              <a:gd name="T48" fmla="*/ 46 w 2488"/>
              <a:gd name="T49" fmla="*/ 722 h 3318"/>
              <a:gd name="T50" fmla="*/ 92 w 2488"/>
              <a:gd name="T51" fmla="*/ 886 h 3318"/>
              <a:gd name="T52" fmla="*/ 119 w 2488"/>
              <a:gd name="T53" fmla="*/ 987 h 3318"/>
              <a:gd name="T54" fmla="*/ 18 w 2488"/>
              <a:gd name="T55" fmla="*/ 1206 h 3318"/>
              <a:gd name="T56" fmla="*/ 27 w 2488"/>
              <a:gd name="T57" fmla="*/ 1307 h 3318"/>
              <a:gd name="T58" fmla="*/ 110 w 2488"/>
              <a:gd name="T59" fmla="*/ 1416 h 3318"/>
              <a:gd name="T60" fmla="*/ 175 w 2488"/>
              <a:gd name="T61" fmla="*/ 1526 h 3318"/>
              <a:gd name="T62" fmla="*/ 239 w 2488"/>
              <a:gd name="T63" fmla="*/ 1636 h 3318"/>
              <a:gd name="T64" fmla="*/ 322 w 2488"/>
              <a:gd name="T65" fmla="*/ 1672 h 3318"/>
              <a:gd name="T66" fmla="*/ 442 w 2488"/>
              <a:gd name="T67" fmla="*/ 1709 h 3318"/>
              <a:gd name="T68" fmla="*/ 1087 w 2488"/>
              <a:gd name="T69" fmla="*/ 2047 h 3318"/>
              <a:gd name="T70" fmla="*/ 1179 w 2488"/>
              <a:gd name="T71" fmla="*/ 2221 h 3318"/>
              <a:gd name="T72" fmla="*/ 1281 w 2488"/>
              <a:gd name="T73" fmla="*/ 2449 h 3318"/>
              <a:gd name="T74" fmla="*/ 1364 w 2488"/>
              <a:gd name="T75" fmla="*/ 2513 h 3318"/>
              <a:gd name="T76" fmla="*/ 1465 w 2488"/>
              <a:gd name="T77" fmla="*/ 2531 h 3318"/>
              <a:gd name="T78" fmla="*/ 1567 w 2488"/>
              <a:gd name="T79" fmla="*/ 2605 h 3318"/>
              <a:gd name="T80" fmla="*/ 1484 w 2488"/>
              <a:gd name="T81" fmla="*/ 2769 h 3318"/>
              <a:gd name="T82" fmla="*/ 1484 w 2488"/>
              <a:gd name="T83" fmla="*/ 2861 h 3318"/>
              <a:gd name="T84" fmla="*/ 1493 w 2488"/>
              <a:gd name="T85" fmla="*/ 2961 h 3318"/>
              <a:gd name="T86" fmla="*/ 1521 w 2488"/>
              <a:gd name="T87" fmla="*/ 3043 h 3318"/>
              <a:gd name="T88" fmla="*/ 1521 w 2488"/>
              <a:gd name="T89" fmla="*/ 3180 h 3318"/>
              <a:gd name="T90" fmla="*/ 1521 w 2488"/>
              <a:gd name="T91" fmla="*/ 3281 h 3318"/>
              <a:gd name="T92" fmla="*/ 1557 w 2488"/>
              <a:gd name="T93" fmla="*/ 3308 h 3318"/>
              <a:gd name="T94" fmla="*/ 1668 w 2488"/>
              <a:gd name="T95" fmla="*/ 3263 h 3318"/>
              <a:gd name="T96" fmla="*/ 1760 w 2488"/>
              <a:gd name="T97" fmla="*/ 3180 h 3318"/>
              <a:gd name="T98" fmla="*/ 1871 w 2488"/>
              <a:gd name="T99" fmla="*/ 3089 h 3318"/>
              <a:gd name="T100" fmla="*/ 1981 w 2488"/>
              <a:gd name="T101" fmla="*/ 2952 h 33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2488" h="3318">
                <a:moveTo>
                  <a:pt x="2009" y="2897"/>
                </a:moveTo>
                <a:lnTo>
                  <a:pt x="2018" y="2870"/>
                </a:lnTo>
                <a:lnTo>
                  <a:pt x="2046" y="2842"/>
                </a:lnTo>
                <a:lnTo>
                  <a:pt x="2074" y="2806"/>
                </a:lnTo>
                <a:lnTo>
                  <a:pt x="2110" y="2769"/>
                </a:lnTo>
                <a:lnTo>
                  <a:pt x="2138" y="2733"/>
                </a:lnTo>
                <a:lnTo>
                  <a:pt x="2157" y="2705"/>
                </a:lnTo>
                <a:lnTo>
                  <a:pt x="2175" y="2678"/>
                </a:lnTo>
                <a:lnTo>
                  <a:pt x="2193" y="2678"/>
                </a:lnTo>
                <a:lnTo>
                  <a:pt x="2258" y="2504"/>
                </a:lnTo>
                <a:lnTo>
                  <a:pt x="2424" y="2404"/>
                </a:lnTo>
                <a:lnTo>
                  <a:pt x="2488" y="2312"/>
                </a:lnTo>
                <a:lnTo>
                  <a:pt x="2313" y="2230"/>
                </a:lnTo>
                <a:lnTo>
                  <a:pt x="2000" y="1956"/>
                </a:lnTo>
                <a:lnTo>
                  <a:pt x="1576" y="1873"/>
                </a:lnTo>
                <a:lnTo>
                  <a:pt x="1336" y="1992"/>
                </a:lnTo>
                <a:lnTo>
                  <a:pt x="1281" y="2111"/>
                </a:lnTo>
                <a:lnTo>
                  <a:pt x="1152" y="2047"/>
                </a:lnTo>
                <a:lnTo>
                  <a:pt x="1032" y="1974"/>
                </a:lnTo>
                <a:lnTo>
                  <a:pt x="1004" y="1764"/>
                </a:lnTo>
                <a:lnTo>
                  <a:pt x="940" y="1718"/>
                </a:lnTo>
                <a:lnTo>
                  <a:pt x="875" y="1773"/>
                </a:lnTo>
                <a:lnTo>
                  <a:pt x="746" y="1819"/>
                </a:lnTo>
                <a:lnTo>
                  <a:pt x="617" y="1718"/>
                </a:lnTo>
                <a:lnTo>
                  <a:pt x="765" y="1489"/>
                </a:lnTo>
                <a:lnTo>
                  <a:pt x="1179" y="1599"/>
                </a:lnTo>
                <a:lnTo>
                  <a:pt x="1336" y="1764"/>
                </a:lnTo>
                <a:lnTo>
                  <a:pt x="1392" y="1745"/>
                </a:lnTo>
                <a:lnTo>
                  <a:pt x="1272" y="1553"/>
                </a:lnTo>
                <a:lnTo>
                  <a:pt x="1419" y="1425"/>
                </a:lnTo>
                <a:lnTo>
                  <a:pt x="1392" y="1224"/>
                </a:lnTo>
                <a:lnTo>
                  <a:pt x="1309" y="1060"/>
                </a:lnTo>
                <a:lnTo>
                  <a:pt x="1447" y="968"/>
                </a:lnTo>
                <a:lnTo>
                  <a:pt x="1631" y="895"/>
                </a:lnTo>
                <a:lnTo>
                  <a:pt x="1585" y="776"/>
                </a:lnTo>
                <a:lnTo>
                  <a:pt x="1742" y="685"/>
                </a:lnTo>
                <a:lnTo>
                  <a:pt x="1945" y="630"/>
                </a:lnTo>
                <a:lnTo>
                  <a:pt x="1917" y="521"/>
                </a:lnTo>
                <a:lnTo>
                  <a:pt x="1779" y="292"/>
                </a:lnTo>
                <a:lnTo>
                  <a:pt x="1576" y="356"/>
                </a:lnTo>
                <a:lnTo>
                  <a:pt x="1373" y="402"/>
                </a:lnTo>
                <a:lnTo>
                  <a:pt x="1309" y="466"/>
                </a:lnTo>
                <a:lnTo>
                  <a:pt x="1392" y="722"/>
                </a:lnTo>
                <a:lnTo>
                  <a:pt x="1299" y="722"/>
                </a:lnTo>
                <a:lnTo>
                  <a:pt x="1170" y="685"/>
                </a:lnTo>
                <a:lnTo>
                  <a:pt x="1004" y="621"/>
                </a:lnTo>
                <a:lnTo>
                  <a:pt x="977" y="420"/>
                </a:lnTo>
                <a:lnTo>
                  <a:pt x="1133" y="338"/>
                </a:lnTo>
                <a:lnTo>
                  <a:pt x="1060" y="292"/>
                </a:lnTo>
                <a:lnTo>
                  <a:pt x="1041" y="210"/>
                </a:lnTo>
                <a:lnTo>
                  <a:pt x="931" y="173"/>
                </a:lnTo>
                <a:lnTo>
                  <a:pt x="958" y="100"/>
                </a:lnTo>
                <a:lnTo>
                  <a:pt x="1133" y="137"/>
                </a:lnTo>
                <a:lnTo>
                  <a:pt x="1336" y="173"/>
                </a:lnTo>
                <a:lnTo>
                  <a:pt x="1419" y="109"/>
                </a:lnTo>
                <a:lnTo>
                  <a:pt x="1244" y="36"/>
                </a:lnTo>
                <a:lnTo>
                  <a:pt x="1115" y="63"/>
                </a:lnTo>
                <a:lnTo>
                  <a:pt x="1041" y="0"/>
                </a:lnTo>
                <a:lnTo>
                  <a:pt x="811" y="27"/>
                </a:lnTo>
                <a:lnTo>
                  <a:pt x="700" y="109"/>
                </a:lnTo>
                <a:lnTo>
                  <a:pt x="516" y="118"/>
                </a:lnTo>
                <a:lnTo>
                  <a:pt x="405" y="201"/>
                </a:lnTo>
                <a:lnTo>
                  <a:pt x="350" y="210"/>
                </a:lnTo>
                <a:lnTo>
                  <a:pt x="304" y="246"/>
                </a:lnTo>
                <a:lnTo>
                  <a:pt x="267" y="292"/>
                </a:lnTo>
                <a:lnTo>
                  <a:pt x="230" y="338"/>
                </a:lnTo>
                <a:lnTo>
                  <a:pt x="193" y="393"/>
                </a:lnTo>
                <a:lnTo>
                  <a:pt x="156" y="447"/>
                </a:lnTo>
                <a:lnTo>
                  <a:pt x="110" y="511"/>
                </a:lnTo>
                <a:lnTo>
                  <a:pt x="92" y="539"/>
                </a:lnTo>
                <a:lnTo>
                  <a:pt x="73" y="575"/>
                </a:lnTo>
                <a:lnTo>
                  <a:pt x="64" y="612"/>
                </a:lnTo>
                <a:lnTo>
                  <a:pt x="46" y="658"/>
                </a:lnTo>
                <a:lnTo>
                  <a:pt x="46" y="676"/>
                </a:lnTo>
                <a:lnTo>
                  <a:pt x="46" y="722"/>
                </a:lnTo>
                <a:lnTo>
                  <a:pt x="55" y="767"/>
                </a:lnTo>
                <a:lnTo>
                  <a:pt x="73" y="831"/>
                </a:lnTo>
                <a:lnTo>
                  <a:pt x="92" y="886"/>
                </a:lnTo>
                <a:lnTo>
                  <a:pt x="101" y="941"/>
                </a:lnTo>
                <a:lnTo>
                  <a:pt x="110" y="968"/>
                </a:lnTo>
                <a:lnTo>
                  <a:pt x="119" y="987"/>
                </a:lnTo>
                <a:lnTo>
                  <a:pt x="46" y="1142"/>
                </a:lnTo>
                <a:lnTo>
                  <a:pt x="27" y="1151"/>
                </a:lnTo>
                <a:lnTo>
                  <a:pt x="18" y="1206"/>
                </a:lnTo>
                <a:lnTo>
                  <a:pt x="0" y="1243"/>
                </a:lnTo>
                <a:lnTo>
                  <a:pt x="18" y="1288"/>
                </a:lnTo>
                <a:lnTo>
                  <a:pt x="27" y="1307"/>
                </a:lnTo>
                <a:lnTo>
                  <a:pt x="64" y="1352"/>
                </a:lnTo>
                <a:lnTo>
                  <a:pt x="92" y="1380"/>
                </a:lnTo>
                <a:lnTo>
                  <a:pt x="110" y="1416"/>
                </a:lnTo>
                <a:lnTo>
                  <a:pt x="129" y="1462"/>
                </a:lnTo>
                <a:lnTo>
                  <a:pt x="156" y="1499"/>
                </a:lnTo>
                <a:lnTo>
                  <a:pt x="175" y="1526"/>
                </a:lnTo>
                <a:lnTo>
                  <a:pt x="202" y="1572"/>
                </a:lnTo>
                <a:lnTo>
                  <a:pt x="221" y="1599"/>
                </a:lnTo>
                <a:lnTo>
                  <a:pt x="239" y="1636"/>
                </a:lnTo>
                <a:lnTo>
                  <a:pt x="267" y="1681"/>
                </a:lnTo>
                <a:lnTo>
                  <a:pt x="285" y="1700"/>
                </a:lnTo>
                <a:lnTo>
                  <a:pt x="322" y="1672"/>
                </a:lnTo>
                <a:lnTo>
                  <a:pt x="175" y="1471"/>
                </a:lnTo>
                <a:lnTo>
                  <a:pt x="285" y="1517"/>
                </a:lnTo>
                <a:lnTo>
                  <a:pt x="442" y="1709"/>
                </a:lnTo>
                <a:lnTo>
                  <a:pt x="525" y="1855"/>
                </a:lnTo>
                <a:lnTo>
                  <a:pt x="811" y="1937"/>
                </a:lnTo>
                <a:lnTo>
                  <a:pt x="1087" y="2047"/>
                </a:lnTo>
                <a:lnTo>
                  <a:pt x="1143" y="2102"/>
                </a:lnTo>
                <a:lnTo>
                  <a:pt x="1244" y="2184"/>
                </a:lnTo>
                <a:lnTo>
                  <a:pt x="1179" y="2221"/>
                </a:lnTo>
                <a:lnTo>
                  <a:pt x="1143" y="2321"/>
                </a:lnTo>
                <a:lnTo>
                  <a:pt x="1290" y="2440"/>
                </a:lnTo>
                <a:lnTo>
                  <a:pt x="1281" y="2449"/>
                </a:lnTo>
                <a:lnTo>
                  <a:pt x="1299" y="2486"/>
                </a:lnTo>
                <a:lnTo>
                  <a:pt x="1318" y="2495"/>
                </a:lnTo>
                <a:lnTo>
                  <a:pt x="1364" y="2513"/>
                </a:lnTo>
                <a:lnTo>
                  <a:pt x="1392" y="2522"/>
                </a:lnTo>
                <a:lnTo>
                  <a:pt x="1428" y="2531"/>
                </a:lnTo>
                <a:lnTo>
                  <a:pt x="1465" y="2531"/>
                </a:lnTo>
                <a:lnTo>
                  <a:pt x="1521" y="2550"/>
                </a:lnTo>
                <a:lnTo>
                  <a:pt x="1548" y="2559"/>
                </a:lnTo>
                <a:lnTo>
                  <a:pt x="1567" y="2605"/>
                </a:lnTo>
                <a:lnTo>
                  <a:pt x="1548" y="2659"/>
                </a:lnTo>
                <a:lnTo>
                  <a:pt x="1521" y="2723"/>
                </a:lnTo>
                <a:lnTo>
                  <a:pt x="1484" y="2769"/>
                </a:lnTo>
                <a:lnTo>
                  <a:pt x="1465" y="2833"/>
                </a:lnTo>
                <a:lnTo>
                  <a:pt x="1456" y="2851"/>
                </a:lnTo>
                <a:lnTo>
                  <a:pt x="1484" y="2861"/>
                </a:lnTo>
                <a:lnTo>
                  <a:pt x="1484" y="2897"/>
                </a:lnTo>
                <a:lnTo>
                  <a:pt x="1493" y="2934"/>
                </a:lnTo>
                <a:lnTo>
                  <a:pt x="1493" y="2961"/>
                </a:lnTo>
                <a:lnTo>
                  <a:pt x="1502" y="2989"/>
                </a:lnTo>
                <a:lnTo>
                  <a:pt x="1511" y="3007"/>
                </a:lnTo>
                <a:lnTo>
                  <a:pt x="1521" y="3043"/>
                </a:lnTo>
                <a:lnTo>
                  <a:pt x="1530" y="3080"/>
                </a:lnTo>
                <a:lnTo>
                  <a:pt x="1530" y="3126"/>
                </a:lnTo>
                <a:lnTo>
                  <a:pt x="1521" y="3180"/>
                </a:lnTo>
                <a:lnTo>
                  <a:pt x="1521" y="3217"/>
                </a:lnTo>
                <a:lnTo>
                  <a:pt x="1511" y="3254"/>
                </a:lnTo>
                <a:lnTo>
                  <a:pt x="1521" y="3281"/>
                </a:lnTo>
                <a:lnTo>
                  <a:pt x="1521" y="3290"/>
                </a:lnTo>
                <a:lnTo>
                  <a:pt x="1539" y="3308"/>
                </a:lnTo>
                <a:lnTo>
                  <a:pt x="1557" y="3308"/>
                </a:lnTo>
                <a:lnTo>
                  <a:pt x="1594" y="3318"/>
                </a:lnTo>
                <a:lnTo>
                  <a:pt x="1613" y="3299"/>
                </a:lnTo>
                <a:lnTo>
                  <a:pt x="1668" y="3263"/>
                </a:lnTo>
                <a:lnTo>
                  <a:pt x="1696" y="3244"/>
                </a:lnTo>
                <a:lnTo>
                  <a:pt x="1723" y="3217"/>
                </a:lnTo>
                <a:lnTo>
                  <a:pt x="1760" y="3180"/>
                </a:lnTo>
                <a:lnTo>
                  <a:pt x="1806" y="3153"/>
                </a:lnTo>
                <a:lnTo>
                  <a:pt x="1834" y="3116"/>
                </a:lnTo>
                <a:lnTo>
                  <a:pt x="1871" y="3089"/>
                </a:lnTo>
                <a:lnTo>
                  <a:pt x="1898" y="3043"/>
                </a:lnTo>
                <a:lnTo>
                  <a:pt x="1926" y="3016"/>
                </a:lnTo>
                <a:lnTo>
                  <a:pt x="1981" y="2952"/>
                </a:lnTo>
                <a:lnTo>
                  <a:pt x="2009" y="2897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8" name="Freeform 89">
            <a:extLst>
              <a:ext uri="{FF2B5EF4-FFF2-40B4-BE49-F238E27FC236}">
                <a16:creationId xmlns="" xmlns:a16="http://schemas.microsoft.com/office/drawing/2014/main" id="{00000000-0008-0000-0600-00001C000000}"/>
              </a:ext>
            </a:extLst>
          </xdr:cNvPr>
          <xdr:cNvSpPr>
            <a:spLocks/>
          </xdr:cNvSpPr>
        </xdr:nvSpPr>
        <xdr:spPr bwMode="auto">
          <a:xfrm>
            <a:off x="472716" y="191001"/>
            <a:ext cx="65729" cy="133064"/>
          </a:xfrm>
          <a:custGeom>
            <a:avLst/>
            <a:gdLst>
              <a:gd name="T0" fmla="*/ 239 w 820"/>
              <a:gd name="T1" fmla="*/ 210 h 1663"/>
              <a:gd name="T2" fmla="*/ 166 w 820"/>
              <a:gd name="T3" fmla="*/ 375 h 1663"/>
              <a:gd name="T4" fmla="*/ 64 w 820"/>
              <a:gd name="T5" fmla="*/ 439 h 1663"/>
              <a:gd name="T6" fmla="*/ 0 w 820"/>
              <a:gd name="T7" fmla="*/ 713 h 1663"/>
              <a:gd name="T8" fmla="*/ 83 w 820"/>
              <a:gd name="T9" fmla="*/ 813 h 1663"/>
              <a:gd name="T10" fmla="*/ 184 w 820"/>
              <a:gd name="T11" fmla="*/ 859 h 1663"/>
              <a:gd name="T12" fmla="*/ 378 w 820"/>
              <a:gd name="T13" fmla="*/ 969 h 1663"/>
              <a:gd name="T14" fmla="*/ 534 w 820"/>
              <a:gd name="T15" fmla="*/ 923 h 1663"/>
              <a:gd name="T16" fmla="*/ 608 w 820"/>
              <a:gd name="T17" fmla="*/ 950 h 1663"/>
              <a:gd name="T18" fmla="*/ 645 w 820"/>
              <a:gd name="T19" fmla="*/ 1042 h 1663"/>
              <a:gd name="T20" fmla="*/ 691 w 820"/>
              <a:gd name="T21" fmla="*/ 1142 h 1663"/>
              <a:gd name="T22" fmla="*/ 710 w 820"/>
              <a:gd name="T23" fmla="*/ 1261 h 1663"/>
              <a:gd name="T24" fmla="*/ 728 w 820"/>
              <a:gd name="T25" fmla="*/ 1663 h 1663"/>
              <a:gd name="T26" fmla="*/ 756 w 820"/>
              <a:gd name="T27" fmla="*/ 1572 h 1663"/>
              <a:gd name="T28" fmla="*/ 774 w 820"/>
              <a:gd name="T29" fmla="*/ 1481 h 1663"/>
              <a:gd name="T30" fmla="*/ 793 w 820"/>
              <a:gd name="T31" fmla="*/ 1389 h 1663"/>
              <a:gd name="T32" fmla="*/ 811 w 820"/>
              <a:gd name="T33" fmla="*/ 1289 h 1663"/>
              <a:gd name="T34" fmla="*/ 820 w 820"/>
              <a:gd name="T35" fmla="*/ 1179 h 1663"/>
              <a:gd name="T36" fmla="*/ 820 w 820"/>
              <a:gd name="T37" fmla="*/ 1078 h 1663"/>
              <a:gd name="T38" fmla="*/ 820 w 820"/>
              <a:gd name="T39" fmla="*/ 969 h 1663"/>
              <a:gd name="T40" fmla="*/ 820 w 820"/>
              <a:gd name="T41" fmla="*/ 859 h 1663"/>
              <a:gd name="T42" fmla="*/ 802 w 820"/>
              <a:gd name="T43" fmla="*/ 749 h 1663"/>
              <a:gd name="T44" fmla="*/ 774 w 820"/>
              <a:gd name="T45" fmla="*/ 640 h 1663"/>
              <a:gd name="T46" fmla="*/ 756 w 820"/>
              <a:gd name="T47" fmla="*/ 521 h 1663"/>
              <a:gd name="T48" fmla="*/ 719 w 820"/>
              <a:gd name="T49" fmla="*/ 420 h 1663"/>
              <a:gd name="T50" fmla="*/ 673 w 820"/>
              <a:gd name="T51" fmla="*/ 311 h 1663"/>
              <a:gd name="T52" fmla="*/ 627 w 820"/>
              <a:gd name="T53" fmla="*/ 219 h 1663"/>
              <a:gd name="T54" fmla="*/ 562 w 820"/>
              <a:gd name="T55" fmla="*/ 119 h 1663"/>
              <a:gd name="T56" fmla="*/ 507 w 820"/>
              <a:gd name="T57" fmla="*/ 36 h 1663"/>
              <a:gd name="T58" fmla="*/ 286 w 820"/>
              <a:gd name="T59" fmla="*/ 0 h 1663"/>
              <a:gd name="T60" fmla="*/ 212 w 820"/>
              <a:gd name="T61" fmla="*/ 128 h 1663"/>
              <a:gd name="T62" fmla="*/ 239 w 820"/>
              <a:gd name="T63" fmla="*/ 210 h 1663"/>
              <a:gd name="T64" fmla="*/ 239 w 820"/>
              <a:gd name="T65" fmla="*/ 210 h 16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820" h="1663">
                <a:moveTo>
                  <a:pt x="239" y="210"/>
                </a:moveTo>
                <a:lnTo>
                  <a:pt x="166" y="375"/>
                </a:lnTo>
                <a:lnTo>
                  <a:pt x="64" y="439"/>
                </a:lnTo>
                <a:lnTo>
                  <a:pt x="0" y="713"/>
                </a:lnTo>
                <a:lnTo>
                  <a:pt x="83" y="813"/>
                </a:lnTo>
                <a:lnTo>
                  <a:pt x="184" y="859"/>
                </a:lnTo>
                <a:lnTo>
                  <a:pt x="378" y="969"/>
                </a:lnTo>
                <a:lnTo>
                  <a:pt x="534" y="923"/>
                </a:lnTo>
                <a:lnTo>
                  <a:pt x="608" y="950"/>
                </a:lnTo>
                <a:lnTo>
                  <a:pt x="645" y="1042"/>
                </a:lnTo>
                <a:lnTo>
                  <a:pt x="691" y="1142"/>
                </a:lnTo>
                <a:lnTo>
                  <a:pt x="710" y="1261"/>
                </a:lnTo>
                <a:lnTo>
                  <a:pt x="728" y="1663"/>
                </a:lnTo>
                <a:lnTo>
                  <a:pt x="756" y="1572"/>
                </a:lnTo>
                <a:lnTo>
                  <a:pt x="774" y="1481"/>
                </a:lnTo>
                <a:lnTo>
                  <a:pt x="793" y="1389"/>
                </a:lnTo>
                <a:lnTo>
                  <a:pt x="811" y="1289"/>
                </a:lnTo>
                <a:lnTo>
                  <a:pt x="820" y="1179"/>
                </a:lnTo>
                <a:lnTo>
                  <a:pt x="820" y="1078"/>
                </a:lnTo>
                <a:lnTo>
                  <a:pt x="820" y="969"/>
                </a:lnTo>
                <a:lnTo>
                  <a:pt x="820" y="859"/>
                </a:lnTo>
                <a:lnTo>
                  <a:pt x="802" y="749"/>
                </a:lnTo>
                <a:lnTo>
                  <a:pt x="774" y="640"/>
                </a:lnTo>
                <a:lnTo>
                  <a:pt x="756" y="521"/>
                </a:lnTo>
                <a:lnTo>
                  <a:pt x="719" y="420"/>
                </a:lnTo>
                <a:lnTo>
                  <a:pt x="673" y="311"/>
                </a:lnTo>
                <a:lnTo>
                  <a:pt x="627" y="219"/>
                </a:lnTo>
                <a:lnTo>
                  <a:pt x="562" y="119"/>
                </a:lnTo>
                <a:lnTo>
                  <a:pt x="507" y="36"/>
                </a:lnTo>
                <a:lnTo>
                  <a:pt x="286" y="0"/>
                </a:lnTo>
                <a:lnTo>
                  <a:pt x="212" y="128"/>
                </a:lnTo>
                <a:lnTo>
                  <a:pt x="239" y="21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9" name="Freeform 90">
            <a:extLst>
              <a:ext uri="{FF2B5EF4-FFF2-40B4-BE49-F238E27FC236}">
                <a16:creationId xmlns="" xmlns:a16="http://schemas.microsoft.com/office/drawing/2014/main" id="{00000000-0008-0000-0600-00001D000000}"/>
              </a:ext>
            </a:extLst>
          </xdr:cNvPr>
          <xdr:cNvSpPr>
            <a:spLocks/>
          </xdr:cNvSpPr>
        </xdr:nvSpPr>
        <xdr:spPr bwMode="auto">
          <a:xfrm>
            <a:off x="224848" y="267675"/>
            <a:ext cx="532497" cy="9577"/>
          </a:xfrm>
          <a:custGeom>
            <a:avLst/>
            <a:gdLst>
              <a:gd name="T0" fmla="*/ 0 w 6646"/>
              <a:gd name="T1" fmla="*/ 119 h 119"/>
              <a:gd name="T2" fmla="*/ 6646 w 6646"/>
              <a:gd name="T3" fmla="*/ 119 h 119"/>
              <a:gd name="T4" fmla="*/ 6646 w 6646"/>
              <a:gd name="T5" fmla="*/ 0 h 119"/>
              <a:gd name="T6" fmla="*/ 0 w 6646"/>
              <a:gd name="T7" fmla="*/ 0 h 119"/>
              <a:gd name="T8" fmla="*/ 0 w 6646"/>
              <a:gd name="T9" fmla="*/ 119 h 119"/>
              <a:gd name="T10" fmla="*/ 0 w 6646"/>
              <a:gd name="T11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6646" h="119">
                <a:moveTo>
                  <a:pt x="0" y="119"/>
                </a:moveTo>
                <a:lnTo>
                  <a:pt x="6646" y="119"/>
                </a:lnTo>
                <a:lnTo>
                  <a:pt x="6646" y="0"/>
                </a:lnTo>
                <a:lnTo>
                  <a:pt x="0" y="0"/>
                </a:lnTo>
                <a:lnTo>
                  <a:pt x="0" y="119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" name="Freeform 91">
            <a:extLst>
              <a:ext uri="{FF2B5EF4-FFF2-40B4-BE49-F238E27FC236}">
                <a16:creationId xmlns="" xmlns:a16="http://schemas.microsoft.com/office/drawing/2014/main" id="{00000000-0008-0000-0600-00001E000000}"/>
              </a:ext>
            </a:extLst>
          </xdr:cNvPr>
          <xdr:cNvSpPr>
            <a:spLocks/>
          </xdr:cNvSpPr>
        </xdr:nvSpPr>
        <xdr:spPr bwMode="auto">
          <a:xfrm>
            <a:off x="0" y="276538"/>
            <a:ext cx="292540" cy="123666"/>
          </a:xfrm>
          <a:custGeom>
            <a:avLst/>
            <a:gdLst>
              <a:gd name="T0" fmla="*/ 0 w 3651"/>
              <a:gd name="T1" fmla="*/ 1545 h 1545"/>
              <a:gd name="T2" fmla="*/ 673 w 3651"/>
              <a:gd name="T3" fmla="*/ 530 h 1545"/>
              <a:gd name="T4" fmla="*/ 2959 w 3651"/>
              <a:gd name="T5" fmla="*/ 530 h 1545"/>
              <a:gd name="T6" fmla="*/ 3485 w 3651"/>
              <a:gd name="T7" fmla="*/ 0 h 1545"/>
              <a:gd name="T8" fmla="*/ 3651 w 3651"/>
              <a:gd name="T9" fmla="*/ 0 h 1545"/>
              <a:gd name="T10" fmla="*/ 3005 w 3651"/>
              <a:gd name="T11" fmla="*/ 640 h 1545"/>
              <a:gd name="T12" fmla="*/ 775 w 3651"/>
              <a:gd name="T13" fmla="*/ 640 h 1545"/>
              <a:gd name="T14" fmla="*/ 166 w 3651"/>
              <a:gd name="T15" fmla="*/ 1545 h 1545"/>
              <a:gd name="T16" fmla="*/ 0 w 3651"/>
              <a:gd name="T17" fmla="*/ 1545 h 1545"/>
              <a:gd name="T18" fmla="*/ 0 w 3651"/>
              <a:gd name="T19" fmla="*/ 1545 h 15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651" h="1545">
                <a:moveTo>
                  <a:pt x="0" y="1545"/>
                </a:moveTo>
                <a:lnTo>
                  <a:pt x="673" y="530"/>
                </a:lnTo>
                <a:lnTo>
                  <a:pt x="2959" y="530"/>
                </a:lnTo>
                <a:lnTo>
                  <a:pt x="3485" y="0"/>
                </a:lnTo>
                <a:lnTo>
                  <a:pt x="3651" y="0"/>
                </a:lnTo>
                <a:lnTo>
                  <a:pt x="3005" y="640"/>
                </a:lnTo>
                <a:lnTo>
                  <a:pt x="775" y="640"/>
                </a:lnTo>
                <a:lnTo>
                  <a:pt x="166" y="1545"/>
                </a:lnTo>
                <a:lnTo>
                  <a:pt x="0" y="1545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1" name="Freeform 92">
            <a:extLst>
              <a:ext uri="{FF2B5EF4-FFF2-40B4-BE49-F238E27FC236}">
                <a16:creationId xmlns="" xmlns:a16="http://schemas.microsoft.com/office/drawing/2014/main" id="{00000000-0008-0000-0600-00001F000000}"/>
              </a:ext>
            </a:extLst>
          </xdr:cNvPr>
          <xdr:cNvSpPr>
            <a:spLocks/>
          </xdr:cNvSpPr>
        </xdr:nvSpPr>
        <xdr:spPr bwMode="auto">
          <a:xfrm>
            <a:off x="773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2" name="Freeform 93">
            <a:extLst>
              <a:ext uri="{FF2B5EF4-FFF2-40B4-BE49-F238E27FC236}">
                <a16:creationId xmlns="" xmlns:a16="http://schemas.microsoft.com/office/drawing/2014/main" id="{00000000-0008-0000-0600-000020000000}"/>
              </a:ext>
            </a:extLst>
          </xdr:cNvPr>
          <xdr:cNvSpPr>
            <a:spLocks/>
          </xdr:cNvSpPr>
        </xdr:nvSpPr>
        <xdr:spPr bwMode="auto">
          <a:xfrm>
            <a:off x="59127" y="13978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3" name="Freeform 94">
            <a:extLst>
              <a:ext uri="{FF2B5EF4-FFF2-40B4-BE49-F238E27FC236}">
                <a16:creationId xmlns="" xmlns:a16="http://schemas.microsoft.com/office/drawing/2014/main" id="{00000000-0008-0000-0600-000021000000}"/>
              </a:ext>
            </a:extLst>
          </xdr:cNvPr>
          <xdr:cNvSpPr>
            <a:spLocks/>
          </xdr:cNvSpPr>
        </xdr:nvSpPr>
        <xdr:spPr bwMode="auto">
          <a:xfrm>
            <a:off x="117480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4" name="Freeform 95">
            <a:extLst>
              <a:ext uri="{FF2B5EF4-FFF2-40B4-BE49-F238E27FC236}">
                <a16:creationId xmlns="" xmlns:a16="http://schemas.microsoft.com/office/drawing/2014/main" id="{00000000-0008-0000-0600-000022000000}"/>
              </a:ext>
            </a:extLst>
          </xdr:cNvPr>
          <xdr:cNvSpPr>
            <a:spLocks/>
          </xdr:cNvSpPr>
        </xdr:nvSpPr>
        <xdr:spPr bwMode="auto">
          <a:xfrm>
            <a:off x="175774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5" name="Freeform 96">
            <a:extLst>
              <a:ext uri="{FF2B5EF4-FFF2-40B4-BE49-F238E27FC236}">
                <a16:creationId xmlns="" xmlns:a16="http://schemas.microsoft.com/office/drawing/2014/main" id="{00000000-0008-0000-0600-000023000000}"/>
              </a:ext>
            </a:extLst>
          </xdr:cNvPr>
          <xdr:cNvSpPr>
            <a:spLocks/>
          </xdr:cNvSpPr>
        </xdr:nvSpPr>
        <xdr:spPr bwMode="auto">
          <a:xfrm>
            <a:off x="501566" y="372485"/>
            <a:ext cx="28790" cy="27719"/>
          </a:xfrm>
          <a:custGeom>
            <a:avLst/>
            <a:gdLst>
              <a:gd name="T0" fmla="*/ 0 w 360"/>
              <a:gd name="T1" fmla="*/ 347 h 347"/>
              <a:gd name="T2" fmla="*/ 360 w 360"/>
              <a:gd name="T3" fmla="*/ 347 h 347"/>
              <a:gd name="T4" fmla="*/ 360 w 360"/>
              <a:gd name="T5" fmla="*/ 0 h 347"/>
              <a:gd name="T6" fmla="*/ 0 w 360"/>
              <a:gd name="T7" fmla="*/ 0 h 347"/>
              <a:gd name="T8" fmla="*/ 0 w 360"/>
              <a:gd name="T9" fmla="*/ 347 h 347"/>
              <a:gd name="T10" fmla="*/ 0 w 36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60" h="347">
                <a:moveTo>
                  <a:pt x="0" y="347"/>
                </a:moveTo>
                <a:lnTo>
                  <a:pt x="360" y="347"/>
                </a:lnTo>
                <a:lnTo>
                  <a:pt x="36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6" name="Freeform 97">
            <a:extLst>
              <a:ext uri="{FF2B5EF4-FFF2-40B4-BE49-F238E27FC236}">
                <a16:creationId xmlns="" xmlns:a16="http://schemas.microsoft.com/office/drawing/2014/main" id="{00000000-0008-0000-0600-000024000000}"/>
              </a:ext>
            </a:extLst>
          </xdr:cNvPr>
          <xdr:cNvSpPr>
            <a:spLocks/>
          </xdr:cNvSpPr>
        </xdr:nvSpPr>
        <xdr:spPr bwMode="auto">
          <a:xfrm>
            <a:off x="560633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7" name="Freeform 98">
            <a:extLst>
              <a:ext uri="{FF2B5EF4-FFF2-40B4-BE49-F238E27FC236}">
                <a16:creationId xmlns="" xmlns:a16="http://schemas.microsoft.com/office/drawing/2014/main" id="{00000000-0008-0000-0600-000025000000}"/>
              </a:ext>
            </a:extLst>
          </xdr:cNvPr>
          <xdr:cNvSpPr>
            <a:spLocks/>
          </xdr:cNvSpPr>
        </xdr:nvSpPr>
        <xdr:spPr bwMode="auto">
          <a:xfrm>
            <a:off x="618987" y="372485"/>
            <a:ext cx="28076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8" name="Freeform 99">
            <a:extLst>
              <a:ext uri="{FF2B5EF4-FFF2-40B4-BE49-F238E27FC236}">
                <a16:creationId xmlns="" xmlns:a16="http://schemas.microsoft.com/office/drawing/2014/main" id="{00000000-0008-0000-0600-000026000000}"/>
              </a:ext>
            </a:extLst>
          </xdr:cNvPr>
          <xdr:cNvSpPr>
            <a:spLocks/>
          </xdr:cNvSpPr>
        </xdr:nvSpPr>
        <xdr:spPr bwMode="auto">
          <a:xfrm>
            <a:off x="677340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9" name="Freeform 100">
            <a:extLst>
              <a:ext uri="{FF2B5EF4-FFF2-40B4-BE49-F238E27FC236}">
                <a16:creationId xmlns="" xmlns:a16="http://schemas.microsoft.com/office/drawing/2014/main" id="{00000000-0008-0000-0600-000027000000}"/>
              </a:ext>
            </a:extLst>
          </xdr:cNvPr>
          <xdr:cNvSpPr>
            <a:spLocks/>
          </xdr:cNvSpPr>
        </xdr:nvSpPr>
        <xdr:spPr bwMode="auto">
          <a:xfrm>
            <a:off x="735634" y="372485"/>
            <a:ext cx="28136" cy="27719"/>
          </a:xfrm>
          <a:custGeom>
            <a:avLst/>
            <a:gdLst>
              <a:gd name="T0" fmla="*/ 0 w 351"/>
              <a:gd name="T1" fmla="*/ 347 h 347"/>
              <a:gd name="T2" fmla="*/ 351 w 351"/>
              <a:gd name="T3" fmla="*/ 347 h 347"/>
              <a:gd name="T4" fmla="*/ 351 w 351"/>
              <a:gd name="T5" fmla="*/ 0 h 347"/>
              <a:gd name="T6" fmla="*/ 0 w 351"/>
              <a:gd name="T7" fmla="*/ 0 h 347"/>
              <a:gd name="T8" fmla="*/ 0 w 351"/>
              <a:gd name="T9" fmla="*/ 347 h 347"/>
              <a:gd name="T10" fmla="*/ 0 w 351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47">
                <a:moveTo>
                  <a:pt x="0" y="347"/>
                </a:moveTo>
                <a:lnTo>
                  <a:pt x="351" y="347"/>
                </a:lnTo>
                <a:lnTo>
                  <a:pt x="351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0" name="Freeform 102">
            <a:extLst>
              <a:ext uri="{FF2B5EF4-FFF2-40B4-BE49-F238E27FC236}">
                <a16:creationId xmlns="" xmlns:a16="http://schemas.microsoft.com/office/drawing/2014/main" id="{00000000-0008-0000-0600-000028000000}"/>
              </a:ext>
            </a:extLst>
          </xdr:cNvPr>
          <xdr:cNvSpPr>
            <a:spLocks/>
          </xdr:cNvSpPr>
        </xdr:nvSpPr>
        <xdr:spPr bwMode="auto">
          <a:xfrm>
            <a:off x="735634" y="316095"/>
            <a:ext cx="28136" cy="28552"/>
          </a:xfrm>
          <a:custGeom>
            <a:avLst/>
            <a:gdLst>
              <a:gd name="T0" fmla="*/ 0 w 351"/>
              <a:gd name="T1" fmla="*/ 356 h 356"/>
              <a:gd name="T2" fmla="*/ 351 w 351"/>
              <a:gd name="T3" fmla="*/ 356 h 356"/>
              <a:gd name="T4" fmla="*/ 351 w 351"/>
              <a:gd name="T5" fmla="*/ 0 h 356"/>
              <a:gd name="T6" fmla="*/ 0 w 351"/>
              <a:gd name="T7" fmla="*/ 0 h 356"/>
              <a:gd name="T8" fmla="*/ 0 w 351"/>
              <a:gd name="T9" fmla="*/ 356 h 356"/>
              <a:gd name="T10" fmla="*/ 0 w 351"/>
              <a:gd name="T11" fmla="*/ 356 h 3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56">
                <a:moveTo>
                  <a:pt x="0" y="356"/>
                </a:moveTo>
                <a:lnTo>
                  <a:pt x="351" y="356"/>
                </a:lnTo>
                <a:lnTo>
                  <a:pt x="351" y="0"/>
                </a:lnTo>
                <a:lnTo>
                  <a:pt x="0" y="0"/>
                </a:lnTo>
                <a:lnTo>
                  <a:pt x="0" y="35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1" name="Freeform 103">
            <a:extLst>
              <a:ext uri="{FF2B5EF4-FFF2-40B4-BE49-F238E27FC236}">
                <a16:creationId xmlns="" xmlns:a16="http://schemas.microsoft.com/office/drawing/2014/main" id="{00000000-0008-0000-0600-000029000000}"/>
              </a:ext>
            </a:extLst>
          </xdr:cNvPr>
          <xdr:cNvSpPr>
            <a:spLocks/>
          </xdr:cNvSpPr>
        </xdr:nvSpPr>
        <xdr:spPr bwMode="auto">
          <a:xfrm>
            <a:off x="274755" y="262738"/>
            <a:ext cx="20760" cy="21236"/>
          </a:xfrm>
          <a:custGeom>
            <a:avLst/>
            <a:gdLst>
              <a:gd name="T0" fmla="*/ 129 w 259"/>
              <a:gd name="T1" fmla="*/ 265 h 265"/>
              <a:gd name="T2" fmla="*/ 176 w 259"/>
              <a:gd name="T3" fmla="*/ 246 h 265"/>
              <a:gd name="T4" fmla="*/ 222 w 259"/>
              <a:gd name="T5" fmla="*/ 219 h 265"/>
              <a:gd name="T6" fmla="*/ 249 w 259"/>
              <a:gd name="T7" fmla="*/ 173 h 265"/>
              <a:gd name="T8" fmla="*/ 259 w 259"/>
              <a:gd name="T9" fmla="*/ 128 h 265"/>
              <a:gd name="T10" fmla="*/ 249 w 259"/>
              <a:gd name="T11" fmla="*/ 73 h 265"/>
              <a:gd name="T12" fmla="*/ 222 w 259"/>
              <a:gd name="T13" fmla="*/ 27 h 265"/>
              <a:gd name="T14" fmla="*/ 176 w 259"/>
              <a:gd name="T15" fmla="*/ 0 h 265"/>
              <a:gd name="T16" fmla="*/ 129 w 259"/>
              <a:gd name="T17" fmla="*/ 0 h 265"/>
              <a:gd name="T18" fmla="*/ 65 w 259"/>
              <a:gd name="T19" fmla="*/ 0 h 265"/>
              <a:gd name="T20" fmla="*/ 28 w 259"/>
              <a:gd name="T21" fmla="*/ 27 h 265"/>
              <a:gd name="T22" fmla="*/ 0 w 259"/>
              <a:gd name="T23" fmla="*/ 73 h 265"/>
              <a:gd name="T24" fmla="*/ 0 w 259"/>
              <a:gd name="T25" fmla="*/ 128 h 265"/>
              <a:gd name="T26" fmla="*/ 0 w 259"/>
              <a:gd name="T27" fmla="*/ 173 h 265"/>
              <a:gd name="T28" fmla="*/ 28 w 259"/>
              <a:gd name="T29" fmla="*/ 219 h 265"/>
              <a:gd name="T30" fmla="*/ 65 w 259"/>
              <a:gd name="T31" fmla="*/ 246 h 265"/>
              <a:gd name="T32" fmla="*/ 129 w 259"/>
              <a:gd name="T33" fmla="*/ 265 h 265"/>
              <a:gd name="T34" fmla="*/ 129 w 259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59" h="265">
                <a:moveTo>
                  <a:pt x="129" y="265"/>
                </a:moveTo>
                <a:lnTo>
                  <a:pt x="176" y="246"/>
                </a:lnTo>
                <a:lnTo>
                  <a:pt x="222" y="219"/>
                </a:lnTo>
                <a:lnTo>
                  <a:pt x="249" y="173"/>
                </a:lnTo>
                <a:lnTo>
                  <a:pt x="259" y="128"/>
                </a:lnTo>
                <a:lnTo>
                  <a:pt x="249" y="73"/>
                </a:lnTo>
                <a:lnTo>
                  <a:pt x="222" y="27"/>
                </a:lnTo>
                <a:lnTo>
                  <a:pt x="176" y="0"/>
                </a:lnTo>
                <a:lnTo>
                  <a:pt x="129" y="0"/>
                </a:lnTo>
                <a:lnTo>
                  <a:pt x="65" y="0"/>
                </a:lnTo>
                <a:lnTo>
                  <a:pt x="28" y="27"/>
                </a:lnTo>
                <a:lnTo>
                  <a:pt x="0" y="73"/>
                </a:lnTo>
                <a:lnTo>
                  <a:pt x="0" y="128"/>
                </a:lnTo>
                <a:lnTo>
                  <a:pt x="0" y="173"/>
                </a:lnTo>
                <a:lnTo>
                  <a:pt x="28" y="219"/>
                </a:lnTo>
                <a:lnTo>
                  <a:pt x="65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2" name="Freeform 104">
            <a:extLst>
              <a:ext uri="{FF2B5EF4-FFF2-40B4-BE49-F238E27FC236}">
                <a16:creationId xmlns="" xmlns:a16="http://schemas.microsoft.com/office/drawing/2014/main" id="{00000000-0008-0000-0600-00002A000000}"/>
              </a:ext>
            </a:extLst>
          </xdr:cNvPr>
          <xdr:cNvSpPr>
            <a:spLocks/>
          </xdr:cNvSpPr>
        </xdr:nvSpPr>
        <xdr:spPr bwMode="auto">
          <a:xfrm>
            <a:off x="313955" y="262738"/>
            <a:ext cx="21355" cy="21236"/>
          </a:xfrm>
          <a:custGeom>
            <a:avLst/>
            <a:gdLst>
              <a:gd name="T0" fmla="*/ 129 w 267"/>
              <a:gd name="T1" fmla="*/ 265 h 265"/>
              <a:gd name="T2" fmla="*/ 184 w 267"/>
              <a:gd name="T3" fmla="*/ 246 h 265"/>
              <a:gd name="T4" fmla="*/ 230 w 267"/>
              <a:gd name="T5" fmla="*/ 219 h 265"/>
              <a:gd name="T6" fmla="*/ 249 w 267"/>
              <a:gd name="T7" fmla="*/ 173 h 265"/>
              <a:gd name="T8" fmla="*/ 267 w 267"/>
              <a:gd name="T9" fmla="*/ 137 h 265"/>
              <a:gd name="T10" fmla="*/ 249 w 267"/>
              <a:gd name="T11" fmla="*/ 73 h 265"/>
              <a:gd name="T12" fmla="*/ 230 w 267"/>
              <a:gd name="T13" fmla="*/ 36 h 265"/>
              <a:gd name="T14" fmla="*/ 184 w 267"/>
              <a:gd name="T15" fmla="*/ 0 h 265"/>
              <a:gd name="T16" fmla="*/ 129 w 267"/>
              <a:gd name="T17" fmla="*/ 0 h 265"/>
              <a:gd name="T18" fmla="*/ 74 w 267"/>
              <a:gd name="T19" fmla="*/ 0 h 265"/>
              <a:gd name="T20" fmla="*/ 37 w 267"/>
              <a:gd name="T21" fmla="*/ 36 h 265"/>
              <a:gd name="T22" fmla="*/ 9 w 267"/>
              <a:gd name="T23" fmla="*/ 73 h 265"/>
              <a:gd name="T24" fmla="*/ 0 w 267"/>
              <a:gd name="T25" fmla="*/ 137 h 265"/>
              <a:gd name="T26" fmla="*/ 9 w 267"/>
              <a:gd name="T27" fmla="*/ 173 h 265"/>
              <a:gd name="T28" fmla="*/ 37 w 267"/>
              <a:gd name="T29" fmla="*/ 219 h 265"/>
              <a:gd name="T30" fmla="*/ 74 w 267"/>
              <a:gd name="T31" fmla="*/ 246 h 265"/>
              <a:gd name="T32" fmla="*/ 129 w 267"/>
              <a:gd name="T33" fmla="*/ 265 h 265"/>
              <a:gd name="T34" fmla="*/ 129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29" y="265"/>
                </a:moveTo>
                <a:lnTo>
                  <a:pt x="184" y="246"/>
                </a:lnTo>
                <a:lnTo>
                  <a:pt x="230" y="219"/>
                </a:lnTo>
                <a:lnTo>
                  <a:pt x="249" y="173"/>
                </a:lnTo>
                <a:lnTo>
                  <a:pt x="267" y="137"/>
                </a:lnTo>
                <a:lnTo>
                  <a:pt x="249" y="73"/>
                </a:lnTo>
                <a:lnTo>
                  <a:pt x="230" y="36"/>
                </a:lnTo>
                <a:lnTo>
                  <a:pt x="184" y="0"/>
                </a:lnTo>
                <a:lnTo>
                  <a:pt x="129" y="0"/>
                </a:lnTo>
                <a:lnTo>
                  <a:pt x="74" y="0"/>
                </a:lnTo>
                <a:lnTo>
                  <a:pt x="37" y="36"/>
                </a:lnTo>
                <a:lnTo>
                  <a:pt x="9" y="73"/>
                </a:lnTo>
                <a:lnTo>
                  <a:pt x="0" y="137"/>
                </a:lnTo>
                <a:lnTo>
                  <a:pt x="9" y="173"/>
                </a:lnTo>
                <a:lnTo>
                  <a:pt x="37" y="219"/>
                </a:lnTo>
                <a:lnTo>
                  <a:pt x="74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Freeform 105">
            <a:extLst>
              <a:ext uri="{FF2B5EF4-FFF2-40B4-BE49-F238E27FC236}">
                <a16:creationId xmlns="" xmlns:a16="http://schemas.microsoft.com/office/drawing/2014/main" id="{00000000-0008-0000-0600-00002B000000}"/>
              </a:ext>
            </a:extLst>
          </xdr:cNvPr>
          <xdr:cNvSpPr>
            <a:spLocks/>
          </xdr:cNvSpPr>
        </xdr:nvSpPr>
        <xdr:spPr bwMode="auto">
          <a:xfrm>
            <a:off x="345838" y="267913"/>
            <a:ext cx="21355" cy="21236"/>
          </a:xfrm>
          <a:custGeom>
            <a:avLst/>
            <a:gdLst>
              <a:gd name="T0" fmla="*/ 138 w 267"/>
              <a:gd name="T1" fmla="*/ 265 h 265"/>
              <a:gd name="T2" fmla="*/ 184 w 267"/>
              <a:gd name="T3" fmla="*/ 256 h 265"/>
              <a:gd name="T4" fmla="*/ 230 w 267"/>
              <a:gd name="T5" fmla="*/ 228 h 265"/>
              <a:gd name="T6" fmla="*/ 258 w 267"/>
              <a:gd name="T7" fmla="*/ 182 h 265"/>
              <a:gd name="T8" fmla="*/ 267 w 267"/>
              <a:gd name="T9" fmla="*/ 137 h 265"/>
              <a:gd name="T10" fmla="*/ 258 w 267"/>
              <a:gd name="T11" fmla="*/ 82 h 265"/>
              <a:gd name="T12" fmla="*/ 230 w 267"/>
              <a:gd name="T13" fmla="*/ 45 h 265"/>
              <a:gd name="T14" fmla="*/ 184 w 267"/>
              <a:gd name="T15" fmla="*/ 9 h 265"/>
              <a:gd name="T16" fmla="*/ 138 w 267"/>
              <a:gd name="T17" fmla="*/ 0 h 265"/>
              <a:gd name="T18" fmla="*/ 74 w 267"/>
              <a:gd name="T19" fmla="*/ 9 h 265"/>
              <a:gd name="T20" fmla="*/ 37 w 267"/>
              <a:gd name="T21" fmla="*/ 45 h 265"/>
              <a:gd name="T22" fmla="*/ 9 w 267"/>
              <a:gd name="T23" fmla="*/ 82 h 265"/>
              <a:gd name="T24" fmla="*/ 0 w 267"/>
              <a:gd name="T25" fmla="*/ 137 h 265"/>
              <a:gd name="T26" fmla="*/ 9 w 267"/>
              <a:gd name="T27" fmla="*/ 182 h 265"/>
              <a:gd name="T28" fmla="*/ 37 w 267"/>
              <a:gd name="T29" fmla="*/ 228 h 265"/>
              <a:gd name="T30" fmla="*/ 74 w 267"/>
              <a:gd name="T31" fmla="*/ 256 h 265"/>
              <a:gd name="T32" fmla="*/ 138 w 267"/>
              <a:gd name="T33" fmla="*/ 265 h 265"/>
              <a:gd name="T34" fmla="*/ 138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38" y="265"/>
                </a:moveTo>
                <a:lnTo>
                  <a:pt x="184" y="256"/>
                </a:lnTo>
                <a:lnTo>
                  <a:pt x="230" y="228"/>
                </a:lnTo>
                <a:lnTo>
                  <a:pt x="258" y="182"/>
                </a:lnTo>
                <a:lnTo>
                  <a:pt x="267" y="137"/>
                </a:lnTo>
                <a:lnTo>
                  <a:pt x="258" y="82"/>
                </a:lnTo>
                <a:lnTo>
                  <a:pt x="230" y="45"/>
                </a:lnTo>
                <a:lnTo>
                  <a:pt x="184" y="9"/>
                </a:lnTo>
                <a:lnTo>
                  <a:pt x="138" y="0"/>
                </a:lnTo>
                <a:lnTo>
                  <a:pt x="74" y="9"/>
                </a:lnTo>
                <a:lnTo>
                  <a:pt x="37" y="45"/>
                </a:lnTo>
                <a:lnTo>
                  <a:pt x="9" y="82"/>
                </a:lnTo>
                <a:lnTo>
                  <a:pt x="0" y="137"/>
                </a:lnTo>
                <a:lnTo>
                  <a:pt x="9" y="182"/>
                </a:lnTo>
                <a:lnTo>
                  <a:pt x="37" y="228"/>
                </a:lnTo>
                <a:lnTo>
                  <a:pt x="74" y="256"/>
                </a:lnTo>
                <a:lnTo>
                  <a:pt x="138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4" name="Freeform 106">
            <a:extLst>
              <a:ext uri="{FF2B5EF4-FFF2-40B4-BE49-F238E27FC236}">
                <a16:creationId xmlns="" xmlns:a16="http://schemas.microsoft.com/office/drawing/2014/main" id="{00000000-0008-0000-0600-00002C000000}"/>
              </a:ext>
            </a:extLst>
          </xdr:cNvPr>
          <xdr:cNvSpPr>
            <a:spLocks/>
          </xdr:cNvSpPr>
        </xdr:nvSpPr>
        <xdr:spPr bwMode="auto">
          <a:xfrm>
            <a:off x="278502" y="266307"/>
            <a:ext cx="14038" cy="13919"/>
          </a:xfrm>
          <a:custGeom>
            <a:avLst/>
            <a:gdLst>
              <a:gd name="T0" fmla="*/ 83 w 176"/>
              <a:gd name="T1" fmla="*/ 174 h 174"/>
              <a:gd name="T2" fmla="*/ 148 w 176"/>
              <a:gd name="T3" fmla="*/ 147 h 174"/>
              <a:gd name="T4" fmla="*/ 176 w 176"/>
              <a:gd name="T5" fmla="*/ 92 h 174"/>
              <a:gd name="T6" fmla="*/ 148 w 176"/>
              <a:gd name="T7" fmla="*/ 28 h 174"/>
              <a:gd name="T8" fmla="*/ 83 w 176"/>
              <a:gd name="T9" fmla="*/ 0 h 174"/>
              <a:gd name="T10" fmla="*/ 19 w 176"/>
              <a:gd name="T11" fmla="*/ 28 h 174"/>
              <a:gd name="T12" fmla="*/ 0 w 176"/>
              <a:gd name="T13" fmla="*/ 92 h 174"/>
              <a:gd name="T14" fmla="*/ 19 w 176"/>
              <a:gd name="T15" fmla="*/ 147 h 174"/>
              <a:gd name="T16" fmla="*/ 83 w 176"/>
              <a:gd name="T17" fmla="*/ 174 h 174"/>
              <a:gd name="T18" fmla="*/ 83 w 17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76" h="174">
                <a:moveTo>
                  <a:pt x="83" y="174"/>
                </a:moveTo>
                <a:lnTo>
                  <a:pt x="148" y="147"/>
                </a:lnTo>
                <a:lnTo>
                  <a:pt x="176" y="92"/>
                </a:lnTo>
                <a:lnTo>
                  <a:pt x="148" y="28"/>
                </a:lnTo>
                <a:lnTo>
                  <a:pt x="83" y="0"/>
                </a:lnTo>
                <a:lnTo>
                  <a:pt x="19" y="28"/>
                </a:lnTo>
                <a:lnTo>
                  <a:pt x="0" y="92"/>
                </a:lnTo>
                <a:lnTo>
                  <a:pt x="19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5" name="Freeform 107">
            <a:extLst>
              <a:ext uri="{FF2B5EF4-FFF2-40B4-BE49-F238E27FC236}">
                <a16:creationId xmlns="" xmlns:a16="http://schemas.microsoft.com/office/drawing/2014/main" id="{00000000-0008-0000-0600-00002D000000}"/>
              </a:ext>
            </a:extLst>
          </xdr:cNvPr>
          <xdr:cNvSpPr>
            <a:spLocks/>
          </xdr:cNvSpPr>
        </xdr:nvSpPr>
        <xdr:spPr bwMode="auto">
          <a:xfrm>
            <a:off x="101955" y="15347"/>
            <a:ext cx="629991" cy="494604"/>
          </a:xfrm>
          <a:custGeom>
            <a:avLst/>
            <a:gdLst>
              <a:gd name="T0" fmla="*/ 5393 w 7863"/>
              <a:gd name="T1" fmla="*/ 73 h 6179"/>
              <a:gd name="T2" fmla="*/ 5863 w 7863"/>
              <a:gd name="T3" fmla="*/ 9 h 6179"/>
              <a:gd name="T4" fmla="*/ 6352 w 7863"/>
              <a:gd name="T5" fmla="*/ 9 h 6179"/>
              <a:gd name="T6" fmla="*/ 6794 w 7863"/>
              <a:gd name="T7" fmla="*/ 64 h 6179"/>
              <a:gd name="T8" fmla="*/ 7190 w 7863"/>
              <a:gd name="T9" fmla="*/ 229 h 6179"/>
              <a:gd name="T10" fmla="*/ 7587 w 7863"/>
              <a:gd name="T11" fmla="*/ 567 h 6179"/>
              <a:gd name="T12" fmla="*/ 7854 w 7863"/>
              <a:gd name="T13" fmla="*/ 1243 h 6179"/>
              <a:gd name="T14" fmla="*/ 7799 w 7863"/>
              <a:gd name="T15" fmla="*/ 2020 h 6179"/>
              <a:gd name="T16" fmla="*/ 7522 w 7863"/>
              <a:gd name="T17" fmla="*/ 2834 h 6179"/>
              <a:gd name="T18" fmla="*/ 7080 w 7863"/>
              <a:gd name="T19" fmla="*/ 3574 h 6179"/>
              <a:gd name="T20" fmla="*/ 6573 w 7863"/>
              <a:gd name="T21" fmla="*/ 4196 h 6179"/>
              <a:gd name="T22" fmla="*/ 5752 w 7863"/>
              <a:gd name="T23" fmla="*/ 4872 h 6179"/>
              <a:gd name="T24" fmla="*/ 4914 w 7863"/>
              <a:gd name="T25" fmla="*/ 5393 h 6179"/>
              <a:gd name="T26" fmla="*/ 4029 w 7863"/>
              <a:gd name="T27" fmla="*/ 5759 h 6179"/>
              <a:gd name="T28" fmla="*/ 3098 w 7863"/>
              <a:gd name="T29" fmla="*/ 6015 h 6179"/>
              <a:gd name="T30" fmla="*/ 2047 w 7863"/>
              <a:gd name="T31" fmla="*/ 6152 h 6179"/>
              <a:gd name="T32" fmla="*/ 1438 w 7863"/>
              <a:gd name="T33" fmla="*/ 6179 h 6179"/>
              <a:gd name="T34" fmla="*/ 1079 w 7863"/>
              <a:gd name="T35" fmla="*/ 6170 h 6179"/>
              <a:gd name="T36" fmla="*/ 747 w 7863"/>
              <a:gd name="T37" fmla="*/ 6134 h 6179"/>
              <a:gd name="T38" fmla="*/ 443 w 7863"/>
              <a:gd name="T39" fmla="*/ 6042 h 6179"/>
              <a:gd name="T40" fmla="*/ 203 w 7863"/>
              <a:gd name="T41" fmla="*/ 5923 h 6179"/>
              <a:gd name="T42" fmla="*/ 28 w 7863"/>
              <a:gd name="T43" fmla="*/ 5740 h 6179"/>
              <a:gd name="T44" fmla="*/ 10 w 7863"/>
              <a:gd name="T45" fmla="*/ 5503 h 6179"/>
              <a:gd name="T46" fmla="*/ 102 w 7863"/>
              <a:gd name="T47" fmla="*/ 5229 h 6179"/>
              <a:gd name="T48" fmla="*/ 259 w 7863"/>
              <a:gd name="T49" fmla="*/ 4991 h 6179"/>
              <a:gd name="T50" fmla="*/ 397 w 7863"/>
              <a:gd name="T51" fmla="*/ 4808 h 6179"/>
              <a:gd name="T52" fmla="*/ 471 w 7863"/>
              <a:gd name="T53" fmla="*/ 4753 h 6179"/>
              <a:gd name="T54" fmla="*/ 544 w 7863"/>
              <a:gd name="T55" fmla="*/ 5000 h 6179"/>
              <a:gd name="T56" fmla="*/ 480 w 7863"/>
              <a:gd name="T57" fmla="*/ 5110 h 6179"/>
              <a:gd name="T58" fmla="*/ 415 w 7863"/>
              <a:gd name="T59" fmla="*/ 5265 h 6179"/>
              <a:gd name="T60" fmla="*/ 378 w 7863"/>
              <a:gd name="T61" fmla="*/ 5457 h 6179"/>
              <a:gd name="T62" fmla="*/ 415 w 7863"/>
              <a:gd name="T63" fmla="*/ 5658 h 6179"/>
              <a:gd name="T64" fmla="*/ 821 w 7863"/>
              <a:gd name="T65" fmla="*/ 5914 h 6179"/>
              <a:gd name="T66" fmla="*/ 1448 w 7863"/>
              <a:gd name="T67" fmla="*/ 6024 h 6179"/>
              <a:gd name="T68" fmla="*/ 2213 w 7863"/>
              <a:gd name="T69" fmla="*/ 5978 h 6179"/>
              <a:gd name="T70" fmla="*/ 3033 w 7863"/>
              <a:gd name="T71" fmla="*/ 5823 h 6179"/>
              <a:gd name="T72" fmla="*/ 3807 w 7863"/>
              <a:gd name="T73" fmla="*/ 5567 h 6179"/>
              <a:gd name="T74" fmla="*/ 4683 w 7863"/>
              <a:gd name="T75" fmla="*/ 5091 h 6179"/>
              <a:gd name="T76" fmla="*/ 5669 w 7863"/>
              <a:gd name="T77" fmla="*/ 4324 h 6179"/>
              <a:gd name="T78" fmla="*/ 6554 w 7863"/>
              <a:gd name="T79" fmla="*/ 3382 h 6179"/>
              <a:gd name="T80" fmla="*/ 7181 w 7863"/>
              <a:gd name="T81" fmla="*/ 2331 h 6179"/>
              <a:gd name="T82" fmla="*/ 7402 w 7863"/>
              <a:gd name="T83" fmla="*/ 1271 h 6179"/>
              <a:gd name="T84" fmla="*/ 7209 w 7863"/>
              <a:gd name="T85" fmla="*/ 475 h 6179"/>
              <a:gd name="T86" fmla="*/ 6941 w 7863"/>
              <a:gd name="T87" fmla="*/ 247 h 6179"/>
              <a:gd name="T88" fmla="*/ 6564 w 7863"/>
              <a:gd name="T89" fmla="*/ 119 h 6179"/>
              <a:gd name="T90" fmla="*/ 6140 w 7863"/>
              <a:gd name="T91" fmla="*/ 101 h 6179"/>
              <a:gd name="T92" fmla="*/ 5679 w 7863"/>
              <a:gd name="T93" fmla="*/ 146 h 6179"/>
              <a:gd name="T94" fmla="*/ 5236 w 7863"/>
              <a:gd name="T95" fmla="*/ 229 h 6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7863" h="6179">
                <a:moveTo>
                  <a:pt x="5089" y="137"/>
                </a:moveTo>
                <a:lnTo>
                  <a:pt x="5236" y="101"/>
                </a:lnTo>
                <a:lnTo>
                  <a:pt x="5393" y="73"/>
                </a:lnTo>
                <a:lnTo>
                  <a:pt x="5550" y="46"/>
                </a:lnTo>
                <a:lnTo>
                  <a:pt x="5706" y="28"/>
                </a:lnTo>
                <a:lnTo>
                  <a:pt x="5863" y="9"/>
                </a:lnTo>
                <a:lnTo>
                  <a:pt x="6029" y="0"/>
                </a:lnTo>
                <a:lnTo>
                  <a:pt x="6186" y="0"/>
                </a:lnTo>
                <a:lnTo>
                  <a:pt x="6352" y="9"/>
                </a:lnTo>
                <a:lnTo>
                  <a:pt x="6499" y="9"/>
                </a:lnTo>
                <a:lnTo>
                  <a:pt x="6647" y="37"/>
                </a:lnTo>
                <a:lnTo>
                  <a:pt x="6794" y="64"/>
                </a:lnTo>
                <a:lnTo>
                  <a:pt x="6932" y="110"/>
                </a:lnTo>
                <a:lnTo>
                  <a:pt x="7061" y="165"/>
                </a:lnTo>
                <a:lnTo>
                  <a:pt x="7190" y="229"/>
                </a:lnTo>
                <a:lnTo>
                  <a:pt x="7310" y="293"/>
                </a:lnTo>
                <a:lnTo>
                  <a:pt x="7430" y="384"/>
                </a:lnTo>
                <a:lnTo>
                  <a:pt x="7587" y="567"/>
                </a:lnTo>
                <a:lnTo>
                  <a:pt x="7716" y="768"/>
                </a:lnTo>
                <a:lnTo>
                  <a:pt x="7799" y="996"/>
                </a:lnTo>
                <a:lnTo>
                  <a:pt x="7854" y="1243"/>
                </a:lnTo>
                <a:lnTo>
                  <a:pt x="7863" y="1490"/>
                </a:lnTo>
                <a:lnTo>
                  <a:pt x="7845" y="1755"/>
                </a:lnTo>
                <a:lnTo>
                  <a:pt x="7799" y="2020"/>
                </a:lnTo>
                <a:lnTo>
                  <a:pt x="7734" y="2294"/>
                </a:lnTo>
                <a:lnTo>
                  <a:pt x="7642" y="2559"/>
                </a:lnTo>
                <a:lnTo>
                  <a:pt x="7522" y="2834"/>
                </a:lnTo>
                <a:lnTo>
                  <a:pt x="7384" y="3090"/>
                </a:lnTo>
                <a:lnTo>
                  <a:pt x="7246" y="3346"/>
                </a:lnTo>
                <a:lnTo>
                  <a:pt x="7080" y="3574"/>
                </a:lnTo>
                <a:lnTo>
                  <a:pt x="6914" y="3812"/>
                </a:lnTo>
                <a:lnTo>
                  <a:pt x="6739" y="4004"/>
                </a:lnTo>
                <a:lnTo>
                  <a:pt x="6573" y="4196"/>
                </a:lnTo>
                <a:lnTo>
                  <a:pt x="6296" y="4433"/>
                </a:lnTo>
                <a:lnTo>
                  <a:pt x="6020" y="4662"/>
                </a:lnTo>
                <a:lnTo>
                  <a:pt x="5752" y="4872"/>
                </a:lnTo>
                <a:lnTo>
                  <a:pt x="5476" y="5064"/>
                </a:lnTo>
                <a:lnTo>
                  <a:pt x="5190" y="5238"/>
                </a:lnTo>
                <a:lnTo>
                  <a:pt x="4914" y="5393"/>
                </a:lnTo>
                <a:lnTo>
                  <a:pt x="4619" y="5521"/>
                </a:lnTo>
                <a:lnTo>
                  <a:pt x="4333" y="5658"/>
                </a:lnTo>
                <a:lnTo>
                  <a:pt x="4029" y="5759"/>
                </a:lnTo>
                <a:lnTo>
                  <a:pt x="3724" y="5859"/>
                </a:lnTo>
                <a:lnTo>
                  <a:pt x="3411" y="5932"/>
                </a:lnTo>
                <a:lnTo>
                  <a:pt x="3098" y="6015"/>
                </a:lnTo>
                <a:lnTo>
                  <a:pt x="2757" y="6070"/>
                </a:lnTo>
                <a:lnTo>
                  <a:pt x="2406" y="6115"/>
                </a:lnTo>
                <a:lnTo>
                  <a:pt x="2047" y="6152"/>
                </a:lnTo>
                <a:lnTo>
                  <a:pt x="1678" y="6179"/>
                </a:lnTo>
                <a:lnTo>
                  <a:pt x="1558" y="6179"/>
                </a:lnTo>
                <a:lnTo>
                  <a:pt x="1438" y="6179"/>
                </a:lnTo>
                <a:lnTo>
                  <a:pt x="1309" y="6179"/>
                </a:lnTo>
                <a:lnTo>
                  <a:pt x="1199" y="6179"/>
                </a:lnTo>
                <a:lnTo>
                  <a:pt x="1079" y="6170"/>
                </a:lnTo>
                <a:lnTo>
                  <a:pt x="959" y="6161"/>
                </a:lnTo>
                <a:lnTo>
                  <a:pt x="848" y="6152"/>
                </a:lnTo>
                <a:lnTo>
                  <a:pt x="747" y="6134"/>
                </a:lnTo>
                <a:lnTo>
                  <a:pt x="636" y="6106"/>
                </a:lnTo>
                <a:lnTo>
                  <a:pt x="544" y="6088"/>
                </a:lnTo>
                <a:lnTo>
                  <a:pt x="443" y="6042"/>
                </a:lnTo>
                <a:lnTo>
                  <a:pt x="369" y="6015"/>
                </a:lnTo>
                <a:lnTo>
                  <a:pt x="277" y="5969"/>
                </a:lnTo>
                <a:lnTo>
                  <a:pt x="203" y="5923"/>
                </a:lnTo>
                <a:lnTo>
                  <a:pt x="129" y="5868"/>
                </a:lnTo>
                <a:lnTo>
                  <a:pt x="83" y="5814"/>
                </a:lnTo>
                <a:lnTo>
                  <a:pt x="28" y="5740"/>
                </a:lnTo>
                <a:lnTo>
                  <a:pt x="0" y="5667"/>
                </a:lnTo>
                <a:lnTo>
                  <a:pt x="0" y="5585"/>
                </a:lnTo>
                <a:lnTo>
                  <a:pt x="10" y="5503"/>
                </a:lnTo>
                <a:lnTo>
                  <a:pt x="19" y="5411"/>
                </a:lnTo>
                <a:lnTo>
                  <a:pt x="65" y="5320"/>
                </a:lnTo>
                <a:lnTo>
                  <a:pt x="102" y="5229"/>
                </a:lnTo>
                <a:lnTo>
                  <a:pt x="157" y="5155"/>
                </a:lnTo>
                <a:lnTo>
                  <a:pt x="203" y="5064"/>
                </a:lnTo>
                <a:lnTo>
                  <a:pt x="259" y="4991"/>
                </a:lnTo>
                <a:lnTo>
                  <a:pt x="305" y="4918"/>
                </a:lnTo>
                <a:lnTo>
                  <a:pt x="360" y="4863"/>
                </a:lnTo>
                <a:lnTo>
                  <a:pt x="397" y="4808"/>
                </a:lnTo>
                <a:lnTo>
                  <a:pt x="434" y="4781"/>
                </a:lnTo>
                <a:lnTo>
                  <a:pt x="461" y="4753"/>
                </a:lnTo>
                <a:lnTo>
                  <a:pt x="471" y="4753"/>
                </a:lnTo>
                <a:lnTo>
                  <a:pt x="600" y="4936"/>
                </a:lnTo>
                <a:lnTo>
                  <a:pt x="581" y="4954"/>
                </a:lnTo>
                <a:lnTo>
                  <a:pt x="544" y="5000"/>
                </a:lnTo>
                <a:lnTo>
                  <a:pt x="526" y="5027"/>
                </a:lnTo>
                <a:lnTo>
                  <a:pt x="507" y="5064"/>
                </a:lnTo>
                <a:lnTo>
                  <a:pt x="480" y="5110"/>
                </a:lnTo>
                <a:lnTo>
                  <a:pt x="461" y="5165"/>
                </a:lnTo>
                <a:lnTo>
                  <a:pt x="434" y="5210"/>
                </a:lnTo>
                <a:lnTo>
                  <a:pt x="415" y="5265"/>
                </a:lnTo>
                <a:lnTo>
                  <a:pt x="397" y="5329"/>
                </a:lnTo>
                <a:lnTo>
                  <a:pt x="397" y="5393"/>
                </a:lnTo>
                <a:lnTo>
                  <a:pt x="378" y="5457"/>
                </a:lnTo>
                <a:lnTo>
                  <a:pt x="388" y="5521"/>
                </a:lnTo>
                <a:lnTo>
                  <a:pt x="397" y="5585"/>
                </a:lnTo>
                <a:lnTo>
                  <a:pt x="415" y="5658"/>
                </a:lnTo>
                <a:lnTo>
                  <a:pt x="517" y="5759"/>
                </a:lnTo>
                <a:lnTo>
                  <a:pt x="655" y="5850"/>
                </a:lnTo>
                <a:lnTo>
                  <a:pt x="821" y="5914"/>
                </a:lnTo>
                <a:lnTo>
                  <a:pt x="1014" y="5978"/>
                </a:lnTo>
                <a:lnTo>
                  <a:pt x="1226" y="6006"/>
                </a:lnTo>
                <a:lnTo>
                  <a:pt x="1448" y="6024"/>
                </a:lnTo>
                <a:lnTo>
                  <a:pt x="1697" y="6024"/>
                </a:lnTo>
                <a:lnTo>
                  <a:pt x="1955" y="6015"/>
                </a:lnTo>
                <a:lnTo>
                  <a:pt x="2213" y="5978"/>
                </a:lnTo>
                <a:lnTo>
                  <a:pt x="2480" y="5942"/>
                </a:lnTo>
                <a:lnTo>
                  <a:pt x="2747" y="5887"/>
                </a:lnTo>
                <a:lnTo>
                  <a:pt x="3033" y="5823"/>
                </a:lnTo>
                <a:lnTo>
                  <a:pt x="3291" y="5740"/>
                </a:lnTo>
                <a:lnTo>
                  <a:pt x="3549" y="5658"/>
                </a:lnTo>
                <a:lnTo>
                  <a:pt x="3807" y="5567"/>
                </a:lnTo>
                <a:lnTo>
                  <a:pt x="4047" y="5466"/>
                </a:lnTo>
                <a:lnTo>
                  <a:pt x="4360" y="5293"/>
                </a:lnTo>
                <a:lnTo>
                  <a:pt x="4683" y="5091"/>
                </a:lnTo>
                <a:lnTo>
                  <a:pt x="5015" y="4854"/>
                </a:lnTo>
                <a:lnTo>
                  <a:pt x="5347" y="4607"/>
                </a:lnTo>
                <a:lnTo>
                  <a:pt x="5669" y="4324"/>
                </a:lnTo>
                <a:lnTo>
                  <a:pt x="5983" y="4022"/>
                </a:lnTo>
                <a:lnTo>
                  <a:pt x="6278" y="3711"/>
                </a:lnTo>
                <a:lnTo>
                  <a:pt x="6554" y="3382"/>
                </a:lnTo>
                <a:lnTo>
                  <a:pt x="6794" y="3035"/>
                </a:lnTo>
                <a:lnTo>
                  <a:pt x="7015" y="2687"/>
                </a:lnTo>
                <a:lnTo>
                  <a:pt x="7181" y="2331"/>
                </a:lnTo>
                <a:lnTo>
                  <a:pt x="7310" y="1974"/>
                </a:lnTo>
                <a:lnTo>
                  <a:pt x="7384" y="1618"/>
                </a:lnTo>
                <a:lnTo>
                  <a:pt x="7402" y="1271"/>
                </a:lnTo>
                <a:lnTo>
                  <a:pt x="7366" y="923"/>
                </a:lnTo>
                <a:lnTo>
                  <a:pt x="7273" y="594"/>
                </a:lnTo>
                <a:lnTo>
                  <a:pt x="7209" y="475"/>
                </a:lnTo>
                <a:lnTo>
                  <a:pt x="7135" y="384"/>
                </a:lnTo>
                <a:lnTo>
                  <a:pt x="7034" y="302"/>
                </a:lnTo>
                <a:lnTo>
                  <a:pt x="6941" y="247"/>
                </a:lnTo>
                <a:lnTo>
                  <a:pt x="6822" y="183"/>
                </a:lnTo>
                <a:lnTo>
                  <a:pt x="6702" y="146"/>
                </a:lnTo>
                <a:lnTo>
                  <a:pt x="6564" y="119"/>
                </a:lnTo>
                <a:lnTo>
                  <a:pt x="6435" y="110"/>
                </a:lnTo>
                <a:lnTo>
                  <a:pt x="6287" y="101"/>
                </a:lnTo>
                <a:lnTo>
                  <a:pt x="6140" y="101"/>
                </a:lnTo>
                <a:lnTo>
                  <a:pt x="5983" y="101"/>
                </a:lnTo>
                <a:lnTo>
                  <a:pt x="5835" y="119"/>
                </a:lnTo>
                <a:lnTo>
                  <a:pt x="5679" y="146"/>
                </a:lnTo>
                <a:lnTo>
                  <a:pt x="5531" y="165"/>
                </a:lnTo>
                <a:lnTo>
                  <a:pt x="5374" y="192"/>
                </a:lnTo>
                <a:lnTo>
                  <a:pt x="5236" y="229"/>
                </a:lnTo>
                <a:lnTo>
                  <a:pt x="5089" y="13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6" name="Freeform 108">
            <a:extLst>
              <a:ext uri="{FF2B5EF4-FFF2-40B4-BE49-F238E27FC236}">
                <a16:creationId xmlns="" xmlns:a16="http://schemas.microsoft.com/office/drawing/2014/main" id="{00000000-0008-0000-0600-00002E000000}"/>
              </a:ext>
            </a:extLst>
          </xdr:cNvPr>
          <xdr:cNvSpPr>
            <a:spLocks/>
          </xdr:cNvSpPr>
        </xdr:nvSpPr>
        <xdr:spPr bwMode="auto">
          <a:xfrm>
            <a:off x="113019" y="334297"/>
            <a:ext cx="143296" cy="110639"/>
          </a:xfrm>
          <a:custGeom>
            <a:avLst/>
            <a:gdLst>
              <a:gd name="T0" fmla="*/ 92 w 1788"/>
              <a:gd name="T1" fmla="*/ 1079 h 1381"/>
              <a:gd name="T2" fmla="*/ 129 w 1788"/>
              <a:gd name="T3" fmla="*/ 997 h 1381"/>
              <a:gd name="T4" fmla="*/ 175 w 1788"/>
              <a:gd name="T5" fmla="*/ 942 h 1381"/>
              <a:gd name="T6" fmla="*/ 221 w 1788"/>
              <a:gd name="T7" fmla="*/ 878 h 1381"/>
              <a:gd name="T8" fmla="*/ 267 w 1788"/>
              <a:gd name="T9" fmla="*/ 823 h 1381"/>
              <a:gd name="T10" fmla="*/ 304 w 1788"/>
              <a:gd name="T11" fmla="*/ 768 h 1381"/>
              <a:gd name="T12" fmla="*/ 359 w 1788"/>
              <a:gd name="T13" fmla="*/ 713 h 1381"/>
              <a:gd name="T14" fmla="*/ 405 w 1788"/>
              <a:gd name="T15" fmla="*/ 659 h 1381"/>
              <a:gd name="T16" fmla="*/ 451 w 1788"/>
              <a:gd name="T17" fmla="*/ 613 h 1381"/>
              <a:gd name="T18" fmla="*/ 497 w 1788"/>
              <a:gd name="T19" fmla="*/ 558 h 1381"/>
              <a:gd name="T20" fmla="*/ 553 w 1788"/>
              <a:gd name="T21" fmla="*/ 521 h 1381"/>
              <a:gd name="T22" fmla="*/ 599 w 1788"/>
              <a:gd name="T23" fmla="*/ 467 h 1381"/>
              <a:gd name="T24" fmla="*/ 663 w 1788"/>
              <a:gd name="T25" fmla="*/ 430 h 1381"/>
              <a:gd name="T26" fmla="*/ 709 w 1788"/>
              <a:gd name="T27" fmla="*/ 375 h 1381"/>
              <a:gd name="T28" fmla="*/ 774 w 1788"/>
              <a:gd name="T29" fmla="*/ 330 h 1381"/>
              <a:gd name="T30" fmla="*/ 839 w 1788"/>
              <a:gd name="T31" fmla="*/ 284 h 1381"/>
              <a:gd name="T32" fmla="*/ 912 w 1788"/>
              <a:gd name="T33" fmla="*/ 247 h 1381"/>
              <a:gd name="T34" fmla="*/ 958 w 1788"/>
              <a:gd name="T35" fmla="*/ 211 h 1381"/>
              <a:gd name="T36" fmla="*/ 1014 w 1788"/>
              <a:gd name="T37" fmla="*/ 174 h 1381"/>
              <a:gd name="T38" fmla="*/ 1060 w 1788"/>
              <a:gd name="T39" fmla="*/ 147 h 1381"/>
              <a:gd name="T40" fmla="*/ 1115 w 1788"/>
              <a:gd name="T41" fmla="*/ 128 h 1381"/>
              <a:gd name="T42" fmla="*/ 1170 w 1788"/>
              <a:gd name="T43" fmla="*/ 101 h 1381"/>
              <a:gd name="T44" fmla="*/ 1216 w 1788"/>
              <a:gd name="T45" fmla="*/ 83 h 1381"/>
              <a:gd name="T46" fmla="*/ 1272 w 1788"/>
              <a:gd name="T47" fmla="*/ 64 h 1381"/>
              <a:gd name="T48" fmla="*/ 1318 w 1788"/>
              <a:gd name="T49" fmla="*/ 46 h 1381"/>
              <a:gd name="T50" fmla="*/ 1364 w 1788"/>
              <a:gd name="T51" fmla="*/ 28 h 1381"/>
              <a:gd name="T52" fmla="*/ 1410 w 1788"/>
              <a:gd name="T53" fmla="*/ 19 h 1381"/>
              <a:gd name="T54" fmla="*/ 1456 w 1788"/>
              <a:gd name="T55" fmla="*/ 10 h 1381"/>
              <a:gd name="T56" fmla="*/ 1493 w 1788"/>
              <a:gd name="T57" fmla="*/ 10 h 1381"/>
              <a:gd name="T58" fmla="*/ 1530 w 1788"/>
              <a:gd name="T59" fmla="*/ 0 h 1381"/>
              <a:gd name="T60" fmla="*/ 1567 w 1788"/>
              <a:gd name="T61" fmla="*/ 0 h 1381"/>
              <a:gd name="T62" fmla="*/ 1594 w 1788"/>
              <a:gd name="T63" fmla="*/ 0 h 1381"/>
              <a:gd name="T64" fmla="*/ 1631 w 1788"/>
              <a:gd name="T65" fmla="*/ 10 h 1381"/>
              <a:gd name="T66" fmla="*/ 1788 w 1788"/>
              <a:gd name="T67" fmla="*/ 302 h 1381"/>
              <a:gd name="T68" fmla="*/ 1770 w 1788"/>
              <a:gd name="T69" fmla="*/ 302 h 1381"/>
              <a:gd name="T70" fmla="*/ 1733 w 1788"/>
              <a:gd name="T71" fmla="*/ 311 h 1381"/>
              <a:gd name="T72" fmla="*/ 1677 w 1788"/>
              <a:gd name="T73" fmla="*/ 330 h 1381"/>
              <a:gd name="T74" fmla="*/ 1604 w 1788"/>
              <a:gd name="T75" fmla="*/ 357 h 1381"/>
              <a:gd name="T76" fmla="*/ 1511 w 1788"/>
              <a:gd name="T77" fmla="*/ 384 h 1381"/>
              <a:gd name="T78" fmla="*/ 1410 w 1788"/>
              <a:gd name="T79" fmla="*/ 421 h 1381"/>
              <a:gd name="T80" fmla="*/ 1299 w 1788"/>
              <a:gd name="T81" fmla="*/ 467 h 1381"/>
              <a:gd name="T82" fmla="*/ 1180 w 1788"/>
              <a:gd name="T83" fmla="*/ 521 h 1381"/>
              <a:gd name="T84" fmla="*/ 1051 w 1788"/>
              <a:gd name="T85" fmla="*/ 585 h 1381"/>
              <a:gd name="T86" fmla="*/ 921 w 1788"/>
              <a:gd name="T87" fmla="*/ 659 h 1381"/>
              <a:gd name="T88" fmla="*/ 792 w 1788"/>
              <a:gd name="T89" fmla="*/ 732 h 1381"/>
              <a:gd name="T90" fmla="*/ 673 w 1788"/>
              <a:gd name="T91" fmla="*/ 832 h 1381"/>
              <a:gd name="T92" fmla="*/ 544 w 1788"/>
              <a:gd name="T93" fmla="*/ 933 h 1381"/>
              <a:gd name="T94" fmla="*/ 433 w 1788"/>
              <a:gd name="T95" fmla="*/ 1042 h 1381"/>
              <a:gd name="T96" fmla="*/ 332 w 1788"/>
              <a:gd name="T97" fmla="*/ 1170 h 1381"/>
              <a:gd name="T98" fmla="*/ 249 w 1788"/>
              <a:gd name="T99" fmla="*/ 1308 h 1381"/>
              <a:gd name="T100" fmla="*/ 202 w 1788"/>
              <a:gd name="T101" fmla="*/ 1344 h 1381"/>
              <a:gd name="T102" fmla="*/ 156 w 1788"/>
              <a:gd name="T103" fmla="*/ 1362 h 1381"/>
              <a:gd name="T104" fmla="*/ 101 w 1788"/>
              <a:gd name="T105" fmla="*/ 1381 h 1381"/>
              <a:gd name="T106" fmla="*/ 55 w 1788"/>
              <a:gd name="T107" fmla="*/ 1372 h 1381"/>
              <a:gd name="T108" fmla="*/ 9 w 1788"/>
              <a:gd name="T109" fmla="*/ 1335 h 1381"/>
              <a:gd name="T110" fmla="*/ 0 w 1788"/>
              <a:gd name="T111" fmla="*/ 1280 h 1381"/>
              <a:gd name="T112" fmla="*/ 0 w 1788"/>
              <a:gd name="T113" fmla="*/ 1234 h 1381"/>
              <a:gd name="T114" fmla="*/ 18 w 1788"/>
              <a:gd name="T115" fmla="*/ 1189 h 1381"/>
              <a:gd name="T116" fmla="*/ 46 w 1788"/>
              <a:gd name="T117" fmla="*/ 1134 h 1381"/>
              <a:gd name="T118" fmla="*/ 92 w 1788"/>
              <a:gd name="T119" fmla="*/ 1079 h 1381"/>
              <a:gd name="T120" fmla="*/ 92 w 1788"/>
              <a:gd name="T121" fmla="*/ 1079 h 1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88" h="1381">
                <a:moveTo>
                  <a:pt x="92" y="1079"/>
                </a:moveTo>
                <a:lnTo>
                  <a:pt x="129" y="997"/>
                </a:lnTo>
                <a:lnTo>
                  <a:pt x="175" y="942"/>
                </a:lnTo>
                <a:lnTo>
                  <a:pt x="221" y="878"/>
                </a:lnTo>
                <a:lnTo>
                  <a:pt x="267" y="823"/>
                </a:lnTo>
                <a:lnTo>
                  <a:pt x="304" y="768"/>
                </a:lnTo>
                <a:lnTo>
                  <a:pt x="359" y="713"/>
                </a:lnTo>
                <a:lnTo>
                  <a:pt x="405" y="659"/>
                </a:lnTo>
                <a:lnTo>
                  <a:pt x="451" y="613"/>
                </a:lnTo>
                <a:lnTo>
                  <a:pt x="497" y="558"/>
                </a:lnTo>
                <a:lnTo>
                  <a:pt x="553" y="521"/>
                </a:lnTo>
                <a:lnTo>
                  <a:pt x="599" y="467"/>
                </a:lnTo>
                <a:lnTo>
                  <a:pt x="663" y="430"/>
                </a:lnTo>
                <a:lnTo>
                  <a:pt x="709" y="375"/>
                </a:lnTo>
                <a:lnTo>
                  <a:pt x="774" y="330"/>
                </a:lnTo>
                <a:lnTo>
                  <a:pt x="839" y="284"/>
                </a:lnTo>
                <a:lnTo>
                  <a:pt x="912" y="247"/>
                </a:lnTo>
                <a:lnTo>
                  <a:pt x="958" y="211"/>
                </a:lnTo>
                <a:lnTo>
                  <a:pt x="1014" y="174"/>
                </a:lnTo>
                <a:lnTo>
                  <a:pt x="1060" y="147"/>
                </a:lnTo>
                <a:lnTo>
                  <a:pt x="1115" y="128"/>
                </a:lnTo>
                <a:lnTo>
                  <a:pt x="1170" y="101"/>
                </a:lnTo>
                <a:lnTo>
                  <a:pt x="1216" y="83"/>
                </a:lnTo>
                <a:lnTo>
                  <a:pt x="1272" y="64"/>
                </a:lnTo>
                <a:lnTo>
                  <a:pt x="1318" y="46"/>
                </a:lnTo>
                <a:lnTo>
                  <a:pt x="1364" y="28"/>
                </a:lnTo>
                <a:lnTo>
                  <a:pt x="1410" y="19"/>
                </a:lnTo>
                <a:lnTo>
                  <a:pt x="1456" y="10"/>
                </a:lnTo>
                <a:lnTo>
                  <a:pt x="1493" y="10"/>
                </a:lnTo>
                <a:lnTo>
                  <a:pt x="1530" y="0"/>
                </a:lnTo>
                <a:lnTo>
                  <a:pt x="1567" y="0"/>
                </a:lnTo>
                <a:lnTo>
                  <a:pt x="1594" y="0"/>
                </a:lnTo>
                <a:lnTo>
                  <a:pt x="1631" y="10"/>
                </a:lnTo>
                <a:lnTo>
                  <a:pt x="1788" y="302"/>
                </a:lnTo>
                <a:lnTo>
                  <a:pt x="1770" y="302"/>
                </a:lnTo>
                <a:lnTo>
                  <a:pt x="1733" y="311"/>
                </a:lnTo>
                <a:lnTo>
                  <a:pt x="1677" y="330"/>
                </a:lnTo>
                <a:lnTo>
                  <a:pt x="1604" y="357"/>
                </a:lnTo>
                <a:lnTo>
                  <a:pt x="1511" y="384"/>
                </a:lnTo>
                <a:lnTo>
                  <a:pt x="1410" y="421"/>
                </a:lnTo>
                <a:lnTo>
                  <a:pt x="1299" y="467"/>
                </a:lnTo>
                <a:lnTo>
                  <a:pt x="1180" y="521"/>
                </a:lnTo>
                <a:lnTo>
                  <a:pt x="1051" y="585"/>
                </a:lnTo>
                <a:lnTo>
                  <a:pt x="921" y="659"/>
                </a:lnTo>
                <a:lnTo>
                  <a:pt x="792" y="732"/>
                </a:lnTo>
                <a:lnTo>
                  <a:pt x="673" y="832"/>
                </a:lnTo>
                <a:lnTo>
                  <a:pt x="544" y="933"/>
                </a:lnTo>
                <a:lnTo>
                  <a:pt x="433" y="1042"/>
                </a:lnTo>
                <a:lnTo>
                  <a:pt x="332" y="1170"/>
                </a:lnTo>
                <a:lnTo>
                  <a:pt x="249" y="1308"/>
                </a:lnTo>
                <a:lnTo>
                  <a:pt x="202" y="1344"/>
                </a:lnTo>
                <a:lnTo>
                  <a:pt x="156" y="1362"/>
                </a:lnTo>
                <a:lnTo>
                  <a:pt x="101" y="1381"/>
                </a:lnTo>
                <a:lnTo>
                  <a:pt x="55" y="1372"/>
                </a:lnTo>
                <a:lnTo>
                  <a:pt x="9" y="1335"/>
                </a:lnTo>
                <a:lnTo>
                  <a:pt x="0" y="1280"/>
                </a:lnTo>
                <a:lnTo>
                  <a:pt x="0" y="1234"/>
                </a:lnTo>
                <a:lnTo>
                  <a:pt x="18" y="1189"/>
                </a:lnTo>
                <a:lnTo>
                  <a:pt x="46" y="1134"/>
                </a:lnTo>
                <a:lnTo>
                  <a:pt x="92" y="1079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7" name="Freeform 109">
            <a:extLst>
              <a:ext uri="{FF2B5EF4-FFF2-40B4-BE49-F238E27FC236}">
                <a16:creationId xmlns="" xmlns:a16="http://schemas.microsoft.com/office/drawing/2014/main" id="{00000000-0008-0000-0600-00002F000000}"/>
              </a:ext>
            </a:extLst>
          </xdr:cNvPr>
          <xdr:cNvSpPr>
            <a:spLocks/>
          </xdr:cNvSpPr>
        </xdr:nvSpPr>
        <xdr:spPr bwMode="auto">
          <a:xfrm>
            <a:off x="67930" y="269995"/>
            <a:ext cx="308066" cy="129495"/>
          </a:xfrm>
          <a:custGeom>
            <a:avLst/>
            <a:gdLst>
              <a:gd name="T0" fmla="*/ 0 w 3844"/>
              <a:gd name="T1" fmla="*/ 1618 h 1618"/>
              <a:gd name="T2" fmla="*/ 461 w 3844"/>
              <a:gd name="T3" fmla="*/ 932 h 1618"/>
              <a:gd name="T4" fmla="*/ 2747 w 3844"/>
              <a:gd name="T5" fmla="*/ 932 h 1618"/>
              <a:gd name="T6" fmla="*/ 3669 w 3844"/>
              <a:gd name="T7" fmla="*/ 18 h 1618"/>
              <a:gd name="T8" fmla="*/ 3844 w 3844"/>
              <a:gd name="T9" fmla="*/ 0 h 1618"/>
              <a:gd name="T10" fmla="*/ 2793 w 3844"/>
              <a:gd name="T11" fmla="*/ 1042 h 1618"/>
              <a:gd name="T12" fmla="*/ 535 w 3844"/>
              <a:gd name="T13" fmla="*/ 1042 h 1618"/>
              <a:gd name="T14" fmla="*/ 166 w 3844"/>
              <a:gd name="T15" fmla="*/ 1618 h 1618"/>
              <a:gd name="T16" fmla="*/ 0 w 3844"/>
              <a:gd name="T17" fmla="*/ 1618 h 1618"/>
              <a:gd name="T18" fmla="*/ 0 w 3844"/>
              <a:gd name="T19" fmla="*/ 1618 h 16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844" h="1618">
                <a:moveTo>
                  <a:pt x="0" y="1618"/>
                </a:moveTo>
                <a:lnTo>
                  <a:pt x="461" y="932"/>
                </a:lnTo>
                <a:lnTo>
                  <a:pt x="2747" y="932"/>
                </a:lnTo>
                <a:lnTo>
                  <a:pt x="3669" y="18"/>
                </a:lnTo>
                <a:lnTo>
                  <a:pt x="3844" y="0"/>
                </a:lnTo>
                <a:lnTo>
                  <a:pt x="2793" y="1042"/>
                </a:lnTo>
                <a:lnTo>
                  <a:pt x="535" y="1042"/>
                </a:lnTo>
                <a:lnTo>
                  <a:pt x="166" y="1618"/>
                </a:lnTo>
                <a:lnTo>
                  <a:pt x="0" y="1618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Freeform 110">
            <a:extLst>
              <a:ext uri="{FF2B5EF4-FFF2-40B4-BE49-F238E27FC236}">
                <a16:creationId xmlns="" xmlns:a16="http://schemas.microsoft.com/office/drawing/2014/main" id="{00000000-0008-0000-0600-000030000000}"/>
              </a:ext>
            </a:extLst>
          </xdr:cNvPr>
          <xdr:cNvSpPr>
            <a:spLocks/>
          </xdr:cNvSpPr>
        </xdr:nvSpPr>
        <xdr:spPr bwMode="auto">
          <a:xfrm>
            <a:off x="33251" y="271423"/>
            <a:ext cx="301404" cy="128068"/>
          </a:xfrm>
          <a:custGeom>
            <a:avLst/>
            <a:gdLst>
              <a:gd name="T0" fmla="*/ 0 w 3761"/>
              <a:gd name="T1" fmla="*/ 1600 h 1600"/>
              <a:gd name="T2" fmla="*/ 553 w 3761"/>
              <a:gd name="T3" fmla="*/ 759 h 1600"/>
              <a:gd name="T4" fmla="*/ 2839 w 3761"/>
              <a:gd name="T5" fmla="*/ 759 h 1600"/>
              <a:gd name="T6" fmla="*/ 3604 w 3761"/>
              <a:gd name="T7" fmla="*/ 0 h 1600"/>
              <a:gd name="T8" fmla="*/ 3761 w 3761"/>
              <a:gd name="T9" fmla="*/ 0 h 1600"/>
              <a:gd name="T10" fmla="*/ 2885 w 3761"/>
              <a:gd name="T11" fmla="*/ 869 h 1600"/>
              <a:gd name="T12" fmla="*/ 655 w 3761"/>
              <a:gd name="T13" fmla="*/ 869 h 1600"/>
              <a:gd name="T14" fmla="*/ 157 w 3761"/>
              <a:gd name="T15" fmla="*/ 1600 h 1600"/>
              <a:gd name="T16" fmla="*/ 0 w 3761"/>
              <a:gd name="T17" fmla="*/ 1600 h 1600"/>
              <a:gd name="T18" fmla="*/ 0 w 3761"/>
              <a:gd name="T19" fmla="*/ 1600 h 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761" h="1600">
                <a:moveTo>
                  <a:pt x="0" y="1600"/>
                </a:moveTo>
                <a:lnTo>
                  <a:pt x="553" y="759"/>
                </a:lnTo>
                <a:lnTo>
                  <a:pt x="2839" y="759"/>
                </a:lnTo>
                <a:lnTo>
                  <a:pt x="3604" y="0"/>
                </a:lnTo>
                <a:lnTo>
                  <a:pt x="3761" y="0"/>
                </a:lnTo>
                <a:lnTo>
                  <a:pt x="2885" y="869"/>
                </a:lnTo>
                <a:lnTo>
                  <a:pt x="655" y="869"/>
                </a:lnTo>
                <a:lnTo>
                  <a:pt x="157" y="1600"/>
                </a:lnTo>
                <a:lnTo>
                  <a:pt x="0" y="1600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Freeform 111">
            <a:extLst>
              <a:ext uri="{FF2B5EF4-FFF2-40B4-BE49-F238E27FC236}">
                <a16:creationId xmlns="" xmlns:a16="http://schemas.microsoft.com/office/drawing/2014/main" id="{00000000-0008-0000-0600-000031000000}"/>
              </a:ext>
            </a:extLst>
          </xdr:cNvPr>
          <xdr:cNvSpPr>
            <a:spLocks/>
          </xdr:cNvSpPr>
        </xdr:nvSpPr>
        <xdr:spPr bwMode="auto">
          <a:xfrm>
            <a:off x="317583" y="266307"/>
            <a:ext cx="13324" cy="13919"/>
          </a:xfrm>
          <a:custGeom>
            <a:avLst/>
            <a:gdLst>
              <a:gd name="T0" fmla="*/ 83 w 166"/>
              <a:gd name="T1" fmla="*/ 174 h 174"/>
              <a:gd name="T2" fmla="*/ 138 w 166"/>
              <a:gd name="T3" fmla="*/ 147 h 174"/>
              <a:gd name="T4" fmla="*/ 166 w 166"/>
              <a:gd name="T5" fmla="*/ 92 h 174"/>
              <a:gd name="T6" fmla="*/ 138 w 166"/>
              <a:gd name="T7" fmla="*/ 28 h 174"/>
              <a:gd name="T8" fmla="*/ 83 w 166"/>
              <a:gd name="T9" fmla="*/ 0 h 174"/>
              <a:gd name="T10" fmla="*/ 18 w 166"/>
              <a:gd name="T11" fmla="*/ 28 h 174"/>
              <a:gd name="T12" fmla="*/ 0 w 166"/>
              <a:gd name="T13" fmla="*/ 92 h 174"/>
              <a:gd name="T14" fmla="*/ 18 w 166"/>
              <a:gd name="T15" fmla="*/ 147 h 174"/>
              <a:gd name="T16" fmla="*/ 83 w 166"/>
              <a:gd name="T17" fmla="*/ 174 h 174"/>
              <a:gd name="T18" fmla="*/ 83 w 16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66" h="174">
                <a:moveTo>
                  <a:pt x="83" y="174"/>
                </a:moveTo>
                <a:lnTo>
                  <a:pt x="138" y="147"/>
                </a:lnTo>
                <a:lnTo>
                  <a:pt x="166" y="92"/>
                </a:lnTo>
                <a:lnTo>
                  <a:pt x="138" y="28"/>
                </a:lnTo>
                <a:lnTo>
                  <a:pt x="83" y="0"/>
                </a:lnTo>
                <a:lnTo>
                  <a:pt x="18" y="28"/>
                </a:lnTo>
                <a:lnTo>
                  <a:pt x="0" y="92"/>
                </a:lnTo>
                <a:lnTo>
                  <a:pt x="18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0" name="Freeform 112">
            <a:extLst>
              <a:ext uri="{FF2B5EF4-FFF2-40B4-BE49-F238E27FC236}">
                <a16:creationId xmlns="" xmlns:a16="http://schemas.microsoft.com/office/drawing/2014/main" id="{00000000-0008-0000-0600-000032000000}"/>
              </a:ext>
            </a:extLst>
          </xdr:cNvPr>
          <xdr:cNvSpPr>
            <a:spLocks/>
          </xdr:cNvSpPr>
        </xdr:nvSpPr>
        <xdr:spPr bwMode="auto">
          <a:xfrm>
            <a:off x="358924" y="267080"/>
            <a:ext cx="13324" cy="13146"/>
          </a:xfrm>
          <a:custGeom>
            <a:avLst/>
            <a:gdLst>
              <a:gd name="T0" fmla="*/ 83 w 166"/>
              <a:gd name="T1" fmla="*/ 165 h 165"/>
              <a:gd name="T2" fmla="*/ 111 w 166"/>
              <a:gd name="T3" fmla="*/ 156 h 165"/>
              <a:gd name="T4" fmla="*/ 139 w 166"/>
              <a:gd name="T5" fmla="*/ 147 h 165"/>
              <a:gd name="T6" fmla="*/ 148 w 166"/>
              <a:gd name="T7" fmla="*/ 110 h 165"/>
              <a:gd name="T8" fmla="*/ 166 w 166"/>
              <a:gd name="T9" fmla="*/ 83 h 165"/>
              <a:gd name="T10" fmla="*/ 148 w 166"/>
              <a:gd name="T11" fmla="*/ 46 h 165"/>
              <a:gd name="T12" fmla="*/ 139 w 166"/>
              <a:gd name="T13" fmla="*/ 19 h 165"/>
              <a:gd name="T14" fmla="*/ 111 w 166"/>
              <a:gd name="T15" fmla="*/ 0 h 165"/>
              <a:gd name="T16" fmla="*/ 83 w 166"/>
              <a:gd name="T17" fmla="*/ 0 h 165"/>
              <a:gd name="T18" fmla="*/ 37 w 166"/>
              <a:gd name="T19" fmla="*/ 0 h 165"/>
              <a:gd name="T20" fmla="*/ 19 w 166"/>
              <a:gd name="T21" fmla="*/ 19 h 165"/>
              <a:gd name="T22" fmla="*/ 0 w 166"/>
              <a:gd name="T23" fmla="*/ 46 h 165"/>
              <a:gd name="T24" fmla="*/ 0 w 166"/>
              <a:gd name="T25" fmla="*/ 83 h 165"/>
              <a:gd name="T26" fmla="*/ 19 w 166"/>
              <a:gd name="T27" fmla="*/ 147 h 165"/>
              <a:gd name="T28" fmla="*/ 83 w 166"/>
              <a:gd name="T29" fmla="*/ 165 h 165"/>
              <a:gd name="T30" fmla="*/ 83 w 166"/>
              <a:gd name="T31" fmla="*/ 165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66" h="165">
                <a:moveTo>
                  <a:pt x="83" y="165"/>
                </a:moveTo>
                <a:lnTo>
                  <a:pt x="111" y="156"/>
                </a:lnTo>
                <a:lnTo>
                  <a:pt x="139" y="147"/>
                </a:lnTo>
                <a:lnTo>
                  <a:pt x="148" y="110"/>
                </a:lnTo>
                <a:lnTo>
                  <a:pt x="166" y="83"/>
                </a:lnTo>
                <a:lnTo>
                  <a:pt x="148" y="46"/>
                </a:lnTo>
                <a:lnTo>
                  <a:pt x="139" y="19"/>
                </a:lnTo>
                <a:lnTo>
                  <a:pt x="111" y="0"/>
                </a:lnTo>
                <a:lnTo>
                  <a:pt x="83" y="0"/>
                </a:lnTo>
                <a:lnTo>
                  <a:pt x="37" y="0"/>
                </a:lnTo>
                <a:lnTo>
                  <a:pt x="19" y="19"/>
                </a:lnTo>
                <a:lnTo>
                  <a:pt x="0" y="46"/>
                </a:lnTo>
                <a:lnTo>
                  <a:pt x="0" y="83"/>
                </a:lnTo>
                <a:lnTo>
                  <a:pt x="19" y="147"/>
                </a:lnTo>
                <a:lnTo>
                  <a:pt x="83" y="165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51" name="Line 157">
            <a:extLst>
              <a:ext uri="{FF2B5EF4-FFF2-40B4-BE49-F238E27FC236}">
                <a16:creationId xmlns="" xmlns:a16="http://schemas.microsoft.com/office/drawing/2014/main" id="{00000000-0008-0000-0600-000033000000}"/>
              </a:ext>
            </a:extLst>
          </xdr:cNvPr>
          <xdr:cNvCxnSpPr/>
        </xdr:nvCxnSpPr>
        <xdr:spPr bwMode="auto">
          <a:xfrm flipV="1">
            <a:off x="492524" y="139191"/>
            <a:ext cx="149720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2" name="Line 156">
            <a:extLst>
              <a:ext uri="{FF2B5EF4-FFF2-40B4-BE49-F238E27FC236}">
                <a16:creationId xmlns="" xmlns:a16="http://schemas.microsoft.com/office/drawing/2014/main" id="{00000000-0008-0000-0600-000034000000}"/>
              </a:ext>
            </a:extLst>
          </xdr:cNvPr>
          <xdr:cNvCxnSpPr/>
        </xdr:nvCxnSpPr>
        <xdr:spPr bwMode="auto">
          <a:xfrm flipH="1" flipV="1">
            <a:off x="385454" y="235554"/>
            <a:ext cx="107189" cy="28908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3" name="Line 158">
            <a:extLst>
              <a:ext uri="{FF2B5EF4-FFF2-40B4-BE49-F238E27FC236}">
                <a16:creationId xmlns="" xmlns:a16="http://schemas.microsoft.com/office/drawing/2014/main" id="{00000000-0008-0000-0600-000035000000}"/>
              </a:ext>
            </a:extLst>
          </xdr:cNvPr>
          <xdr:cNvCxnSpPr/>
        </xdr:nvCxnSpPr>
        <xdr:spPr bwMode="auto">
          <a:xfrm flipV="1">
            <a:off x="278383" y="235554"/>
            <a:ext cx="107011" cy="28914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4" name="Line 154">
            <a:extLst>
              <a:ext uri="{FF2B5EF4-FFF2-40B4-BE49-F238E27FC236}">
                <a16:creationId xmlns="" xmlns:a16="http://schemas.microsoft.com/office/drawing/2014/main" id="{00000000-0008-0000-0600-000036000000}"/>
              </a:ext>
            </a:extLst>
          </xdr:cNvPr>
          <xdr:cNvCxnSpPr/>
        </xdr:nvCxnSpPr>
        <xdr:spPr bwMode="auto">
          <a:xfrm flipH="1" flipV="1">
            <a:off x="139192" y="139191"/>
            <a:ext cx="139192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5" name="Line 160">
            <a:extLst>
              <a:ext uri="{FF2B5EF4-FFF2-40B4-BE49-F238E27FC236}">
                <a16:creationId xmlns="" xmlns:a16="http://schemas.microsoft.com/office/drawing/2014/main" id="{00000000-0008-0000-0600-000037000000}"/>
              </a:ext>
            </a:extLst>
          </xdr:cNvPr>
          <xdr:cNvCxnSpPr/>
        </xdr:nvCxnSpPr>
        <xdr:spPr bwMode="auto">
          <a:xfrm flipV="1">
            <a:off x="278383" y="139191"/>
            <a:ext cx="10707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" name="Line 159">
            <a:extLst>
              <a:ext uri="{FF2B5EF4-FFF2-40B4-BE49-F238E27FC236}">
                <a16:creationId xmlns="" xmlns:a16="http://schemas.microsoft.com/office/drawing/2014/main" id="{00000000-0008-0000-0600-000038000000}"/>
              </a:ext>
            </a:extLst>
          </xdr:cNvPr>
          <xdr:cNvCxnSpPr/>
        </xdr:nvCxnSpPr>
        <xdr:spPr bwMode="auto">
          <a:xfrm flipH="1" flipV="1">
            <a:off x="171313" y="139191"/>
            <a:ext cx="10701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161">
            <a:extLst>
              <a:ext uri="{FF2B5EF4-FFF2-40B4-BE49-F238E27FC236}">
                <a16:creationId xmlns="" xmlns:a16="http://schemas.microsoft.com/office/drawing/2014/main" id="{00000000-0008-0000-0600-000039000000}"/>
              </a:ext>
            </a:extLst>
          </xdr:cNvPr>
          <xdr:cNvCxnSpPr/>
        </xdr:nvCxnSpPr>
        <xdr:spPr bwMode="auto">
          <a:xfrm>
            <a:off x="139192" y="139191"/>
            <a:ext cx="32121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8" name="Line 142">
            <a:extLst>
              <a:ext uri="{FF2B5EF4-FFF2-40B4-BE49-F238E27FC236}">
                <a16:creationId xmlns="" xmlns:a16="http://schemas.microsoft.com/office/drawing/2014/main" id="{00000000-0008-0000-0600-00003A000000}"/>
              </a:ext>
            </a:extLst>
          </xdr:cNvPr>
          <xdr:cNvCxnSpPr/>
        </xdr:nvCxnSpPr>
        <xdr:spPr bwMode="auto">
          <a:xfrm>
            <a:off x="385454" y="139191"/>
            <a:ext cx="256910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</xdr:col>
      <xdr:colOff>869950</xdr:colOff>
      <xdr:row>1</xdr:row>
      <xdr:rowOff>736600</xdr:rowOff>
    </xdr:from>
    <xdr:to>
      <xdr:col>2</xdr:col>
      <xdr:colOff>247650</xdr:colOff>
      <xdr:row>2</xdr:row>
      <xdr:rowOff>16510</xdr:rowOff>
    </xdr:to>
    <xdr:cxnSp macro="">
      <xdr:nvCxnSpPr>
        <xdr:cNvPr id="62" name="Straight Connector 61">
          <a:extLst>
            <a:ext uri="{FF2B5EF4-FFF2-40B4-BE49-F238E27FC236}">
              <a16:creationId xmlns="" xmlns:a16="http://schemas.microsoft.com/office/drawing/2014/main" id="{00000000-0008-0000-0600-00003E000000}"/>
            </a:ext>
          </a:extLst>
        </xdr:cNvPr>
        <xdr:cNvCxnSpPr/>
      </xdr:nvCxnSpPr>
      <xdr:spPr>
        <a:xfrm flipV="1">
          <a:off x="1479550" y="1181100"/>
          <a:ext cx="762000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107951</xdr:rowOff>
    </xdr:from>
    <xdr:to>
      <xdr:col>1</xdr:col>
      <xdr:colOff>920750</xdr:colOff>
      <xdr:row>2</xdr:row>
      <xdr:rowOff>31751</xdr:rowOff>
    </xdr:to>
    <xdr:grpSp>
      <xdr:nvGrpSpPr>
        <xdr:cNvPr id="2" name="Canvas 64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644525" y="555626"/>
          <a:ext cx="857250" cy="676275"/>
          <a:chOff x="0" y="0"/>
          <a:chExt cx="768350" cy="567055"/>
        </a:xfrm>
      </xdr:grpSpPr>
      <xdr:sp macro="" textlink="">
        <xdr:nvSpPr>
          <xdr:cNvPr id="3" name="Rectangle 2">
            <a:extLst>
              <a:ext uri="{FF2B5EF4-FFF2-40B4-BE49-F238E27FC236}">
                <a16:creationId xmlns="" xmlns:a16="http://schemas.microsoft.com/office/drawing/2014/main" id="{00000000-0008-0000-0700-000003000000}"/>
              </a:ext>
            </a:extLst>
          </xdr:cNvPr>
          <xdr:cNvSpPr/>
        </xdr:nvSpPr>
        <xdr:spPr>
          <a:xfrm>
            <a:off x="0" y="0"/>
            <a:ext cx="768350" cy="567055"/>
          </a:xfrm>
          <a:prstGeom prst="rect">
            <a:avLst/>
          </a:prstGeom>
          <a:noFill/>
        </xdr:spPr>
      </xdr:sp>
      <xdr:sp macro="" textlink="">
        <xdr:nvSpPr>
          <xdr:cNvPr id="4" name="Freeform 65">
            <a:extLst>
              <a:ext uri="{FF2B5EF4-FFF2-40B4-BE49-F238E27FC236}">
                <a16:creationId xmlns="" xmlns:a16="http://schemas.microsoft.com/office/drawing/2014/main" id="{00000000-0008-0000-0700-000004000000}"/>
              </a:ext>
            </a:extLst>
          </xdr:cNvPr>
          <xdr:cNvSpPr>
            <a:spLocks/>
          </xdr:cNvSpPr>
        </xdr:nvSpPr>
        <xdr:spPr bwMode="auto">
          <a:xfrm>
            <a:off x="103502" y="0"/>
            <a:ext cx="570805" cy="567055"/>
          </a:xfrm>
          <a:custGeom>
            <a:avLst/>
            <a:gdLst>
              <a:gd name="T0" fmla="*/ 3927 w 7125"/>
              <a:gd name="T1" fmla="*/ 7057 h 7084"/>
              <a:gd name="T2" fmla="*/ 4618 w 7125"/>
              <a:gd name="T3" fmla="*/ 6911 h 7084"/>
              <a:gd name="T4" fmla="*/ 5254 w 7125"/>
              <a:gd name="T5" fmla="*/ 6645 h 7084"/>
              <a:gd name="T6" fmla="*/ 5816 w 7125"/>
              <a:gd name="T7" fmla="*/ 6262 h 7084"/>
              <a:gd name="T8" fmla="*/ 6305 w 7125"/>
              <a:gd name="T9" fmla="*/ 5777 h 7084"/>
              <a:gd name="T10" fmla="*/ 6692 w 7125"/>
              <a:gd name="T11" fmla="*/ 5219 h 7084"/>
              <a:gd name="T12" fmla="*/ 6959 w 7125"/>
              <a:gd name="T13" fmla="*/ 4589 h 7084"/>
              <a:gd name="T14" fmla="*/ 7107 w 7125"/>
              <a:gd name="T15" fmla="*/ 3894 h 7084"/>
              <a:gd name="T16" fmla="*/ 7107 w 7125"/>
              <a:gd name="T17" fmla="*/ 3181 h 7084"/>
              <a:gd name="T18" fmla="*/ 6959 w 7125"/>
              <a:gd name="T19" fmla="*/ 2486 h 7084"/>
              <a:gd name="T20" fmla="*/ 6692 w 7125"/>
              <a:gd name="T21" fmla="*/ 1847 h 7084"/>
              <a:gd name="T22" fmla="*/ 6305 w 7125"/>
              <a:gd name="T23" fmla="*/ 1289 h 7084"/>
              <a:gd name="T24" fmla="*/ 5816 w 7125"/>
              <a:gd name="T25" fmla="*/ 805 h 7084"/>
              <a:gd name="T26" fmla="*/ 5254 w 7125"/>
              <a:gd name="T27" fmla="*/ 421 h 7084"/>
              <a:gd name="T28" fmla="*/ 4618 w 7125"/>
              <a:gd name="T29" fmla="*/ 156 h 7084"/>
              <a:gd name="T30" fmla="*/ 3927 w 7125"/>
              <a:gd name="T31" fmla="*/ 9 h 7084"/>
              <a:gd name="T32" fmla="*/ 3189 w 7125"/>
              <a:gd name="T33" fmla="*/ 9 h 7084"/>
              <a:gd name="T34" fmla="*/ 2489 w 7125"/>
              <a:gd name="T35" fmla="*/ 156 h 7084"/>
              <a:gd name="T36" fmla="*/ 1853 w 7125"/>
              <a:gd name="T37" fmla="*/ 421 h 7084"/>
              <a:gd name="T38" fmla="*/ 1290 w 7125"/>
              <a:gd name="T39" fmla="*/ 805 h 7084"/>
              <a:gd name="T40" fmla="*/ 811 w 7125"/>
              <a:gd name="T41" fmla="*/ 1289 h 7084"/>
              <a:gd name="T42" fmla="*/ 415 w 7125"/>
              <a:gd name="T43" fmla="*/ 1847 h 7084"/>
              <a:gd name="T44" fmla="*/ 157 w 7125"/>
              <a:gd name="T45" fmla="*/ 2486 h 7084"/>
              <a:gd name="T46" fmla="*/ 9 w 7125"/>
              <a:gd name="T47" fmla="*/ 3181 h 7084"/>
              <a:gd name="T48" fmla="*/ 9 w 7125"/>
              <a:gd name="T49" fmla="*/ 3894 h 7084"/>
              <a:gd name="T50" fmla="*/ 157 w 7125"/>
              <a:gd name="T51" fmla="*/ 4589 h 7084"/>
              <a:gd name="T52" fmla="*/ 415 w 7125"/>
              <a:gd name="T53" fmla="*/ 5219 h 7084"/>
              <a:gd name="T54" fmla="*/ 811 w 7125"/>
              <a:gd name="T55" fmla="*/ 5777 h 7084"/>
              <a:gd name="T56" fmla="*/ 1290 w 7125"/>
              <a:gd name="T57" fmla="*/ 6262 h 7084"/>
              <a:gd name="T58" fmla="*/ 1853 w 7125"/>
              <a:gd name="T59" fmla="*/ 6645 h 7084"/>
              <a:gd name="T60" fmla="*/ 2489 w 7125"/>
              <a:gd name="T61" fmla="*/ 6911 h 7084"/>
              <a:gd name="T62" fmla="*/ 3189 w 7125"/>
              <a:gd name="T63" fmla="*/ 7057 h 7084"/>
              <a:gd name="T64" fmla="*/ 3558 w 7125"/>
              <a:gd name="T65" fmla="*/ 7084 h 70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7125" h="7084">
                <a:moveTo>
                  <a:pt x="3558" y="7084"/>
                </a:moveTo>
                <a:lnTo>
                  <a:pt x="3927" y="7057"/>
                </a:lnTo>
                <a:lnTo>
                  <a:pt x="4277" y="7002"/>
                </a:lnTo>
                <a:lnTo>
                  <a:pt x="4618" y="6911"/>
                </a:lnTo>
                <a:lnTo>
                  <a:pt x="4950" y="6801"/>
                </a:lnTo>
                <a:lnTo>
                  <a:pt x="5254" y="6645"/>
                </a:lnTo>
                <a:lnTo>
                  <a:pt x="5549" y="6472"/>
                </a:lnTo>
                <a:lnTo>
                  <a:pt x="5816" y="6262"/>
                </a:lnTo>
                <a:lnTo>
                  <a:pt x="6084" y="6042"/>
                </a:lnTo>
                <a:lnTo>
                  <a:pt x="6305" y="5777"/>
                </a:lnTo>
                <a:lnTo>
                  <a:pt x="6517" y="5512"/>
                </a:lnTo>
                <a:lnTo>
                  <a:pt x="6692" y="5219"/>
                </a:lnTo>
                <a:lnTo>
                  <a:pt x="6840" y="4909"/>
                </a:lnTo>
                <a:lnTo>
                  <a:pt x="6959" y="4589"/>
                </a:lnTo>
                <a:lnTo>
                  <a:pt x="7052" y="4241"/>
                </a:lnTo>
                <a:lnTo>
                  <a:pt x="7107" y="3894"/>
                </a:lnTo>
                <a:lnTo>
                  <a:pt x="7125" y="3547"/>
                </a:lnTo>
                <a:lnTo>
                  <a:pt x="7107" y="3181"/>
                </a:lnTo>
                <a:lnTo>
                  <a:pt x="7052" y="2825"/>
                </a:lnTo>
                <a:lnTo>
                  <a:pt x="6959" y="2486"/>
                </a:lnTo>
                <a:lnTo>
                  <a:pt x="6840" y="2157"/>
                </a:lnTo>
                <a:lnTo>
                  <a:pt x="6692" y="1847"/>
                </a:lnTo>
                <a:lnTo>
                  <a:pt x="6517" y="1554"/>
                </a:lnTo>
                <a:lnTo>
                  <a:pt x="6305" y="1289"/>
                </a:lnTo>
                <a:lnTo>
                  <a:pt x="6084" y="1033"/>
                </a:lnTo>
                <a:lnTo>
                  <a:pt x="5816" y="805"/>
                </a:lnTo>
                <a:lnTo>
                  <a:pt x="5549" y="594"/>
                </a:lnTo>
                <a:lnTo>
                  <a:pt x="5254" y="421"/>
                </a:lnTo>
                <a:lnTo>
                  <a:pt x="4950" y="274"/>
                </a:lnTo>
                <a:lnTo>
                  <a:pt x="4618" y="156"/>
                </a:lnTo>
                <a:lnTo>
                  <a:pt x="4277" y="73"/>
                </a:lnTo>
                <a:lnTo>
                  <a:pt x="3927" y="9"/>
                </a:lnTo>
                <a:lnTo>
                  <a:pt x="3558" y="0"/>
                </a:lnTo>
                <a:lnTo>
                  <a:pt x="3189" y="9"/>
                </a:lnTo>
                <a:lnTo>
                  <a:pt x="2839" y="73"/>
                </a:lnTo>
                <a:lnTo>
                  <a:pt x="2489" y="156"/>
                </a:lnTo>
                <a:lnTo>
                  <a:pt x="2175" y="274"/>
                </a:lnTo>
                <a:lnTo>
                  <a:pt x="1853" y="421"/>
                </a:lnTo>
                <a:lnTo>
                  <a:pt x="1567" y="594"/>
                </a:lnTo>
                <a:lnTo>
                  <a:pt x="1290" y="805"/>
                </a:lnTo>
                <a:lnTo>
                  <a:pt x="1041" y="1033"/>
                </a:lnTo>
                <a:lnTo>
                  <a:pt x="811" y="1289"/>
                </a:lnTo>
                <a:lnTo>
                  <a:pt x="599" y="1554"/>
                </a:lnTo>
                <a:lnTo>
                  <a:pt x="415" y="1847"/>
                </a:lnTo>
                <a:lnTo>
                  <a:pt x="276" y="2157"/>
                </a:lnTo>
                <a:lnTo>
                  <a:pt x="157" y="2486"/>
                </a:lnTo>
                <a:lnTo>
                  <a:pt x="74" y="2825"/>
                </a:lnTo>
                <a:lnTo>
                  <a:pt x="9" y="3181"/>
                </a:lnTo>
                <a:lnTo>
                  <a:pt x="0" y="3547"/>
                </a:lnTo>
                <a:lnTo>
                  <a:pt x="9" y="3894"/>
                </a:lnTo>
                <a:lnTo>
                  <a:pt x="74" y="4241"/>
                </a:lnTo>
                <a:lnTo>
                  <a:pt x="157" y="4589"/>
                </a:lnTo>
                <a:lnTo>
                  <a:pt x="276" y="4909"/>
                </a:lnTo>
                <a:lnTo>
                  <a:pt x="415" y="5219"/>
                </a:lnTo>
                <a:lnTo>
                  <a:pt x="599" y="5512"/>
                </a:lnTo>
                <a:lnTo>
                  <a:pt x="811" y="5777"/>
                </a:lnTo>
                <a:lnTo>
                  <a:pt x="1041" y="6042"/>
                </a:lnTo>
                <a:lnTo>
                  <a:pt x="1290" y="6262"/>
                </a:lnTo>
                <a:lnTo>
                  <a:pt x="1567" y="6472"/>
                </a:lnTo>
                <a:lnTo>
                  <a:pt x="1853" y="6645"/>
                </a:lnTo>
                <a:lnTo>
                  <a:pt x="2175" y="6801"/>
                </a:lnTo>
                <a:lnTo>
                  <a:pt x="2489" y="6911"/>
                </a:lnTo>
                <a:lnTo>
                  <a:pt x="2839" y="7002"/>
                </a:lnTo>
                <a:lnTo>
                  <a:pt x="3189" y="7057"/>
                </a:lnTo>
                <a:lnTo>
                  <a:pt x="3558" y="7084"/>
                </a:lnTo>
                <a:close/>
              </a:path>
            </a:pathLst>
          </a:custGeom>
          <a:solidFill>
            <a:srgbClr val="00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Freeform 66">
            <a:extLst>
              <a:ext uri="{FF2B5EF4-FFF2-40B4-BE49-F238E27FC236}">
                <a16:creationId xmlns="" xmlns:a16="http://schemas.microsoft.com/office/drawing/2014/main" id="{00000000-0008-0000-0700-000005000000}"/>
              </a:ext>
            </a:extLst>
          </xdr:cNvPr>
          <xdr:cNvSpPr>
            <a:spLocks/>
          </xdr:cNvSpPr>
        </xdr:nvSpPr>
        <xdr:spPr bwMode="auto">
          <a:xfrm>
            <a:off x="123429" y="19748"/>
            <a:ext cx="530297" cy="526071"/>
          </a:xfrm>
          <a:custGeom>
            <a:avLst/>
            <a:gdLst>
              <a:gd name="T0" fmla="*/ 3632 w 6618"/>
              <a:gd name="T1" fmla="*/ 6554 h 6572"/>
              <a:gd name="T2" fmla="*/ 4277 w 6618"/>
              <a:gd name="T3" fmla="*/ 6417 h 6572"/>
              <a:gd name="T4" fmla="*/ 4876 w 6618"/>
              <a:gd name="T5" fmla="*/ 6170 h 6572"/>
              <a:gd name="T6" fmla="*/ 5401 w 6618"/>
              <a:gd name="T7" fmla="*/ 5813 h 6572"/>
              <a:gd name="T8" fmla="*/ 5853 w 6618"/>
              <a:gd name="T9" fmla="*/ 5375 h 6572"/>
              <a:gd name="T10" fmla="*/ 6213 w 6618"/>
              <a:gd name="T11" fmla="*/ 4845 h 6572"/>
              <a:gd name="T12" fmla="*/ 6461 w 6618"/>
              <a:gd name="T13" fmla="*/ 4250 h 6572"/>
              <a:gd name="T14" fmla="*/ 6600 w 6618"/>
              <a:gd name="T15" fmla="*/ 3620 h 6572"/>
              <a:gd name="T16" fmla="*/ 6600 w 6618"/>
              <a:gd name="T17" fmla="*/ 2952 h 6572"/>
              <a:gd name="T18" fmla="*/ 6461 w 6618"/>
              <a:gd name="T19" fmla="*/ 2303 h 6572"/>
              <a:gd name="T20" fmla="*/ 6213 w 6618"/>
              <a:gd name="T21" fmla="*/ 1718 h 6572"/>
              <a:gd name="T22" fmla="*/ 5853 w 6618"/>
              <a:gd name="T23" fmla="*/ 1197 h 6572"/>
              <a:gd name="T24" fmla="*/ 5401 w 6618"/>
              <a:gd name="T25" fmla="*/ 749 h 6572"/>
              <a:gd name="T26" fmla="*/ 4876 w 6618"/>
              <a:gd name="T27" fmla="*/ 393 h 6572"/>
              <a:gd name="T28" fmla="*/ 4277 w 6618"/>
              <a:gd name="T29" fmla="*/ 146 h 6572"/>
              <a:gd name="T30" fmla="*/ 3632 w 6618"/>
              <a:gd name="T31" fmla="*/ 18 h 6572"/>
              <a:gd name="T32" fmla="*/ 2959 w 6618"/>
              <a:gd name="T33" fmla="*/ 18 h 6572"/>
              <a:gd name="T34" fmla="*/ 2313 w 6618"/>
              <a:gd name="T35" fmla="*/ 146 h 6572"/>
              <a:gd name="T36" fmla="*/ 1723 w 6618"/>
              <a:gd name="T37" fmla="*/ 393 h 6572"/>
              <a:gd name="T38" fmla="*/ 1198 w 6618"/>
              <a:gd name="T39" fmla="*/ 749 h 6572"/>
              <a:gd name="T40" fmla="*/ 746 w 6618"/>
              <a:gd name="T41" fmla="*/ 1197 h 6572"/>
              <a:gd name="T42" fmla="*/ 387 w 6618"/>
              <a:gd name="T43" fmla="*/ 1718 h 6572"/>
              <a:gd name="T44" fmla="*/ 138 w 6618"/>
              <a:gd name="T45" fmla="*/ 2303 h 6572"/>
              <a:gd name="T46" fmla="*/ 9 w 6618"/>
              <a:gd name="T47" fmla="*/ 2952 h 6572"/>
              <a:gd name="T48" fmla="*/ 9 w 6618"/>
              <a:gd name="T49" fmla="*/ 3620 h 6572"/>
              <a:gd name="T50" fmla="*/ 138 w 6618"/>
              <a:gd name="T51" fmla="*/ 4250 h 6572"/>
              <a:gd name="T52" fmla="*/ 387 w 6618"/>
              <a:gd name="T53" fmla="*/ 4845 h 6572"/>
              <a:gd name="T54" fmla="*/ 746 w 6618"/>
              <a:gd name="T55" fmla="*/ 5375 h 6572"/>
              <a:gd name="T56" fmla="*/ 1198 w 6618"/>
              <a:gd name="T57" fmla="*/ 5813 h 6572"/>
              <a:gd name="T58" fmla="*/ 1723 w 6618"/>
              <a:gd name="T59" fmla="*/ 6170 h 6572"/>
              <a:gd name="T60" fmla="*/ 2313 w 6618"/>
              <a:gd name="T61" fmla="*/ 6417 h 6572"/>
              <a:gd name="T62" fmla="*/ 2959 w 6618"/>
              <a:gd name="T63" fmla="*/ 6554 h 6572"/>
              <a:gd name="T64" fmla="*/ 3309 w 6618"/>
              <a:gd name="T65" fmla="*/ 6572 h 65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618" h="6572">
                <a:moveTo>
                  <a:pt x="3309" y="6572"/>
                </a:moveTo>
                <a:lnTo>
                  <a:pt x="3632" y="6554"/>
                </a:lnTo>
                <a:lnTo>
                  <a:pt x="3963" y="6508"/>
                </a:lnTo>
                <a:lnTo>
                  <a:pt x="4277" y="6417"/>
                </a:lnTo>
                <a:lnTo>
                  <a:pt x="4590" y="6316"/>
                </a:lnTo>
                <a:lnTo>
                  <a:pt x="4876" y="6170"/>
                </a:lnTo>
                <a:lnTo>
                  <a:pt x="5153" y="6015"/>
                </a:lnTo>
                <a:lnTo>
                  <a:pt x="5401" y="5813"/>
                </a:lnTo>
                <a:lnTo>
                  <a:pt x="5641" y="5612"/>
                </a:lnTo>
                <a:lnTo>
                  <a:pt x="5853" y="5375"/>
                </a:lnTo>
                <a:lnTo>
                  <a:pt x="6047" y="5119"/>
                </a:lnTo>
                <a:lnTo>
                  <a:pt x="6213" y="4845"/>
                </a:lnTo>
                <a:lnTo>
                  <a:pt x="6351" y="4561"/>
                </a:lnTo>
                <a:lnTo>
                  <a:pt x="6461" y="4250"/>
                </a:lnTo>
                <a:lnTo>
                  <a:pt x="6554" y="3949"/>
                </a:lnTo>
                <a:lnTo>
                  <a:pt x="6600" y="3620"/>
                </a:lnTo>
                <a:lnTo>
                  <a:pt x="6618" y="3291"/>
                </a:lnTo>
                <a:lnTo>
                  <a:pt x="6600" y="2952"/>
                </a:lnTo>
                <a:lnTo>
                  <a:pt x="6554" y="2623"/>
                </a:lnTo>
                <a:lnTo>
                  <a:pt x="6461" y="2303"/>
                </a:lnTo>
                <a:lnTo>
                  <a:pt x="6351" y="2011"/>
                </a:lnTo>
                <a:lnTo>
                  <a:pt x="6213" y="1718"/>
                </a:lnTo>
                <a:lnTo>
                  <a:pt x="6047" y="1444"/>
                </a:lnTo>
                <a:lnTo>
                  <a:pt x="5853" y="1197"/>
                </a:lnTo>
                <a:lnTo>
                  <a:pt x="5641" y="960"/>
                </a:lnTo>
                <a:lnTo>
                  <a:pt x="5401" y="749"/>
                </a:lnTo>
                <a:lnTo>
                  <a:pt x="5153" y="558"/>
                </a:lnTo>
                <a:lnTo>
                  <a:pt x="4876" y="393"/>
                </a:lnTo>
                <a:lnTo>
                  <a:pt x="4590" y="265"/>
                </a:lnTo>
                <a:lnTo>
                  <a:pt x="4277" y="146"/>
                </a:lnTo>
                <a:lnTo>
                  <a:pt x="3963" y="64"/>
                </a:lnTo>
                <a:lnTo>
                  <a:pt x="3632" y="18"/>
                </a:lnTo>
                <a:lnTo>
                  <a:pt x="3309" y="0"/>
                </a:lnTo>
                <a:lnTo>
                  <a:pt x="2959" y="18"/>
                </a:lnTo>
                <a:lnTo>
                  <a:pt x="2627" y="64"/>
                </a:lnTo>
                <a:lnTo>
                  <a:pt x="2313" y="146"/>
                </a:lnTo>
                <a:lnTo>
                  <a:pt x="2018" y="265"/>
                </a:lnTo>
                <a:lnTo>
                  <a:pt x="1723" y="393"/>
                </a:lnTo>
                <a:lnTo>
                  <a:pt x="1456" y="558"/>
                </a:lnTo>
                <a:lnTo>
                  <a:pt x="1198" y="749"/>
                </a:lnTo>
                <a:lnTo>
                  <a:pt x="968" y="960"/>
                </a:lnTo>
                <a:lnTo>
                  <a:pt x="746" y="1197"/>
                </a:lnTo>
                <a:lnTo>
                  <a:pt x="562" y="1444"/>
                </a:lnTo>
                <a:lnTo>
                  <a:pt x="387" y="1718"/>
                </a:lnTo>
                <a:lnTo>
                  <a:pt x="258" y="2011"/>
                </a:lnTo>
                <a:lnTo>
                  <a:pt x="138" y="2303"/>
                </a:lnTo>
                <a:lnTo>
                  <a:pt x="64" y="2623"/>
                </a:lnTo>
                <a:lnTo>
                  <a:pt x="9" y="2952"/>
                </a:lnTo>
                <a:lnTo>
                  <a:pt x="0" y="3291"/>
                </a:lnTo>
                <a:lnTo>
                  <a:pt x="9" y="3620"/>
                </a:lnTo>
                <a:lnTo>
                  <a:pt x="64" y="3949"/>
                </a:lnTo>
                <a:lnTo>
                  <a:pt x="138" y="4250"/>
                </a:lnTo>
                <a:lnTo>
                  <a:pt x="258" y="4561"/>
                </a:lnTo>
                <a:lnTo>
                  <a:pt x="387" y="4845"/>
                </a:lnTo>
                <a:lnTo>
                  <a:pt x="562" y="5119"/>
                </a:lnTo>
                <a:lnTo>
                  <a:pt x="746" y="5375"/>
                </a:lnTo>
                <a:lnTo>
                  <a:pt x="968" y="5612"/>
                </a:lnTo>
                <a:lnTo>
                  <a:pt x="1198" y="5813"/>
                </a:lnTo>
                <a:lnTo>
                  <a:pt x="1456" y="6015"/>
                </a:lnTo>
                <a:lnTo>
                  <a:pt x="1723" y="6170"/>
                </a:lnTo>
                <a:lnTo>
                  <a:pt x="2018" y="6316"/>
                </a:lnTo>
                <a:lnTo>
                  <a:pt x="2313" y="6417"/>
                </a:lnTo>
                <a:lnTo>
                  <a:pt x="2627" y="6508"/>
                </a:lnTo>
                <a:lnTo>
                  <a:pt x="2959" y="6554"/>
                </a:lnTo>
                <a:lnTo>
                  <a:pt x="3309" y="6572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6" name="Freeform 67">
            <a:extLst>
              <a:ext uri="{FF2B5EF4-FFF2-40B4-BE49-F238E27FC236}">
                <a16:creationId xmlns="" xmlns:a16="http://schemas.microsoft.com/office/drawing/2014/main" id="{00000000-0008-0000-0700-000006000000}"/>
              </a:ext>
            </a:extLst>
          </xdr:cNvPr>
          <xdr:cNvSpPr>
            <a:spLocks/>
          </xdr:cNvSpPr>
        </xdr:nvSpPr>
        <xdr:spPr bwMode="auto">
          <a:xfrm>
            <a:off x="142523" y="39556"/>
            <a:ext cx="490442" cy="485801"/>
          </a:xfrm>
          <a:custGeom>
            <a:avLst/>
            <a:gdLst>
              <a:gd name="T0" fmla="*/ 3365 w 6121"/>
              <a:gd name="T1" fmla="*/ 6051 h 6069"/>
              <a:gd name="T2" fmla="*/ 3955 w 6121"/>
              <a:gd name="T3" fmla="*/ 5923 h 6069"/>
              <a:gd name="T4" fmla="*/ 4508 w 6121"/>
              <a:gd name="T5" fmla="*/ 5694 h 6069"/>
              <a:gd name="T6" fmla="*/ 5006 w 6121"/>
              <a:gd name="T7" fmla="*/ 5374 h 6069"/>
              <a:gd name="T8" fmla="*/ 5421 w 6121"/>
              <a:gd name="T9" fmla="*/ 4963 h 6069"/>
              <a:gd name="T10" fmla="*/ 5743 w 6121"/>
              <a:gd name="T11" fmla="*/ 4470 h 6069"/>
              <a:gd name="T12" fmla="*/ 5974 w 6121"/>
              <a:gd name="T13" fmla="*/ 3930 h 6069"/>
              <a:gd name="T14" fmla="*/ 6103 w 6121"/>
              <a:gd name="T15" fmla="*/ 3336 h 6069"/>
              <a:gd name="T16" fmla="*/ 6103 w 6121"/>
              <a:gd name="T17" fmla="*/ 2724 h 6069"/>
              <a:gd name="T18" fmla="*/ 5974 w 6121"/>
              <a:gd name="T19" fmla="*/ 2130 h 6069"/>
              <a:gd name="T20" fmla="*/ 5743 w 6121"/>
              <a:gd name="T21" fmla="*/ 1581 h 6069"/>
              <a:gd name="T22" fmla="*/ 5421 w 6121"/>
              <a:gd name="T23" fmla="*/ 1097 h 6069"/>
              <a:gd name="T24" fmla="*/ 5006 w 6121"/>
              <a:gd name="T25" fmla="*/ 685 h 6069"/>
              <a:gd name="T26" fmla="*/ 4508 w 6121"/>
              <a:gd name="T27" fmla="*/ 365 h 6069"/>
              <a:gd name="T28" fmla="*/ 3955 w 6121"/>
              <a:gd name="T29" fmla="*/ 128 h 6069"/>
              <a:gd name="T30" fmla="*/ 3365 w 6121"/>
              <a:gd name="T31" fmla="*/ 18 h 6069"/>
              <a:gd name="T32" fmla="*/ 2738 w 6121"/>
              <a:gd name="T33" fmla="*/ 18 h 6069"/>
              <a:gd name="T34" fmla="*/ 2148 w 6121"/>
              <a:gd name="T35" fmla="*/ 128 h 6069"/>
              <a:gd name="T36" fmla="*/ 1595 w 6121"/>
              <a:gd name="T37" fmla="*/ 365 h 6069"/>
              <a:gd name="T38" fmla="*/ 1107 w 6121"/>
              <a:gd name="T39" fmla="*/ 685 h 6069"/>
              <a:gd name="T40" fmla="*/ 692 w 6121"/>
              <a:gd name="T41" fmla="*/ 1097 h 6069"/>
              <a:gd name="T42" fmla="*/ 369 w 6121"/>
              <a:gd name="T43" fmla="*/ 1581 h 6069"/>
              <a:gd name="T44" fmla="*/ 129 w 6121"/>
              <a:gd name="T45" fmla="*/ 2130 h 6069"/>
              <a:gd name="T46" fmla="*/ 19 w 6121"/>
              <a:gd name="T47" fmla="*/ 2724 h 6069"/>
              <a:gd name="T48" fmla="*/ 19 w 6121"/>
              <a:gd name="T49" fmla="*/ 3336 h 6069"/>
              <a:gd name="T50" fmla="*/ 129 w 6121"/>
              <a:gd name="T51" fmla="*/ 3930 h 6069"/>
              <a:gd name="T52" fmla="*/ 369 w 6121"/>
              <a:gd name="T53" fmla="*/ 4470 h 6069"/>
              <a:gd name="T54" fmla="*/ 692 w 6121"/>
              <a:gd name="T55" fmla="*/ 4963 h 6069"/>
              <a:gd name="T56" fmla="*/ 1107 w 6121"/>
              <a:gd name="T57" fmla="*/ 5374 h 6069"/>
              <a:gd name="T58" fmla="*/ 1595 w 6121"/>
              <a:gd name="T59" fmla="*/ 5694 h 6069"/>
              <a:gd name="T60" fmla="*/ 2148 w 6121"/>
              <a:gd name="T61" fmla="*/ 5923 h 6069"/>
              <a:gd name="T62" fmla="*/ 2738 w 6121"/>
              <a:gd name="T63" fmla="*/ 6051 h 6069"/>
              <a:gd name="T64" fmla="*/ 3061 w 6121"/>
              <a:gd name="T65" fmla="*/ 6069 h 60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121" h="6069">
                <a:moveTo>
                  <a:pt x="3061" y="6069"/>
                </a:moveTo>
                <a:lnTo>
                  <a:pt x="3365" y="6051"/>
                </a:lnTo>
                <a:lnTo>
                  <a:pt x="3669" y="6005"/>
                </a:lnTo>
                <a:lnTo>
                  <a:pt x="3955" y="5923"/>
                </a:lnTo>
                <a:lnTo>
                  <a:pt x="4241" y="5832"/>
                </a:lnTo>
                <a:lnTo>
                  <a:pt x="4508" y="5694"/>
                </a:lnTo>
                <a:lnTo>
                  <a:pt x="4766" y="5548"/>
                </a:lnTo>
                <a:lnTo>
                  <a:pt x="5006" y="5374"/>
                </a:lnTo>
                <a:lnTo>
                  <a:pt x="5218" y="5173"/>
                </a:lnTo>
                <a:lnTo>
                  <a:pt x="5421" y="4963"/>
                </a:lnTo>
                <a:lnTo>
                  <a:pt x="5596" y="4725"/>
                </a:lnTo>
                <a:lnTo>
                  <a:pt x="5743" y="4470"/>
                </a:lnTo>
                <a:lnTo>
                  <a:pt x="5881" y="4214"/>
                </a:lnTo>
                <a:lnTo>
                  <a:pt x="5974" y="3930"/>
                </a:lnTo>
                <a:lnTo>
                  <a:pt x="6057" y="3638"/>
                </a:lnTo>
                <a:lnTo>
                  <a:pt x="6103" y="3336"/>
                </a:lnTo>
                <a:lnTo>
                  <a:pt x="6121" y="3034"/>
                </a:lnTo>
                <a:lnTo>
                  <a:pt x="6103" y="2724"/>
                </a:lnTo>
                <a:lnTo>
                  <a:pt x="6057" y="2422"/>
                </a:lnTo>
                <a:lnTo>
                  <a:pt x="5974" y="2130"/>
                </a:lnTo>
                <a:lnTo>
                  <a:pt x="5881" y="1855"/>
                </a:lnTo>
                <a:lnTo>
                  <a:pt x="5743" y="1581"/>
                </a:lnTo>
                <a:lnTo>
                  <a:pt x="5596" y="1343"/>
                </a:lnTo>
                <a:lnTo>
                  <a:pt x="5421" y="1097"/>
                </a:lnTo>
                <a:lnTo>
                  <a:pt x="5218" y="886"/>
                </a:lnTo>
                <a:lnTo>
                  <a:pt x="5006" y="685"/>
                </a:lnTo>
                <a:lnTo>
                  <a:pt x="4766" y="512"/>
                </a:lnTo>
                <a:lnTo>
                  <a:pt x="4508" y="365"/>
                </a:lnTo>
                <a:lnTo>
                  <a:pt x="4241" y="237"/>
                </a:lnTo>
                <a:lnTo>
                  <a:pt x="3955" y="128"/>
                </a:lnTo>
                <a:lnTo>
                  <a:pt x="3669" y="55"/>
                </a:lnTo>
                <a:lnTo>
                  <a:pt x="3365" y="18"/>
                </a:lnTo>
                <a:lnTo>
                  <a:pt x="3061" y="0"/>
                </a:lnTo>
                <a:lnTo>
                  <a:pt x="2738" y="18"/>
                </a:lnTo>
                <a:lnTo>
                  <a:pt x="2443" y="55"/>
                </a:lnTo>
                <a:lnTo>
                  <a:pt x="2148" y="128"/>
                </a:lnTo>
                <a:lnTo>
                  <a:pt x="1872" y="237"/>
                </a:lnTo>
                <a:lnTo>
                  <a:pt x="1595" y="365"/>
                </a:lnTo>
                <a:lnTo>
                  <a:pt x="1346" y="512"/>
                </a:lnTo>
                <a:lnTo>
                  <a:pt x="1107" y="685"/>
                </a:lnTo>
                <a:lnTo>
                  <a:pt x="895" y="886"/>
                </a:lnTo>
                <a:lnTo>
                  <a:pt x="692" y="1097"/>
                </a:lnTo>
                <a:lnTo>
                  <a:pt x="517" y="1343"/>
                </a:lnTo>
                <a:lnTo>
                  <a:pt x="369" y="1581"/>
                </a:lnTo>
                <a:lnTo>
                  <a:pt x="240" y="1855"/>
                </a:lnTo>
                <a:lnTo>
                  <a:pt x="129" y="2130"/>
                </a:lnTo>
                <a:lnTo>
                  <a:pt x="56" y="2422"/>
                </a:lnTo>
                <a:lnTo>
                  <a:pt x="19" y="2724"/>
                </a:lnTo>
                <a:lnTo>
                  <a:pt x="0" y="3034"/>
                </a:lnTo>
                <a:lnTo>
                  <a:pt x="19" y="3336"/>
                </a:lnTo>
                <a:lnTo>
                  <a:pt x="56" y="3638"/>
                </a:lnTo>
                <a:lnTo>
                  <a:pt x="129" y="3930"/>
                </a:lnTo>
                <a:lnTo>
                  <a:pt x="240" y="4214"/>
                </a:lnTo>
                <a:lnTo>
                  <a:pt x="369" y="4470"/>
                </a:lnTo>
                <a:lnTo>
                  <a:pt x="517" y="4725"/>
                </a:lnTo>
                <a:lnTo>
                  <a:pt x="692" y="4963"/>
                </a:lnTo>
                <a:lnTo>
                  <a:pt x="895" y="5173"/>
                </a:lnTo>
                <a:lnTo>
                  <a:pt x="1107" y="5374"/>
                </a:lnTo>
                <a:lnTo>
                  <a:pt x="1346" y="5548"/>
                </a:lnTo>
                <a:lnTo>
                  <a:pt x="1595" y="5694"/>
                </a:lnTo>
                <a:lnTo>
                  <a:pt x="1872" y="5832"/>
                </a:lnTo>
                <a:lnTo>
                  <a:pt x="2148" y="5923"/>
                </a:lnTo>
                <a:lnTo>
                  <a:pt x="2443" y="6005"/>
                </a:lnTo>
                <a:lnTo>
                  <a:pt x="2738" y="6051"/>
                </a:lnTo>
                <a:lnTo>
                  <a:pt x="3061" y="6069"/>
                </a:lnTo>
                <a:close/>
              </a:path>
            </a:pathLst>
          </a:custGeom>
          <a:solidFill>
            <a:srgbClr val="00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" name="Freeform 68">
            <a:extLst>
              <a:ext uri="{FF2B5EF4-FFF2-40B4-BE49-F238E27FC236}">
                <a16:creationId xmlns="" xmlns:a16="http://schemas.microsoft.com/office/drawing/2014/main" id="{00000000-0008-0000-0700-000007000000}"/>
              </a:ext>
            </a:extLst>
          </xdr:cNvPr>
          <xdr:cNvSpPr>
            <a:spLocks/>
          </xdr:cNvSpPr>
        </xdr:nvSpPr>
        <xdr:spPr bwMode="auto">
          <a:xfrm>
            <a:off x="163342" y="59305"/>
            <a:ext cx="448269" cy="445530"/>
          </a:xfrm>
          <a:custGeom>
            <a:avLst/>
            <a:gdLst>
              <a:gd name="T0" fmla="*/ 3069 w 5595"/>
              <a:gd name="T1" fmla="*/ 5548 h 5566"/>
              <a:gd name="T2" fmla="*/ 3613 w 5595"/>
              <a:gd name="T3" fmla="*/ 5429 h 5566"/>
              <a:gd name="T4" fmla="*/ 4120 w 5595"/>
              <a:gd name="T5" fmla="*/ 5219 h 5566"/>
              <a:gd name="T6" fmla="*/ 4572 w 5595"/>
              <a:gd name="T7" fmla="*/ 4926 h 5566"/>
              <a:gd name="T8" fmla="*/ 4950 w 5595"/>
              <a:gd name="T9" fmla="*/ 4542 h 5566"/>
              <a:gd name="T10" fmla="*/ 5244 w 5595"/>
              <a:gd name="T11" fmla="*/ 4104 h 5566"/>
              <a:gd name="T12" fmla="*/ 5466 w 5595"/>
              <a:gd name="T13" fmla="*/ 3601 h 5566"/>
              <a:gd name="T14" fmla="*/ 5576 w 5595"/>
              <a:gd name="T15" fmla="*/ 3062 h 5566"/>
              <a:gd name="T16" fmla="*/ 5576 w 5595"/>
              <a:gd name="T17" fmla="*/ 2495 h 5566"/>
              <a:gd name="T18" fmla="*/ 5466 w 5595"/>
              <a:gd name="T19" fmla="*/ 1946 h 5566"/>
              <a:gd name="T20" fmla="*/ 5244 w 5595"/>
              <a:gd name="T21" fmla="*/ 1444 h 5566"/>
              <a:gd name="T22" fmla="*/ 4950 w 5595"/>
              <a:gd name="T23" fmla="*/ 1005 h 5566"/>
              <a:gd name="T24" fmla="*/ 4572 w 5595"/>
              <a:gd name="T25" fmla="*/ 621 h 5566"/>
              <a:gd name="T26" fmla="*/ 4120 w 5595"/>
              <a:gd name="T27" fmla="*/ 329 h 5566"/>
              <a:gd name="T28" fmla="*/ 3613 w 5595"/>
              <a:gd name="T29" fmla="*/ 118 h 5566"/>
              <a:gd name="T30" fmla="*/ 3069 w 5595"/>
              <a:gd name="T31" fmla="*/ 9 h 5566"/>
              <a:gd name="T32" fmla="*/ 2507 w 5595"/>
              <a:gd name="T33" fmla="*/ 9 h 5566"/>
              <a:gd name="T34" fmla="*/ 1954 w 5595"/>
              <a:gd name="T35" fmla="*/ 118 h 5566"/>
              <a:gd name="T36" fmla="*/ 1456 w 5595"/>
              <a:gd name="T37" fmla="*/ 329 h 5566"/>
              <a:gd name="T38" fmla="*/ 1004 w 5595"/>
              <a:gd name="T39" fmla="*/ 621 h 5566"/>
              <a:gd name="T40" fmla="*/ 626 w 5595"/>
              <a:gd name="T41" fmla="*/ 1005 h 5566"/>
              <a:gd name="T42" fmla="*/ 322 w 5595"/>
              <a:gd name="T43" fmla="*/ 1444 h 5566"/>
              <a:gd name="T44" fmla="*/ 110 w 5595"/>
              <a:gd name="T45" fmla="*/ 1946 h 5566"/>
              <a:gd name="T46" fmla="*/ 9 w 5595"/>
              <a:gd name="T47" fmla="*/ 2495 h 5566"/>
              <a:gd name="T48" fmla="*/ 9 w 5595"/>
              <a:gd name="T49" fmla="*/ 3062 h 5566"/>
              <a:gd name="T50" fmla="*/ 110 w 5595"/>
              <a:gd name="T51" fmla="*/ 3601 h 5566"/>
              <a:gd name="T52" fmla="*/ 322 w 5595"/>
              <a:gd name="T53" fmla="*/ 4104 h 5566"/>
              <a:gd name="T54" fmla="*/ 626 w 5595"/>
              <a:gd name="T55" fmla="*/ 4542 h 5566"/>
              <a:gd name="T56" fmla="*/ 1004 w 5595"/>
              <a:gd name="T57" fmla="*/ 4926 h 5566"/>
              <a:gd name="T58" fmla="*/ 1456 w 5595"/>
              <a:gd name="T59" fmla="*/ 5219 h 5566"/>
              <a:gd name="T60" fmla="*/ 1954 w 5595"/>
              <a:gd name="T61" fmla="*/ 5429 h 5566"/>
              <a:gd name="T62" fmla="*/ 2507 w 5595"/>
              <a:gd name="T63" fmla="*/ 5548 h 5566"/>
              <a:gd name="T64" fmla="*/ 2793 w 5595"/>
              <a:gd name="T65" fmla="*/ 5566 h 55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5595" h="5566">
                <a:moveTo>
                  <a:pt x="2793" y="5566"/>
                </a:moveTo>
                <a:lnTo>
                  <a:pt x="3069" y="5548"/>
                </a:lnTo>
                <a:lnTo>
                  <a:pt x="3355" y="5502"/>
                </a:lnTo>
                <a:lnTo>
                  <a:pt x="3613" y="5429"/>
                </a:lnTo>
                <a:lnTo>
                  <a:pt x="3880" y="5347"/>
                </a:lnTo>
                <a:lnTo>
                  <a:pt x="4120" y="5219"/>
                </a:lnTo>
                <a:lnTo>
                  <a:pt x="4350" y="5082"/>
                </a:lnTo>
                <a:lnTo>
                  <a:pt x="4572" y="4926"/>
                </a:lnTo>
                <a:lnTo>
                  <a:pt x="4774" y="4753"/>
                </a:lnTo>
                <a:lnTo>
                  <a:pt x="4950" y="4542"/>
                </a:lnTo>
                <a:lnTo>
                  <a:pt x="5115" y="4332"/>
                </a:lnTo>
                <a:lnTo>
                  <a:pt x="5244" y="4104"/>
                </a:lnTo>
                <a:lnTo>
                  <a:pt x="5374" y="3866"/>
                </a:lnTo>
                <a:lnTo>
                  <a:pt x="5466" y="3601"/>
                </a:lnTo>
                <a:lnTo>
                  <a:pt x="5530" y="3336"/>
                </a:lnTo>
                <a:lnTo>
                  <a:pt x="5576" y="3062"/>
                </a:lnTo>
                <a:lnTo>
                  <a:pt x="5595" y="2787"/>
                </a:lnTo>
                <a:lnTo>
                  <a:pt x="5576" y="2495"/>
                </a:lnTo>
                <a:lnTo>
                  <a:pt x="5530" y="2221"/>
                </a:lnTo>
                <a:lnTo>
                  <a:pt x="5466" y="1946"/>
                </a:lnTo>
                <a:lnTo>
                  <a:pt x="5374" y="1700"/>
                </a:lnTo>
                <a:lnTo>
                  <a:pt x="5244" y="1444"/>
                </a:lnTo>
                <a:lnTo>
                  <a:pt x="5115" y="1224"/>
                </a:lnTo>
                <a:lnTo>
                  <a:pt x="4950" y="1005"/>
                </a:lnTo>
                <a:lnTo>
                  <a:pt x="4774" y="813"/>
                </a:lnTo>
                <a:lnTo>
                  <a:pt x="4572" y="621"/>
                </a:lnTo>
                <a:lnTo>
                  <a:pt x="4350" y="466"/>
                </a:lnTo>
                <a:lnTo>
                  <a:pt x="4120" y="329"/>
                </a:lnTo>
                <a:lnTo>
                  <a:pt x="3880" y="210"/>
                </a:lnTo>
                <a:lnTo>
                  <a:pt x="3613" y="118"/>
                </a:lnTo>
                <a:lnTo>
                  <a:pt x="3355" y="54"/>
                </a:lnTo>
                <a:lnTo>
                  <a:pt x="3069" y="9"/>
                </a:lnTo>
                <a:lnTo>
                  <a:pt x="2793" y="0"/>
                </a:lnTo>
                <a:lnTo>
                  <a:pt x="2507" y="9"/>
                </a:lnTo>
                <a:lnTo>
                  <a:pt x="2221" y="54"/>
                </a:lnTo>
                <a:lnTo>
                  <a:pt x="1954" y="118"/>
                </a:lnTo>
                <a:lnTo>
                  <a:pt x="1705" y="210"/>
                </a:lnTo>
                <a:lnTo>
                  <a:pt x="1456" y="329"/>
                </a:lnTo>
                <a:lnTo>
                  <a:pt x="1225" y="466"/>
                </a:lnTo>
                <a:lnTo>
                  <a:pt x="1004" y="621"/>
                </a:lnTo>
                <a:lnTo>
                  <a:pt x="811" y="813"/>
                </a:lnTo>
                <a:lnTo>
                  <a:pt x="626" y="1005"/>
                </a:lnTo>
                <a:lnTo>
                  <a:pt x="470" y="1224"/>
                </a:lnTo>
                <a:lnTo>
                  <a:pt x="322" y="1444"/>
                </a:lnTo>
                <a:lnTo>
                  <a:pt x="212" y="1700"/>
                </a:lnTo>
                <a:lnTo>
                  <a:pt x="110" y="1946"/>
                </a:lnTo>
                <a:lnTo>
                  <a:pt x="46" y="2221"/>
                </a:lnTo>
                <a:lnTo>
                  <a:pt x="9" y="2495"/>
                </a:lnTo>
                <a:lnTo>
                  <a:pt x="0" y="2787"/>
                </a:lnTo>
                <a:lnTo>
                  <a:pt x="9" y="3062"/>
                </a:lnTo>
                <a:lnTo>
                  <a:pt x="46" y="3336"/>
                </a:lnTo>
                <a:lnTo>
                  <a:pt x="110" y="3601"/>
                </a:lnTo>
                <a:lnTo>
                  <a:pt x="212" y="3866"/>
                </a:lnTo>
                <a:lnTo>
                  <a:pt x="322" y="4104"/>
                </a:lnTo>
                <a:lnTo>
                  <a:pt x="470" y="4332"/>
                </a:lnTo>
                <a:lnTo>
                  <a:pt x="626" y="4542"/>
                </a:lnTo>
                <a:lnTo>
                  <a:pt x="811" y="4753"/>
                </a:lnTo>
                <a:lnTo>
                  <a:pt x="1004" y="4926"/>
                </a:lnTo>
                <a:lnTo>
                  <a:pt x="1225" y="5082"/>
                </a:lnTo>
                <a:lnTo>
                  <a:pt x="1456" y="5219"/>
                </a:lnTo>
                <a:lnTo>
                  <a:pt x="1705" y="5347"/>
                </a:lnTo>
                <a:lnTo>
                  <a:pt x="1954" y="5429"/>
                </a:lnTo>
                <a:lnTo>
                  <a:pt x="2221" y="5502"/>
                </a:lnTo>
                <a:lnTo>
                  <a:pt x="2507" y="5548"/>
                </a:lnTo>
                <a:lnTo>
                  <a:pt x="2793" y="5566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" name="Freeform 69">
            <a:extLst>
              <a:ext uri="{FF2B5EF4-FFF2-40B4-BE49-F238E27FC236}">
                <a16:creationId xmlns="" xmlns:a16="http://schemas.microsoft.com/office/drawing/2014/main" id="{00000000-0008-0000-0700-000008000000}"/>
              </a:ext>
            </a:extLst>
          </xdr:cNvPr>
          <xdr:cNvSpPr>
            <a:spLocks/>
          </xdr:cNvSpPr>
        </xdr:nvSpPr>
        <xdr:spPr bwMode="auto">
          <a:xfrm>
            <a:off x="182020" y="74949"/>
            <a:ext cx="206051" cy="405379"/>
          </a:xfrm>
          <a:custGeom>
            <a:avLst/>
            <a:gdLst>
              <a:gd name="T0" fmla="*/ 2268 w 2572"/>
              <a:gd name="T1" fmla="*/ 5028 h 5064"/>
              <a:gd name="T2" fmla="*/ 1733 w 2572"/>
              <a:gd name="T3" fmla="*/ 4918 h 5064"/>
              <a:gd name="T4" fmla="*/ 1263 w 2572"/>
              <a:gd name="T5" fmla="*/ 4726 h 5064"/>
              <a:gd name="T6" fmla="*/ 858 w 2572"/>
              <a:gd name="T7" fmla="*/ 4443 h 5064"/>
              <a:gd name="T8" fmla="*/ 507 w 2572"/>
              <a:gd name="T9" fmla="*/ 4095 h 5064"/>
              <a:gd name="T10" fmla="*/ 249 w 2572"/>
              <a:gd name="T11" fmla="*/ 3684 h 5064"/>
              <a:gd name="T12" fmla="*/ 74 w 2572"/>
              <a:gd name="T13" fmla="*/ 3218 h 5064"/>
              <a:gd name="T14" fmla="*/ 0 w 2572"/>
              <a:gd name="T15" fmla="*/ 2706 h 5064"/>
              <a:gd name="T16" fmla="*/ 19 w 2572"/>
              <a:gd name="T17" fmla="*/ 2148 h 5064"/>
              <a:gd name="T18" fmla="*/ 129 w 2572"/>
              <a:gd name="T19" fmla="*/ 1646 h 5064"/>
              <a:gd name="T20" fmla="*/ 332 w 2572"/>
              <a:gd name="T21" fmla="*/ 1189 h 5064"/>
              <a:gd name="T22" fmla="*/ 609 w 2572"/>
              <a:gd name="T23" fmla="*/ 805 h 5064"/>
              <a:gd name="T24" fmla="*/ 950 w 2572"/>
              <a:gd name="T25" fmla="*/ 476 h 5064"/>
              <a:gd name="T26" fmla="*/ 1355 w 2572"/>
              <a:gd name="T27" fmla="*/ 238 h 5064"/>
              <a:gd name="T28" fmla="*/ 1807 w 2572"/>
              <a:gd name="T29" fmla="*/ 64 h 5064"/>
              <a:gd name="T30" fmla="*/ 2305 w 2572"/>
              <a:gd name="T31" fmla="*/ 0 h 5064"/>
              <a:gd name="T32" fmla="*/ 2563 w 2572"/>
              <a:gd name="T33" fmla="*/ 265 h 5064"/>
              <a:gd name="T34" fmla="*/ 2084 w 2572"/>
              <a:gd name="T35" fmla="*/ 293 h 5064"/>
              <a:gd name="T36" fmla="*/ 1641 w 2572"/>
              <a:gd name="T37" fmla="*/ 412 h 5064"/>
              <a:gd name="T38" fmla="*/ 1236 w 2572"/>
              <a:gd name="T39" fmla="*/ 604 h 5064"/>
              <a:gd name="T40" fmla="*/ 904 w 2572"/>
              <a:gd name="T41" fmla="*/ 869 h 5064"/>
              <a:gd name="T42" fmla="*/ 609 w 2572"/>
              <a:gd name="T43" fmla="*/ 1189 h 5064"/>
              <a:gd name="T44" fmla="*/ 406 w 2572"/>
              <a:gd name="T45" fmla="*/ 1573 h 5064"/>
              <a:gd name="T46" fmla="*/ 277 w 2572"/>
              <a:gd name="T47" fmla="*/ 1993 h 5064"/>
              <a:gd name="T48" fmla="*/ 231 w 2572"/>
              <a:gd name="T49" fmla="*/ 2468 h 5064"/>
              <a:gd name="T50" fmla="*/ 277 w 2572"/>
              <a:gd name="T51" fmla="*/ 2925 h 5064"/>
              <a:gd name="T52" fmla="*/ 406 w 2572"/>
              <a:gd name="T53" fmla="*/ 3364 h 5064"/>
              <a:gd name="T54" fmla="*/ 600 w 2572"/>
              <a:gd name="T55" fmla="*/ 3766 h 5064"/>
              <a:gd name="T56" fmla="*/ 885 w 2572"/>
              <a:gd name="T57" fmla="*/ 4123 h 5064"/>
              <a:gd name="T58" fmla="*/ 1208 w 2572"/>
              <a:gd name="T59" fmla="*/ 4406 h 5064"/>
              <a:gd name="T60" fmla="*/ 1614 w 2572"/>
              <a:gd name="T61" fmla="*/ 4626 h 5064"/>
              <a:gd name="T62" fmla="*/ 2056 w 2572"/>
              <a:gd name="T63" fmla="*/ 4772 h 5064"/>
              <a:gd name="T64" fmla="*/ 2563 w 2572"/>
              <a:gd name="T65" fmla="*/ 4827 h 5064"/>
              <a:gd name="T66" fmla="*/ 2563 w 2572"/>
              <a:gd name="T67" fmla="*/ 5064 h 50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572" h="5064">
                <a:moveTo>
                  <a:pt x="2563" y="5064"/>
                </a:moveTo>
                <a:lnTo>
                  <a:pt x="2268" y="5028"/>
                </a:lnTo>
                <a:lnTo>
                  <a:pt x="1991" y="4991"/>
                </a:lnTo>
                <a:lnTo>
                  <a:pt x="1733" y="4918"/>
                </a:lnTo>
                <a:lnTo>
                  <a:pt x="1494" y="4836"/>
                </a:lnTo>
                <a:lnTo>
                  <a:pt x="1263" y="4726"/>
                </a:lnTo>
                <a:lnTo>
                  <a:pt x="1051" y="4598"/>
                </a:lnTo>
                <a:lnTo>
                  <a:pt x="858" y="4443"/>
                </a:lnTo>
                <a:lnTo>
                  <a:pt x="683" y="4287"/>
                </a:lnTo>
                <a:lnTo>
                  <a:pt x="507" y="4095"/>
                </a:lnTo>
                <a:lnTo>
                  <a:pt x="378" y="3903"/>
                </a:lnTo>
                <a:lnTo>
                  <a:pt x="249" y="3684"/>
                </a:lnTo>
                <a:lnTo>
                  <a:pt x="157" y="3474"/>
                </a:lnTo>
                <a:lnTo>
                  <a:pt x="74" y="3218"/>
                </a:lnTo>
                <a:lnTo>
                  <a:pt x="28" y="2971"/>
                </a:lnTo>
                <a:lnTo>
                  <a:pt x="0" y="2706"/>
                </a:lnTo>
                <a:lnTo>
                  <a:pt x="0" y="2432"/>
                </a:lnTo>
                <a:lnTo>
                  <a:pt x="19" y="2148"/>
                </a:lnTo>
                <a:lnTo>
                  <a:pt x="65" y="1892"/>
                </a:lnTo>
                <a:lnTo>
                  <a:pt x="129" y="1646"/>
                </a:lnTo>
                <a:lnTo>
                  <a:pt x="222" y="1408"/>
                </a:lnTo>
                <a:lnTo>
                  <a:pt x="332" y="1189"/>
                </a:lnTo>
                <a:lnTo>
                  <a:pt x="461" y="988"/>
                </a:lnTo>
                <a:lnTo>
                  <a:pt x="609" y="805"/>
                </a:lnTo>
                <a:lnTo>
                  <a:pt x="775" y="631"/>
                </a:lnTo>
                <a:lnTo>
                  <a:pt x="950" y="476"/>
                </a:lnTo>
                <a:lnTo>
                  <a:pt x="1143" y="348"/>
                </a:lnTo>
                <a:lnTo>
                  <a:pt x="1355" y="238"/>
                </a:lnTo>
                <a:lnTo>
                  <a:pt x="1577" y="147"/>
                </a:lnTo>
                <a:lnTo>
                  <a:pt x="1807" y="64"/>
                </a:lnTo>
                <a:lnTo>
                  <a:pt x="2056" y="19"/>
                </a:lnTo>
                <a:lnTo>
                  <a:pt x="2305" y="0"/>
                </a:lnTo>
                <a:lnTo>
                  <a:pt x="2572" y="0"/>
                </a:lnTo>
                <a:lnTo>
                  <a:pt x="2563" y="265"/>
                </a:lnTo>
                <a:lnTo>
                  <a:pt x="2305" y="265"/>
                </a:lnTo>
                <a:lnTo>
                  <a:pt x="2084" y="293"/>
                </a:lnTo>
                <a:lnTo>
                  <a:pt x="1844" y="339"/>
                </a:lnTo>
                <a:lnTo>
                  <a:pt x="1641" y="412"/>
                </a:lnTo>
                <a:lnTo>
                  <a:pt x="1429" y="494"/>
                </a:lnTo>
                <a:lnTo>
                  <a:pt x="1236" y="604"/>
                </a:lnTo>
                <a:lnTo>
                  <a:pt x="1051" y="722"/>
                </a:lnTo>
                <a:lnTo>
                  <a:pt x="904" y="869"/>
                </a:lnTo>
                <a:lnTo>
                  <a:pt x="747" y="1015"/>
                </a:lnTo>
                <a:lnTo>
                  <a:pt x="609" y="1189"/>
                </a:lnTo>
                <a:lnTo>
                  <a:pt x="489" y="1371"/>
                </a:lnTo>
                <a:lnTo>
                  <a:pt x="406" y="1573"/>
                </a:lnTo>
                <a:lnTo>
                  <a:pt x="323" y="1774"/>
                </a:lnTo>
                <a:lnTo>
                  <a:pt x="277" y="1993"/>
                </a:lnTo>
                <a:lnTo>
                  <a:pt x="231" y="2222"/>
                </a:lnTo>
                <a:lnTo>
                  <a:pt x="231" y="2468"/>
                </a:lnTo>
                <a:lnTo>
                  <a:pt x="240" y="2697"/>
                </a:lnTo>
                <a:lnTo>
                  <a:pt x="277" y="2925"/>
                </a:lnTo>
                <a:lnTo>
                  <a:pt x="323" y="3145"/>
                </a:lnTo>
                <a:lnTo>
                  <a:pt x="406" y="3364"/>
                </a:lnTo>
                <a:lnTo>
                  <a:pt x="489" y="3565"/>
                </a:lnTo>
                <a:lnTo>
                  <a:pt x="600" y="3766"/>
                </a:lnTo>
                <a:lnTo>
                  <a:pt x="729" y="3949"/>
                </a:lnTo>
                <a:lnTo>
                  <a:pt x="885" y="4123"/>
                </a:lnTo>
                <a:lnTo>
                  <a:pt x="1033" y="4269"/>
                </a:lnTo>
                <a:lnTo>
                  <a:pt x="1208" y="4406"/>
                </a:lnTo>
                <a:lnTo>
                  <a:pt x="1402" y="4525"/>
                </a:lnTo>
                <a:lnTo>
                  <a:pt x="1614" y="4626"/>
                </a:lnTo>
                <a:lnTo>
                  <a:pt x="1826" y="4708"/>
                </a:lnTo>
                <a:lnTo>
                  <a:pt x="2056" y="4772"/>
                </a:lnTo>
                <a:lnTo>
                  <a:pt x="2296" y="4808"/>
                </a:lnTo>
                <a:lnTo>
                  <a:pt x="2563" y="4827"/>
                </a:lnTo>
                <a:lnTo>
                  <a:pt x="2563" y="5064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" name="Freeform 70">
            <a:extLst>
              <a:ext uri="{FF2B5EF4-FFF2-40B4-BE49-F238E27FC236}">
                <a16:creationId xmlns="" xmlns:a16="http://schemas.microsoft.com/office/drawing/2014/main" id="{00000000-0008-0000-0700-000009000000}"/>
              </a:ext>
            </a:extLst>
          </xdr:cNvPr>
          <xdr:cNvSpPr>
            <a:spLocks/>
          </xdr:cNvSpPr>
        </xdr:nvSpPr>
        <xdr:spPr bwMode="auto">
          <a:xfrm>
            <a:off x="340544" y="87084"/>
            <a:ext cx="421739" cy="127235"/>
          </a:xfrm>
          <a:custGeom>
            <a:avLst/>
            <a:gdLst>
              <a:gd name="T0" fmla="*/ 451 w 5263"/>
              <a:gd name="T1" fmla="*/ 100 h 1590"/>
              <a:gd name="T2" fmla="*/ 507 w 5263"/>
              <a:gd name="T3" fmla="*/ 91 h 1590"/>
              <a:gd name="T4" fmla="*/ 581 w 5263"/>
              <a:gd name="T5" fmla="*/ 91 h 1590"/>
              <a:gd name="T6" fmla="*/ 663 w 5263"/>
              <a:gd name="T7" fmla="*/ 100 h 1590"/>
              <a:gd name="T8" fmla="*/ 756 w 5263"/>
              <a:gd name="T9" fmla="*/ 128 h 1590"/>
              <a:gd name="T10" fmla="*/ 866 w 5263"/>
              <a:gd name="T11" fmla="*/ 164 h 1590"/>
              <a:gd name="T12" fmla="*/ 977 w 5263"/>
              <a:gd name="T13" fmla="*/ 238 h 1590"/>
              <a:gd name="T14" fmla="*/ 1161 w 5263"/>
              <a:gd name="T15" fmla="*/ 393 h 1590"/>
              <a:gd name="T16" fmla="*/ 1364 w 5263"/>
              <a:gd name="T17" fmla="*/ 503 h 1590"/>
              <a:gd name="T18" fmla="*/ 1530 w 5263"/>
              <a:gd name="T19" fmla="*/ 512 h 1590"/>
              <a:gd name="T20" fmla="*/ 1659 w 5263"/>
              <a:gd name="T21" fmla="*/ 448 h 1590"/>
              <a:gd name="T22" fmla="*/ 1770 w 5263"/>
              <a:gd name="T23" fmla="*/ 338 h 1590"/>
              <a:gd name="T24" fmla="*/ 1899 w 5263"/>
              <a:gd name="T25" fmla="*/ 201 h 1590"/>
              <a:gd name="T26" fmla="*/ 2037 w 5263"/>
              <a:gd name="T27" fmla="*/ 91 h 1590"/>
              <a:gd name="T28" fmla="*/ 2231 w 5263"/>
              <a:gd name="T29" fmla="*/ 9 h 1590"/>
              <a:gd name="T30" fmla="*/ 2424 w 5263"/>
              <a:gd name="T31" fmla="*/ 0 h 1590"/>
              <a:gd name="T32" fmla="*/ 2562 w 5263"/>
              <a:gd name="T33" fmla="*/ 36 h 1590"/>
              <a:gd name="T34" fmla="*/ 2691 w 5263"/>
              <a:gd name="T35" fmla="*/ 110 h 1590"/>
              <a:gd name="T36" fmla="*/ 2793 w 5263"/>
              <a:gd name="T37" fmla="*/ 192 h 1590"/>
              <a:gd name="T38" fmla="*/ 2903 w 5263"/>
              <a:gd name="T39" fmla="*/ 292 h 1590"/>
              <a:gd name="T40" fmla="*/ 3005 w 5263"/>
              <a:gd name="T41" fmla="*/ 375 h 1590"/>
              <a:gd name="T42" fmla="*/ 3125 w 5263"/>
              <a:gd name="T43" fmla="*/ 439 h 1590"/>
              <a:gd name="T44" fmla="*/ 3254 w 5263"/>
              <a:gd name="T45" fmla="*/ 484 h 1590"/>
              <a:gd name="T46" fmla="*/ 3410 w 5263"/>
              <a:gd name="T47" fmla="*/ 484 h 1590"/>
              <a:gd name="T48" fmla="*/ 3530 w 5263"/>
              <a:gd name="T49" fmla="*/ 439 h 1590"/>
              <a:gd name="T50" fmla="*/ 3641 w 5263"/>
              <a:gd name="T51" fmla="*/ 375 h 1590"/>
              <a:gd name="T52" fmla="*/ 3733 w 5263"/>
              <a:gd name="T53" fmla="*/ 292 h 1590"/>
              <a:gd name="T54" fmla="*/ 3825 w 5263"/>
              <a:gd name="T55" fmla="*/ 201 h 1590"/>
              <a:gd name="T56" fmla="*/ 3927 w 5263"/>
              <a:gd name="T57" fmla="*/ 119 h 1590"/>
              <a:gd name="T58" fmla="*/ 4046 w 5263"/>
              <a:gd name="T59" fmla="*/ 46 h 1590"/>
              <a:gd name="T60" fmla="*/ 4194 w 5263"/>
              <a:gd name="T61" fmla="*/ 9 h 1590"/>
              <a:gd name="T62" fmla="*/ 4341 w 5263"/>
              <a:gd name="T63" fmla="*/ 18 h 1590"/>
              <a:gd name="T64" fmla="*/ 4470 w 5263"/>
              <a:gd name="T65" fmla="*/ 64 h 1590"/>
              <a:gd name="T66" fmla="*/ 4581 w 5263"/>
              <a:gd name="T67" fmla="*/ 137 h 1590"/>
              <a:gd name="T68" fmla="*/ 4673 w 5263"/>
              <a:gd name="T69" fmla="*/ 238 h 1590"/>
              <a:gd name="T70" fmla="*/ 4756 w 5263"/>
              <a:gd name="T71" fmla="*/ 329 h 1590"/>
              <a:gd name="T72" fmla="*/ 4858 w 5263"/>
              <a:gd name="T73" fmla="*/ 420 h 1590"/>
              <a:gd name="T74" fmla="*/ 4977 w 5263"/>
              <a:gd name="T75" fmla="*/ 484 h 1590"/>
              <a:gd name="T76" fmla="*/ 5143 w 5263"/>
              <a:gd name="T77" fmla="*/ 530 h 1590"/>
              <a:gd name="T78" fmla="*/ 5263 w 5263"/>
              <a:gd name="T79" fmla="*/ 1097 h 1590"/>
              <a:gd name="T80" fmla="*/ 0 w 5263"/>
              <a:gd name="T81" fmla="*/ 1563 h 1590"/>
              <a:gd name="T82" fmla="*/ 442 w 5263"/>
              <a:gd name="T83" fmla="*/ 110 h 15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590">
                <a:moveTo>
                  <a:pt x="442" y="110"/>
                </a:moveTo>
                <a:lnTo>
                  <a:pt x="451" y="100"/>
                </a:lnTo>
                <a:lnTo>
                  <a:pt x="488" y="91"/>
                </a:lnTo>
                <a:lnTo>
                  <a:pt x="507" y="91"/>
                </a:lnTo>
                <a:lnTo>
                  <a:pt x="553" y="91"/>
                </a:lnTo>
                <a:lnTo>
                  <a:pt x="581" y="91"/>
                </a:lnTo>
                <a:lnTo>
                  <a:pt x="627" y="100"/>
                </a:lnTo>
                <a:lnTo>
                  <a:pt x="663" y="100"/>
                </a:lnTo>
                <a:lnTo>
                  <a:pt x="710" y="119"/>
                </a:lnTo>
                <a:lnTo>
                  <a:pt x="756" y="128"/>
                </a:lnTo>
                <a:lnTo>
                  <a:pt x="811" y="146"/>
                </a:lnTo>
                <a:lnTo>
                  <a:pt x="866" y="164"/>
                </a:lnTo>
                <a:lnTo>
                  <a:pt x="922" y="201"/>
                </a:lnTo>
                <a:lnTo>
                  <a:pt x="977" y="238"/>
                </a:lnTo>
                <a:lnTo>
                  <a:pt x="1032" y="292"/>
                </a:lnTo>
                <a:lnTo>
                  <a:pt x="1161" y="393"/>
                </a:lnTo>
                <a:lnTo>
                  <a:pt x="1272" y="466"/>
                </a:lnTo>
                <a:lnTo>
                  <a:pt x="1364" y="503"/>
                </a:lnTo>
                <a:lnTo>
                  <a:pt x="1456" y="530"/>
                </a:lnTo>
                <a:lnTo>
                  <a:pt x="1530" y="512"/>
                </a:lnTo>
                <a:lnTo>
                  <a:pt x="1594" y="493"/>
                </a:lnTo>
                <a:lnTo>
                  <a:pt x="1659" y="448"/>
                </a:lnTo>
                <a:lnTo>
                  <a:pt x="1724" y="402"/>
                </a:lnTo>
                <a:lnTo>
                  <a:pt x="1770" y="338"/>
                </a:lnTo>
                <a:lnTo>
                  <a:pt x="1834" y="274"/>
                </a:lnTo>
                <a:lnTo>
                  <a:pt x="1899" y="201"/>
                </a:lnTo>
                <a:lnTo>
                  <a:pt x="1972" y="146"/>
                </a:lnTo>
                <a:lnTo>
                  <a:pt x="2037" y="91"/>
                </a:lnTo>
                <a:lnTo>
                  <a:pt x="2129" y="46"/>
                </a:lnTo>
                <a:lnTo>
                  <a:pt x="2231" y="9"/>
                </a:lnTo>
                <a:lnTo>
                  <a:pt x="2341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6"/>
                </a:lnTo>
                <a:lnTo>
                  <a:pt x="2636" y="73"/>
                </a:lnTo>
                <a:lnTo>
                  <a:pt x="2691" y="110"/>
                </a:lnTo>
                <a:lnTo>
                  <a:pt x="2747" y="146"/>
                </a:lnTo>
                <a:lnTo>
                  <a:pt x="2793" y="192"/>
                </a:lnTo>
                <a:lnTo>
                  <a:pt x="2857" y="247"/>
                </a:lnTo>
                <a:lnTo>
                  <a:pt x="2903" y="292"/>
                </a:lnTo>
                <a:lnTo>
                  <a:pt x="2950" y="329"/>
                </a:lnTo>
                <a:lnTo>
                  <a:pt x="3005" y="375"/>
                </a:lnTo>
                <a:lnTo>
                  <a:pt x="3060" y="420"/>
                </a:lnTo>
                <a:lnTo>
                  <a:pt x="3125" y="439"/>
                </a:lnTo>
                <a:lnTo>
                  <a:pt x="3189" y="466"/>
                </a:lnTo>
                <a:lnTo>
                  <a:pt x="3254" y="484"/>
                </a:lnTo>
                <a:lnTo>
                  <a:pt x="3337" y="493"/>
                </a:lnTo>
                <a:lnTo>
                  <a:pt x="3410" y="484"/>
                </a:lnTo>
                <a:lnTo>
                  <a:pt x="3466" y="466"/>
                </a:lnTo>
                <a:lnTo>
                  <a:pt x="3530" y="439"/>
                </a:lnTo>
                <a:lnTo>
                  <a:pt x="3586" y="411"/>
                </a:lnTo>
                <a:lnTo>
                  <a:pt x="3641" y="375"/>
                </a:lnTo>
                <a:lnTo>
                  <a:pt x="3687" y="329"/>
                </a:lnTo>
                <a:lnTo>
                  <a:pt x="3733" y="292"/>
                </a:lnTo>
                <a:lnTo>
                  <a:pt x="3788" y="247"/>
                </a:lnTo>
                <a:lnTo>
                  <a:pt x="3825" y="201"/>
                </a:lnTo>
                <a:lnTo>
                  <a:pt x="3881" y="155"/>
                </a:lnTo>
                <a:lnTo>
                  <a:pt x="3927" y="119"/>
                </a:lnTo>
                <a:lnTo>
                  <a:pt x="3991" y="82"/>
                </a:lnTo>
                <a:lnTo>
                  <a:pt x="4046" y="46"/>
                </a:lnTo>
                <a:lnTo>
                  <a:pt x="4111" y="27"/>
                </a:lnTo>
                <a:lnTo>
                  <a:pt x="4194" y="9"/>
                </a:lnTo>
                <a:lnTo>
                  <a:pt x="4277" y="18"/>
                </a:lnTo>
                <a:lnTo>
                  <a:pt x="4341" y="18"/>
                </a:lnTo>
                <a:lnTo>
                  <a:pt x="4415" y="36"/>
                </a:lnTo>
                <a:lnTo>
                  <a:pt x="4470" y="64"/>
                </a:lnTo>
                <a:lnTo>
                  <a:pt x="4535" y="100"/>
                </a:lnTo>
                <a:lnTo>
                  <a:pt x="4581" y="137"/>
                </a:lnTo>
                <a:lnTo>
                  <a:pt x="4627" y="183"/>
                </a:lnTo>
                <a:lnTo>
                  <a:pt x="4673" y="238"/>
                </a:lnTo>
                <a:lnTo>
                  <a:pt x="4719" y="292"/>
                </a:lnTo>
                <a:lnTo>
                  <a:pt x="4756" y="329"/>
                </a:lnTo>
                <a:lnTo>
                  <a:pt x="4812" y="375"/>
                </a:lnTo>
                <a:lnTo>
                  <a:pt x="4858" y="420"/>
                </a:lnTo>
                <a:lnTo>
                  <a:pt x="4922" y="466"/>
                </a:lnTo>
                <a:lnTo>
                  <a:pt x="4977" y="484"/>
                </a:lnTo>
                <a:lnTo>
                  <a:pt x="5060" y="512"/>
                </a:lnTo>
                <a:lnTo>
                  <a:pt x="5143" y="530"/>
                </a:lnTo>
                <a:lnTo>
                  <a:pt x="5254" y="530"/>
                </a:lnTo>
                <a:lnTo>
                  <a:pt x="5263" y="1097"/>
                </a:lnTo>
                <a:lnTo>
                  <a:pt x="3106" y="1590"/>
                </a:lnTo>
                <a:lnTo>
                  <a:pt x="0" y="1563"/>
                </a:lnTo>
                <a:lnTo>
                  <a:pt x="46" y="311"/>
                </a:lnTo>
                <a:lnTo>
                  <a:pt x="442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" name="Freeform 71">
            <a:extLst>
              <a:ext uri="{FF2B5EF4-FFF2-40B4-BE49-F238E27FC236}">
                <a16:creationId xmlns="" xmlns:a16="http://schemas.microsoft.com/office/drawing/2014/main" id="{00000000-0008-0000-0700-00000A000000}"/>
              </a:ext>
            </a:extLst>
          </xdr:cNvPr>
          <xdr:cNvSpPr>
            <a:spLocks/>
          </xdr:cNvSpPr>
        </xdr:nvSpPr>
        <xdr:spPr bwMode="auto">
          <a:xfrm>
            <a:off x="340544" y="98088"/>
            <a:ext cx="422453" cy="112662"/>
          </a:xfrm>
          <a:custGeom>
            <a:avLst/>
            <a:gdLst>
              <a:gd name="T0" fmla="*/ 451 w 5272"/>
              <a:gd name="T1" fmla="*/ 91 h 1408"/>
              <a:gd name="T2" fmla="*/ 507 w 5272"/>
              <a:gd name="T3" fmla="*/ 82 h 1408"/>
              <a:gd name="T4" fmla="*/ 590 w 5272"/>
              <a:gd name="T5" fmla="*/ 82 h 1408"/>
              <a:gd name="T6" fmla="*/ 673 w 5272"/>
              <a:gd name="T7" fmla="*/ 91 h 1408"/>
              <a:gd name="T8" fmla="*/ 765 w 5272"/>
              <a:gd name="T9" fmla="*/ 110 h 1408"/>
              <a:gd name="T10" fmla="*/ 866 w 5272"/>
              <a:gd name="T11" fmla="*/ 155 h 1408"/>
              <a:gd name="T12" fmla="*/ 977 w 5272"/>
              <a:gd name="T13" fmla="*/ 219 h 1408"/>
              <a:gd name="T14" fmla="*/ 1161 w 5272"/>
              <a:gd name="T15" fmla="*/ 347 h 1408"/>
              <a:gd name="T16" fmla="*/ 1364 w 5272"/>
              <a:gd name="T17" fmla="*/ 457 h 1408"/>
              <a:gd name="T18" fmla="*/ 1530 w 5272"/>
              <a:gd name="T19" fmla="*/ 457 h 1408"/>
              <a:gd name="T20" fmla="*/ 1659 w 5272"/>
              <a:gd name="T21" fmla="*/ 402 h 1408"/>
              <a:gd name="T22" fmla="*/ 1770 w 5272"/>
              <a:gd name="T23" fmla="*/ 302 h 1408"/>
              <a:gd name="T24" fmla="*/ 1899 w 5272"/>
              <a:gd name="T25" fmla="*/ 192 h 1408"/>
              <a:gd name="T26" fmla="*/ 2037 w 5272"/>
              <a:gd name="T27" fmla="*/ 82 h 1408"/>
              <a:gd name="T28" fmla="*/ 2231 w 5272"/>
              <a:gd name="T29" fmla="*/ 18 h 1408"/>
              <a:gd name="T30" fmla="*/ 2424 w 5272"/>
              <a:gd name="T31" fmla="*/ 0 h 1408"/>
              <a:gd name="T32" fmla="*/ 2562 w 5272"/>
              <a:gd name="T33" fmla="*/ 37 h 1408"/>
              <a:gd name="T34" fmla="*/ 2691 w 5272"/>
              <a:gd name="T35" fmla="*/ 101 h 1408"/>
              <a:gd name="T36" fmla="*/ 2793 w 5272"/>
              <a:gd name="T37" fmla="*/ 174 h 1408"/>
              <a:gd name="T38" fmla="*/ 2903 w 5272"/>
              <a:gd name="T39" fmla="*/ 265 h 1408"/>
              <a:gd name="T40" fmla="*/ 3005 w 5272"/>
              <a:gd name="T41" fmla="*/ 329 h 1408"/>
              <a:gd name="T42" fmla="*/ 3125 w 5272"/>
              <a:gd name="T43" fmla="*/ 393 h 1408"/>
              <a:gd name="T44" fmla="*/ 3254 w 5272"/>
              <a:gd name="T45" fmla="*/ 439 h 1408"/>
              <a:gd name="T46" fmla="*/ 3410 w 5272"/>
              <a:gd name="T47" fmla="*/ 430 h 1408"/>
              <a:gd name="T48" fmla="*/ 3530 w 5272"/>
              <a:gd name="T49" fmla="*/ 393 h 1408"/>
              <a:gd name="T50" fmla="*/ 3641 w 5272"/>
              <a:gd name="T51" fmla="*/ 329 h 1408"/>
              <a:gd name="T52" fmla="*/ 3733 w 5272"/>
              <a:gd name="T53" fmla="*/ 256 h 1408"/>
              <a:gd name="T54" fmla="*/ 3834 w 5272"/>
              <a:gd name="T55" fmla="*/ 183 h 1408"/>
              <a:gd name="T56" fmla="*/ 3936 w 5272"/>
              <a:gd name="T57" fmla="*/ 110 h 1408"/>
              <a:gd name="T58" fmla="*/ 4056 w 5272"/>
              <a:gd name="T59" fmla="*/ 46 h 1408"/>
              <a:gd name="T60" fmla="*/ 4194 w 5272"/>
              <a:gd name="T61" fmla="*/ 18 h 1408"/>
              <a:gd name="T62" fmla="*/ 4351 w 5272"/>
              <a:gd name="T63" fmla="*/ 18 h 1408"/>
              <a:gd name="T64" fmla="*/ 4480 w 5272"/>
              <a:gd name="T65" fmla="*/ 55 h 1408"/>
              <a:gd name="T66" fmla="*/ 4581 w 5272"/>
              <a:gd name="T67" fmla="*/ 128 h 1408"/>
              <a:gd name="T68" fmla="*/ 4682 w 5272"/>
              <a:gd name="T69" fmla="*/ 210 h 1408"/>
              <a:gd name="T70" fmla="*/ 4765 w 5272"/>
              <a:gd name="T71" fmla="*/ 302 h 1408"/>
              <a:gd name="T72" fmla="*/ 4867 w 5272"/>
              <a:gd name="T73" fmla="*/ 375 h 1408"/>
              <a:gd name="T74" fmla="*/ 4987 w 5272"/>
              <a:gd name="T75" fmla="*/ 439 h 1408"/>
              <a:gd name="T76" fmla="*/ 5153 w 5272"/>
              <a:gd name="T77" fmla="*/ 475 h 1408"/>
              <a:gd name="T78" fmla="*/ 5272 w 5272"/>
              <a:gd name="T79" fmla="*/ 978 h 1408"/>
              <a:gd name="T80" fmla="*/ 0 w 5272"/>
              <a:gd name="T81" fmla="*/ 1389 h 1408"/>
              <a:gd name="T82" fmla="*/ 442 w 5272"/>
              <a:gd name="T83" fmla="*/ 101 h 14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2" h="1408">
                <a:moveTo>
                  <a:pt x="442" y="101"/>
                </a:moveTo>
                <a:lnTo>
                  <a:pt x="451" y="91"/>
                </a:lnTo>
                <a:lnTo>
                  <a:pt x="488" y="82"/>
                </a:lnTo>
                <a:lnTo>
                  <a:pt x="507" y="82"/>
                </a:lnTo>
                <a:lnTo>
                  <a:pt x="553" y="82"/>
                </a:lnTo>
                <a:lnTo>
                  <a:pt x="590" y="82"/>
                </a:lnTo>
                <a:lnTo>
                  <a:pt x="636" y="91"/>
                </a:lnTo>
                <a:lnTo>
                  <a:pt x="673" y="91"/>
                </a:lnTo>
                <a:lnTo>
                  <a:pt x="719" y="101"/>
                </a:lnTo>
                <a:lnTo>
                  <a:pt x="765" y="110"/>
                </a:lnTo>
                <a:lnTo>
                  <a:pt x="820" y="128"/>
                </a:lnTo>
                <a:lnTo>
                  <a:pt x="866" y="155"/>
                </a:lnTo>
                <a:lnTo>
                  <a:pt x="922" y="183"/>
                </a:lnTo>
                <a:lnTo>
                  <a:pt x="977" y="219"/>
                </a:lnTo>
                <a:lnTo>
                  <a:pt x="1032" y="265"/>
                </a:lnTo>
                <a:lnTo>
                  <a:pt x="1161" y="347"/>
                </a:lnTo>
                <a:lnTo>
                  <a:pt x="1272" y="411"/>
                </a:lnTo>
                <a:lnTo>
                  <a:pt x="1364" y="457"/>
                </a:lnTo>
                <a:lnTo>
                  <a:pt x="1456" y="475"/>
                </a:lnTo>
                <a:lnTo>
                  <a:pt x="1530" y="457"/>
                </a:lnTo>
                <a:lnTo>
                  <a:pt x="1594" y="439"/>
                </a:lnTo>
                <a:lnTo>
                  <a:pt x="1659" y="402"/>
                </a:lnTo>
                <a:lnTo>
                  <a:pt x="1724" y="366"/>
                </a:lnTo>
                <a:lnTo>
                  <a:pt x="1770" y="302"/>
                </a:lnTo>
                <a:lnTo>
                  <a:pt x="1834" y="247"/>
                </a:lnTo>
                <a:lnTo>
                  <a:pt x="1899" y="192"/>
                </a:lnTo>
                <a:lnTo>
                  <a:pt x="1972" y="137"/>
                </a:lnTo>
                <a:lnTo>
                  <a:pt x="2037" y="82"/>
                </a:lnTo>
                <a:lnTo>
                  <a:pt x="2129" y="46"/>
                </a:lnTo>
                <a:lnTo>
                  <a:pt x="2231" y="18"/>
                </a:lnTo>
                <a:lnTo>
                  <a:pt x="2350" y="9"/>
                </a:lnTo>
                <a:lnTo>
                  <a:pt x="2424" y="0"/>
                </a:lnTo>
                <a:lnTo>
                  <a:pt x="2498" y="18"/>
                </a:lnTo>
                <a:lnTo>
                  <a:pt x="2562" y="37"/>
                </a:lnTo>
                <a:lnTo>
                  <a:pt x="2636" y="64"/>
                </a:lnTo>
                <a:lnTo>
                  <a:pt x="2691" y="101"/>
                </a:lnTo>
                <a:lnTo>
                  <a:pt x="2747" y="137"/>
                </a:lnTo>
                <a:lnTo>
                  <a:pt x="2793" y="174"/>
                </a:lnTo>
                <a:lnTo>
                  <a:pt x="2857" y="219"/>
                </a:lnTo>
                <a:lnTo>
                  <a:pt x="2903" y="265"/>
                </a:lnTo>
                <a:lnTo>
                  <a:pt x="2950" y="302"/>
                </a:lnTo>
                <a:lnTo>
                  <a:pt x="3005" y="329"/>
                </a:lnTo>
                <a:lnTo>
                  <a:pt x="3060" y="366"/>
                </a:lnTo>
                <a:lnTo>
                  <a:pt x="3125" y="393"/>
                </a:lnTo>
                <a:lnTo>
                  <a:pt x="3189" y="420"/>
                </a:lnTo>
                <a:lnTo>
                  <a:pt x="3254" y="439"/>
                </a:lnTo>
                <a:lnTo>
                  <a:pt x="3337" y="439"/>
                </a:lnTo>
                <a:lnTo>
                  <a:pt x="3410" y="430"/>
                </a:lnTo>
                <a:lnTo>
                  <a:pt x="3466" y="411"/>
                </a:lnTo>
                <a:lnTo>
                  <a:pt x="3530" y="393"/>
                </a:lnTo>
                <a:lnTo>
                  <a:pt x="3595" y="366"/>
                </a:lnTo>
                <a:lnTo>
                  <a:pt x="3641" y="329"/>
                </a:lnTo>
                <a:lnTo>
                  <a:pt x="3687" y="292"/>
                </a:lnTo>
                <a:lnTo>
                  <a:pt x="3733" y="256"/>
                </a:lnTo>
                <a:lnTo>
                  <a:pt x="3788" y="219"/>
                </a:lnTo>
                <a:lnTo>
                  <a:pt x="3834" y="183"/>
                </a:lnTo>
                <a:lnTo>
                  <a:pt x="3881" y="146"/>
                </a:lnTo>
                <a:lnTo>
                  <a:pt x="3936" y="110"/>
                </a:lnTo>
                <a:lnTo>
                  <a:pt x="3991" y="82"/>
                </a:lnTo>
                <a:lnTo>
                  <a:pt x="4056" y="46"/>
                </a:lnTo>
                <a:lnTo>
                  <a:pt x="4120" y="27"/>
                </a:lnTo>
                <a:lnTo>
                  <a:pt x="4194" y="18"/>
                </a:lnTo>
                <a:lnTo>
                  <a:pt x="4277" y="18"/>
                </a:lnTo>
                <a:lnTo>
                  <a:pt x="4351" y="18"/>
                </a:lnTo>
                <a:lnTo>
                  <a:pt x="4424" y="37"/>
                </a:lnTo>
                <a:lnTo>
                  <a:pt x="4480" y="55"/>
                </a:lnTo>
                <a:lnTo>
                  <a:pt x="4535" y="91"/>
                </a:lnTo>
                <a:lnTo>
                  <a:pt x="4581" y="128"/>
                </a:lnTo>
                <a:lnTo>
                  <a:pt x="4636" y="174"/>
                </a:lnTo>
                <a:lnTo>
                  <a:pt x="4682" y="210"/>
                </a:lnTo>
                <a:lnTo>
                  <a:pt x="4729" y="265"/>
                </a:lnTo>
                <a:lnTo>
                  <a:pt x="4765" y="302"/>
                </a:lnTo>
                <a:lnTo>
                  <a:pt x="4821" y="347"/>
                </a:lnTo>
                <a:lnTo>
                  <a:pt x="4867" y="375"/>
                </a:lnTo>
                <a:lnTo>
                  <a:pt x="4931" y="411"/>
                </a:lnTo>
                <a:lnTo>
                  <a:pt x="4987" y="439"/>
                </a:lnTo>
                <a:lnTo>
                  <a:pt x="5070" y="466"/>
                </a:lnTo>
                <a:lnTo>
                  <a:pt x="5153" y="475"/>
                </a:lnTo>
                <a:lnTo>
                  <a:pt x="5254" y="475"/>
                </a:lnTo>
                <a:lnTo>
                  <a:pt x="5272" y="978"/>
                </a:lnTo>
                <a:lnTo>
                  <a:pt x="3115" y="1408"/>
                </a:lnTo>
                <a:lnTo>
                  <a:pt x="0" y="1389"/>
                </a:lnTo>
                <a:lnTo>
                  <a:pt x="46" y="283"/>
                </a:lnTo>
                <a:lnTo>
                  <a:pt x="442" y="101"/>
                </a:lnTo>
                <a:close/>
              </a:path>
            </a:pathLst>
          </a:custGeom>
          <a:solidFill>
            <a:srgbClr val="FFCC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" name="Freeform 72">
            <a:extLst>
              <a:ext uri="{FF2B5EF4-FFF2-40B4-BE49-F238E27FC236}">
                <a16:creationId xmlns="" xmlns:a16="http://schemas.microsoft.com/office/drawing/2014/main" id="{00000000-0008-0000-0700-00000B000000}"/>
              </a:ext>
            </a:extLst>
          </xdr:cNvPr>
          <xdr:cNvSpPr>
            <a:spLocks/>
          </xdr:cNvSpPr>
        </xdr:nvSpPr>
        <xdr:spPr bwMode="auto">
          <a:xfrm>
            <a:off x="342685" y="107011"/>
            <a:ext cx="421679" cy="98088"/>
          </a:xfrm>
          <a:custGeom>
            <a:avLst/>
            <a:gdLst>
              <a:gd name="T0" fmla="*/ 452 w 5263"/>
              <a:gd name="T1" fmla="*/ 83 h 1225"/>
              <a:gd name="T2" fmla="*/ 507 w 5263"/>
              <a:gd name="T3" fmla="*/ 73 h 1225"/>
              <a:gd name="T4" fmla="*/ 581 w 5263"/>
              <a:gd name="T5" fmla="*/ 73 h 1225"/>
              <a:gd name="T6" fmla="*/ 664 w 5263"/>
              <a:gd name="T7" fmla="*/ 73 h 1225"/>
              <a:gd name="T8" fmla="*/ 756 w 5263"/>
              <a:gd name="T9" fmla="*/ 92 h 1225"/>
              <a:gd name="T10" fmla="*/ 866 w 5263"/>
              <a:gd name="T11" fmla="*/ 128 h 1225"/>
              <a:gd name="T12" fmla="*/ 977 w 5263"/>
              <a:gd name="T13" fmla="*/ 183 h 1225"/>
              <a:gd name="T14" fmla="*/ 1152 w 5263"/>
              <a:gd name="T15" fmla="*/ 293 h 1225"/>
              <a:gd name="T16" fmla="*/ 1364 w 5263"/>
              <a:gd name="T17" fmla="*/ 384 h 1225"/>
              <a:gd name="T18" fmla="*/ 1521 w 5263"/>
              <a:gd name="T19" fmla="*/ 393 h 1225"/>
              <a:gd name="T20" fmla="*/ 1650 w 5263"/>
              <a:gd name="T21" fmla="*/ 338 h 1225"/>
              <a:gd name="T22" fmla="*/ 1770 w 5263"/>
              <a:gd name="T23" fmla="*/ 256 h 1225"/>
              <a:gd name="T24" fmla="*/ 1890 w 5263"/>
              <a:gd name="T25" fmla="*/ 156 h 1225"/>
              <a:gd name="T26" fmla="*/ 2037 w 5263"/>
              <a:gd name="T27" fmla="*/ 64 h 1225"/>
              <a:gd name="T28" fmla="*/ 2222 w 5263"/>
              <a:gd name="T29" fmla="*/ 9 h 1225"/>
              <a:gd name="T30" fmla="*/ 2415 w 5263"/>
              <a:gd name="T31" fmla="*/ 0 h 1225"/>
              <a:gd name="T32" fmla="*/ 2563 w 5263"/>
              <a:gd name="T33" fmla="*/ 28 h 1225"/>
              <a:gd name="T34" fmla="*/ 2682 w 5263"/>
              <a:gd name="T35" fmla="*/ 83 h 1225"/>
              <a:gd name="T36" fmla="*/ 2793 w 5263"/>
              <a:gd name="T37" fmla="*/ 156 h 1225"/>
              <a:gd name="T38" fmla="*/ 2894 w 5263"/>
              <a:gd name="T39" fmla="*/ 220 h 1225"/>
              <a:gd name="T40" fmla="*/ 3005 w 5263"/>
              <a:gd name="T41" fmla="*/ 293 h 1225"/>
              <a:gd name="T42" fmla="*/ 3116 w 5263"/>
              <a:gd name="T43" fmla="*/ 338 h 1225"/>
              <a:gd name="T44" fmla="*/ 3245 w 5263"/>
              <a:gd name="T45" fmla="*/ 375 h 1225"/>
              <a:gd name="T46" fmla="*/ 3401 w 5263"/>
              <a:gd name="T47" fmla="*/ 375 h 1225"/>
              <a:gd name="T48" fmla="*/ 3530 w 5263"/>
              <a:gd name="T49" fmla="*/ 338 h 1225"/>
              <a:gd name="T50" fmla="*/ 3632 w 5263"/>
              <a:gd name="T51" fmla="*/ 293 h 1225"/>
              <a:gd name="T52" fmla="*/ 3733 w 5263"/>
              <a:gd name="T53" fmla="*/ 220 h 1225"/>
              <a:gd name="T54" fmla="*/ 3825 w 5263"/>
              <a:gd name="T55" fmla="*/ 156 h 1225"/>
              <a:gd name="T56" fmla="*/ 3927 w 5263"/>
              <a:gd name="T57" fmla="*/ 92 h 1225"/>
              <a:gd name="T58" fmla="*/ 4047 w 5263"/>
              <a:gd name="T59" fmla="*/ 37 h 1225"/>
              <a:gd name="T60" fmla="*/ 4185 w 5263"/>
              <a:gd name="T61" fmla="*/ 9 h 1225"/>
              <a:gd name="T62" fmla="*/ 4342 w 5263"/>
              <a:gd name="T63" fmla="*/ 19 h 1225"/>
              <a:gd name="T64" fmla="*/ 4471 w 5263"/>
              <a:gd name="T65" fmla="*/ 46 h 1225"/>
              <a:gd name="T66" fmla="*/ 4572 w 5263"/>
              <a:gd name="T67" fmla="*/ 110 h 1225"/>
              <a:gd name="T68" fmla="*/ 4673 w 5263"/>
              <a:gd name="T69" fmla="*/ 183 h 1225"/>
              <a:gd name="T70" fmla="*/ 4756 w 5263"/>
              <a:gd name="T71" fmla="*/ 256 h 1225"/>
              <a:gd name="T72" fmla="*/ 4858 w 5263"/>
              <a:gd name="T73" fmla="*/ 329 h 1225"/>
              <a:gd name="T74" fmla="*/ 4978 w 5263"/>
              <a:gd name="T75" fmla="*/ 375 h 1225"/>
              <a:gd name="T76" fmla="*/ 5144 w 5263"/>
              <a:gd name="T77" fmla="*/ 402 h 1225"/>
              <a:gd name="T78" fmla="*/ 5263 w 5263"/>
              <a:gd name="T79" fmla="*/ 841 h 1225"/>
              <a:gd name="T80" fmla="*/ 0 w 5263"/>
              <a:gd name="T81" fmla="*/ 1198 h 1225"/>
              <a:gd name="T82" fmla="*/ 442 w 5263"/>
              <a:gd name="T83" fmla="*/ 92 h 12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63" h="1225">
                <a:moveTo>
                  <a:pt x="442" y="92"/>
                </a:moveTo>
                <a:lnTo>
                  <a:pt x="452" y="83"/>
                </a:lnTo>
                <a:lnTo>
                  <a:pt x="489" y="73"/>
                </a:lnTo>
                <a:lnTo>
                  <a:pt x="507" y="73"/>
                </a:lnTo>
                <a:lnTo>
                  <a:pt x="544" y="73"/>
                </a:lnTo>
                <a:lnTo>
                  <a:pt x="581" y="73"/>
                </a:lnTo>
                <a:lnTo>
                  <a:pt x="627" y="73"/>
                </a:lnTo>
                <a:lnTo>
                  <a:pt x="664" y="73"/>
                </a:lnTo>
                <a:lnTo>
                  <a:pt x="710" y="83"/>
                </a:lnTo>
                <a:lnTo>
                  <a:pt x="756" y="92"/>
                </a:lnTo>
                <a:lnTo>
                  <a:pt x="811" y="119"/>
                </a:lnTo>
                <a:lnTo>
                  <a:pt x="866" y="128"/>
                </a:lnTo>
                <a:lnTo>
                  <a:pt x="913" y="156"/>
                </a:lnTo>
                <a:lnTo>
                  <a:pt x="977" y="183"/>
                </a:lnTo>
                <a:lnTo>
                  <a:pt x="1032" y="220"/>
                </a:lnTo>
                <a:lnTo>
                  <a:pt x="1152" y="293"/>
                </a:lnTo>
                <a:lnTo>
                  <a:pt x="1263" y="357"/>
                </a:lnTo>
                <a:lnTo>
                  <a:pt x="1364" y="384"/>
                </a:lnTo>
                <a:lnTo>
                  <a:pt x="1447" y="393"/>
                </a:lnTo>
                <a:lnTo>
                  <a:pt x="1521" y="393"/>
                </a:lnTo>
                <a:lnTo>
                  <a:pt x="1585" y="375"/>
                </a:lnTo>
                <a:lnTo>
                  <a:pt x="1650" y="338"/>
                </a:lnTo>
                <a:lnTo>
                  <a:pt x="1715" y="311"/>
                </a:lnTo>
                <a:lnTo>
                  <a:pt x="1770" y="256"/>
                </a:lnTo>
                <a:lnTo>
                  <a:pt x="1825" y="210"/>
                </a:lnTo>
                <a:lnTo>
                  <a:pt x="1890" y="156"/>
                </a:lnTo>
                <a:lnTo>
                  <a:pt x="1963" y="119"/>
                </a:lnTo>
                <a:lnTo>
                  <a:pt x="2037" y="64"/>
                </a:lnTo>
                <a:lnTo>
                  <a:pt x="2129" y="28"/>
                </a:lnTo>
                <a:lnTo>
                  <a:pt x="2222" y="9"/>
                </a:lnTo>
                <a:lnTo>
                  <a:pt x="2341" y="9"/>
                </a:lnTo>
                <a:lnTo>
                  <a:pt x="2415" y="0"/>
                </a:lnTo>
                <a:lnTo>
                  <a:pt x="2498" y="9"/>
                </a:lnTo>
                <a:lnTo>
                  <a:pt x="2563" y="28"/>
                </a:lnTo>
                <a:lnTo>
                  <a:pt x="2636" y="55"/>
                </a:lnTo>
                <a:lnTo>
                  <a:pt x="2682" y="83"/>
                </a:lnTo>
                <a:lnTo>
                  <a:pt x="2738" y="119"/>
                </a:lnTo>
                <a:lnTo>
                  <a:pt x="2793" y="156"/>
                </a:lnTo>
                <a:lnTo>
                  <a:pt x="2848" y="192"/>
                </a:lnTo>
                <a:lnTo>
                  <a:pt x="2894" y="220"/>
                </a:lnTo>
                <a:lnTo>
                  <a:pt x="2950" y="256"/>
                </a:lnTo>
                <a:lnTo>
                  <a:pt x="3005" y="293"/>
                </a:lnTo>
                <a:lnTo>
                  <a:pt x="3060" y="320"/>
                </a:lnTo>
                <a:lnTo>
                  <a:pt x="3116" y="338"/>
                </a:lnTo>
                <a:lnTo>
                  <a:pt x="3180" y="366"/>
                </a:lnTo>
                <a:lnTo>
                  <a:pt x="3245" y="375"/>
                </a:lnTo>
                <a:lnTo>
                  <a:pt x="3328" y="384"/>
                </a:lnTo>
                <a:lnTo>
                  <a:pt x="3401" y="375"/>
                </a:lnTo>
                <a:lnTo>
                  <a:pt x="3466" y="357"/>
                </a:lnTo>
                <a:lnTo>
                  <a:pt x="3530" y="338"/>
                </a:lnTo>
                <a:lnTo>
                  <a:pt x="3586" y="320"/>
                </a:lnTo>
                <a:lnTo>
                  <a:pt x="3632" y="293"/>
                </a:lnTo>
                <a:lnTo>
                  <a:pt x="3687" y="256"/>
                </a:lnTo>
                <a:lnTo>
                  <a:pt x="3733" y="220"/>
                </a:lnTo>
                <a:lnTo>
                  <a:pt x="3789" y="192"/>
                </a:lnTo>
                <a:lnTo>
                  <a:pt x="3825" y="156"/>
                </a:lnTo>
                <a:lnTo>
                  <a:pt x="3872" y="119"/>
                </a:lnTo>
                <a:lnTo>
                  <a:pt x="3927" y="92"/>
                </a:lnTo>
                <a:lnTo>
                  <a:pt x="3982" y="64"/>
                </a:lnTo>
                <a:lnTo>
                  <a:pt x="4047" y="37"/>
                </a:lnTo>
                <a:lnTo>
                  <a:pt x="4111" y="28"/>
                </a:lnTo>
                <a:lnTo>
                  <a:pt x="4185" y="9"/>
                </a:lnTo>
                <a:lnTo>
                  <a:pt x="4268" y="19"/>
                </a:lnTo>
                <a:lnTo>
                  <a:pt x="4342" y="19"/>
                </a:lnTo>
                <a:lnTo>
                  <a:pt x="4415" y="28"/>
                </a:lnTo>
                <a:lnTo>
                  <a:pt x="4471" y="46"/>
                </a:lnTo>
                <a:lnTo>
                  <a:pt x="4526" y="83"/>
                </a:lnTo>
                <a:lnTo>
                  <a:pt x="4572" y="110"/>
                </a:lnTo>
                <a:lnTo>
                  <a:pt x="4627" y="146"/>
                </a:lnTo>
                <a:lnTo>
                  <a:pt x="4673" y="183"/>
                </a:lnTo>
                <a:lnTo>
                  <a:pt x="4720" y="220"/>
                </a:lnTo>
                <a:lnTo>
                  <a:pt x="4756" y="256"/>
                </a:lnTo>
                <a:lnTo>
                  <a:pt x="4812" y="293"/>
                </a:lnTo>
                <a:lnTo>
                  <a:pt x="4858" y="329"/>
                </a:lnTo>
                <a:lnTo>
                  <a:pt x="4922" y="357"/>
                </a:lnTo>
                <a:lnTo>
                  <a:pt x="4978" y="375"/>
                </a:lnTo>
                <a:lnTo>
                  <a:pt x="5061" y="393"/>
                </a:lnTo>
                <a:lnTo>
                  <a:pt x="5144" y="402"/>
                </a:lnTo>
                <a:lnTo>
                  <a:pt x="5245" y="412"/>
                </a:lnTo>
                <a:lnTo>
                  <a:pt x="5263" y="841"/>
                </a:lnTo>
                <a:lnTo>
                  <a:pt x="3106" y="1225"/>
                </a:lnTo>
                <a:lnTo>
                  <a:pt x="0" y="1198"/>
                </a:lnTo>
                <a:lnTo>
                  <a:pt x="46" y="247"/>
                </a:lnTo>
                <a:lnTo>
                  <a:pt x="442" y="92"/>
                </a:lnTo>
                <a:close/>
              </a:path>
            </a:pathLst>
          </a:custGeom>
          <a:solidFill>
            <a:srgbClr val="DBE8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2" name="Freeform 73">
            <a:extLst>
              <a:ext uri="{FF2B5EF4-FFF2-40B4-BE49-F238E27FC236}">
                <a16:creationId xmlns="" xmlns:a16="http://schemas.microsoft.com/office/drawing/2014/main" id="{00000000-0008-0000-0700-00000C000000}"/>
              </a:ext>
            </a:extLst>
          </xdr:cNvPr>
          <xdr:cNvSpPr>
            <a:spLocks/>
          </xdr:cNvSpPr>
        </xdr:nvSpPr>
        <xdr:spPr bwMode="auto">
          <a:xfrm>
            <a:off x="345838" y="123844"/>
            <a:ext cx="422512" cy="83396"/>
          </a:xfrm>
          <a:custGeom>
            <a:avLst/>
            <a:gdLst>
              <a:gd name="T0" fmla="*/ 452 w 5273"/>
              <a:gd name="T1" fmla="*/ 73 h 1042"/>
              <a:gd name="T2" fmla="*/ 507 w 5273"/>
              <a:gd name="T3" fmla="*/ 64 h 1042"/>
              <a:gd name="T4" fmla="*/ 590 w 5273"/>
              <a:gd name="T5" fmla="*/ 64 h 1042"/>
              <a:gd name="T6" fmla="*/ 673 w 5273"/>
              <a:gd name="T7" fmla="*/ 73 h 1042"/>
              <a:gd name="T8" fmla="*/ 765 w 5273"/>
              <a:gd name="T9" fmla="*/ 83 h 1042"/>
              <a:gd name="T10" fmla="*/ 866 w 5273"/>
              <a:gd name="T11" fmla="*/ 119 h 1042"/>
              <a:gd name="T12" fmla="*/ 977 w 5273"/>
              <a:gd name="T13" fmla="*/ 156 h 1042"/>
              <a:gd name="T14" fmla="*/ 1152 w 5273"/>
              <a:gd name="T15" fmla="*/ 256 h 1042"/>
              <a:gd name="T16" fmla="*/ 1364 w 5273"/>
              <a:gd name="T17" fmla="*/ 329 h 1042"/>
              <a:gd name="T18" fmla="*/ 1521 w 5273"/>
              <a:gd name="T19" fmla="*/ 339 h 1042"/>
              <a:gd name="T20" fmla="*/ 1650 w 5273"/>
              <a:gd name="T21" fmla="*/ 302 h 1042"/>
              <a:gd name="T22" fmla="*/ 1770 w 5273"/>
              <a:gd name="T23" fmla="*/ 220 h 1042"/>
              <a:gd name="T24" fmla="*/ 1899 w 5273"/>
              <a:gd name="T25" fmla="*/ 137 h 1042"/>
              <a:gd name="T26" fmla="*/ 2037 w 5273"/>
              <a:gd name="T27" fmla="*/ 64 h 1042"/>
              <a:gd name="T28" fmla="*/ 2222 w 5273"/>
              <a:gd name="T29" fmla="*/ 9 h 1042"/>
              <a:gd name="T30" fmla="*/ 2415 w 5273"/>
              <a:gd name="T31" fmla="*/ 0 h 1042"/>
              <a:gd name="T32" fmla="*/ 2563 w 5273"/>
              <a:gd name="T33" fmla="*/ 28 h 1042"/>
              <a:gd name="T34" fmla="*/ 2682 w 5273"/>
              <a:gd name="T35" fmla="*/ 73 h 1042"/>
              <a:gd name="T36" fmla="*/ 2793 w 5273"/>
              <a:gd name="T37" fmla="*/ 128 h 1042"/>
              <a:gd name="T38" fmla="*/ 2894 w 5273"/>
              <a:gd name="T39" fmla="*/ 192 h 1042"/>
              <a:gd name="T40" fmla="*/ 3005 w 5273"/>
              <a:gd name="T41" fmla="*/ 247 h 1042"/>
              <a:gd name="T42" fmla="*/ 3116 w 5273"/>
              <a:gd name="T43" fmla="*/ 293 h 1042"/>
              <a:gd name="T44" fmla="*/ 3245 w 5273"/>
              <a:gd name="T45" fmla="*/ 329 h 1042"/>
              <a:gd name="T46" fmla="*/ 3401 w 5273"/>
              <a:gd name="T47" fmla="*/ 320 h 1042"/>
              <a:gd name="T48" fmla="*/ 3530 w 5273"/>
              <a:gd name="T49" fmla="*/ 293 h 1042"/>
              <a:gd name="T50" fmla="*/ 3632 w 5273"/>
              <a:gd name="T51" fmla="*/ 247 h 1042"/>
              <a:gd name="T52" fmla="*/ 3733 w 5273"/>
              <a:gd name="T53" fmla="*/ 192 h 1042"/>
              <a:gd name="T54" fmla="*/ 3825 w 5273"/>
              <a:gd name="T55" fmla="*/ 137 h 1042"/>
              <a:gd name="T56" fmla="*/ 3927 w 5273"/>
              <a:gd name="T57" fmla="*/ 83 h 1042"/>
              <a:gd name="T58" fmla="*/ 4047 w 5273"/>
              <a:gd name="T59" fmla="*/ 46 h 1042"/>
              <a:gd name="T60" fmla="*/ 4185 w 5273"/>
              <a:gd name="T61" fmla="*/ 19 h 1042"/>
              <a:gd name="T62" fmla="*/ 4351 w 5273"/>
              <a:gd name="T63" fmla="*/ 19 h 1042"/>
              <a:gd name="T64" fmla="*/ 4480 w 5273"/>
              <a:gd name="T65" fmla="*/ 46 h 1042"/>
              <a:gd name="T66" fmla="*/ 4581 w 5273"/>
              <a:gd name="T67" fmla="*/ 92 h 1042"/>
              <a:gd name="T68" fmla="*/ 4683 w 5273"/>
              <a:gd name="T69" fmla="*/ 156 h 1042"/>
              <a:gd name="T70" fmla="*/ 4766 w 5273"/>
              <a:gd name="T71" fmla="*/ 220 h 1042"/>
              <a:gd name="T72" fmla="*/ 4858 w 5273"/>
              <a:gd name="T73" fmla="*/ 284 h 1042"/>
              <a:gd name="T74" fmla="*/ 4987 w 5273"/>
              <a:gd name="T75" fmla="*/ 320 h 1042"/>
              <a:gd name="T76" fmla="*/ 5153 w 5273"/>
              <a:gd name="T77" fmla="*/ 348 h 1042"/>
              <a:gd name="T78" fmla="*/ 5273 w 5273"/>
              <a:gd name="T79" fmla="*/ 713 h 1042"/>
              <a:gd name="T80" fmla="*/ 0 w 5273"/>
              <a:gd name="T81" fmla="*/ 1015 h 1042"/>
              <a:gd name="T82" fmla="*/ 442 w 5273"/>
              <a:gd name="T83" fmla="*/ 83 h 10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1042">
                <a:moveTo>
                  <a:pt x="442" y="83"/>
                </a:moveTo>
                <a:lnTo>
                  <a:pt x="452" y="73"/>
                </a:lnTo>
                <a:lnTo>
                  <a:pt x="489" y="73"/>
                </a:lnTo>
                <a:lnTo>
                  <a:pt x="507" y="64"/>
                </a:lnTo>
                <a:lnTo>
                  <a:pt x="544" y="64"/>
                </a:lnTo>
                <a:lnTo>
                  <a:pt x="590" y="64"/>
                </a:lnTo>
                <a:lnTo>
                  <a:pt x="627" y="73"/>
                </a:lnTo>
                <a:lnTo>
                  <a:pt x="673" y="73"/>
                </a:lnTo>
                <a:lnTo>
                  <a:pt x="719" y="83"/>
                </a:lnTo>
                <a:lnTo>
                  <a:pt x="765" y="83"/>
                </a:lnTo>
                <a:lnTo>
                  <a:pt x="820" y="110"/>
                </a:lnTo>
                <a:lnTo>
                  <a:pt x="866" y="119"/>
                </a:lnTo>
                <a:lnTo>
                  <a:pt x="922" y="137"/>
                </a:lnTo>
                <a:lnTo>
                  <a:pt x="977" y="156"/>
                </a:lnTo>
                <a:lnTo>
                  <a:pt x="1032" y="192"/>
                </a:lnTo>
                <a:lnTo>
                  <a:pt x="1152" y="256"/>
                </a:lnTo>
                <a:lnTo>
                  <a:pt x="1263" y="302"/>
                </a:lnTo>
                <a:lnTo>
                  <a:pt x="1364" y="329"/>
                </a:lnTo>
                <a:lnTo>
                  <a:pt x="1456" y="348"/>
                </a:lnTo>
                <a:lnTo>
                  <a:pt x="1521" y="339"/>
                </a:lnTo>
                <a:lnTo>
                  <a:pt x="1595" y="329"/>
                </a:lnTo>
                <a:lnTo>
                  <a:pt x="1650" y="302"/>
                </a:lnTo>
                <a:lnTo>
                  <a:pt x="1724" y="265"/>
                </a:lnTo>
                <a:lnTo>
                  <a:pt x="1770" y="220"/>
                </a:lnTo>
                <a:lnTo>
                  <a:pt x="1825" y="183"/>
                </a:lnTo>
                <a:lnTo>
                  <a:pt x="1899" y="137"/>
                </a:lnTo>
                <a:lnTo>
                  <a:pt x="1963" y="101"/>
                </a:lnTo>
                <a:lnTo>
                  <a:pt x="2037" y="64"/>
                </a:lnTo>
                <a:lnTo>
                  <a:pt x="2129" y="37"/>
                </a:lnTo>
                <a:lnTo>
                  <a:pt x="2222" y="9"/>
                </a:lnTo>
                <a:lnTo>
                  <a:pt x="2351" y="9"/>
                </a:lnTo>
                <a:lnTo>
                  <a:pt x="2415" y="0"/>
                </a:lnTo>
                <a:lnTo>
                  <a:pt x="2498" y="19"/>
                </a:lnTo>
                <a:lnTo>
                  <a:pt x="2563" y="28"/>
                </a:lnTo>
                <a:lnTo>
                  <a:pt x="2636" y="55"/>
                </a:lnTo>
                <a:lnTo>
                  <a:pt x="2682" y="73"/>
                </a:lnTo>
                <a:lnTo>
                  <a:pt x="2738" y="110"/>
                </a:lnTo>
                <a:lnTo>
                  <a:pt x="2793" y="128"/>
                </a:lnTo>
                <a:lnTo>
                  <a:pt x="2848" y="174"/>
                </a:lnTo>
                <a:lnTo>
                  <a:pt x="2894" y="192"/>
                </a:lnTo>
                <a:lnTo>
                  <a:pt x="2950" y="220"/>
                </a:lnTo>
                <a:lnTo>
                  <a:pt x="3005" y="247"/>
                </a:lnTo>
                <a:lnTo>
                  <a:pt x="3060" y="284"/>
                </a:lnTo>
                <a:lnTo>
                  <a:pt x="3116" y="293"/>
                </a:lnTo>
                <a:lnTo>
                  <a:pt x="3180" y="311"/>
                </a:lnTo>
                <a:lnTo>
                  <a:pt x="3245" y="329"/>
                </a:lnTo>
                <a:lnTo>
                  <a:pt x="3328" y="329"/>
                </a:lnTo>
                <a:lnTo>
                  <a:pt x="3401" y="320"/>
                </a:lnTo>
                <a:lnTo>
                  <a:pt x="3466" y="311"/>
                </a:lnTo>
                <a:lnTo>
                  <a:pt x="3530" y="293"/>
                </a:lnTo>
                <a:lnTo>
                  <a:pt x="3595" y="275"/>
                </a:lnTo>
                <a:lnTo>
                  <a:pt x="3632" y="247"/>
                </a:lnTo>
                <a:lnTo>
                  <a:pt x="3687" y="220"/>
                </a:lnTo>
                <a:lnTo>
                  <a:pt x="3733" y="192"/>
                </a:lnTo>
                <a:lnTo>
                  <a:pt x="3789" y="174"/>
                </a:lnTo>
                <a:lnTo>
                  <a:pt x="3825" y="137"/>
                </a:lnTo>
                <a:lnTo>
                  <a:pt x="3872" y="110"/>
                </a:lnTo>
                <a:lnTo>
                  <a:pt x="3927" y="83"/>
                </a:lnTo>
                <a:lnTo>
                  <a:pt x="3982" y="64"/>
                </a:lnTo>
                <a:lnTo>
                  <a:pt x="4047" y="46"/>
                </a:lnTo>
                <a:lnTo>
                  <a:pt x="4111" y="28"/>
                </a:lnTo>
                <a:lnTo>
                  <a:pt x="4185" y="19"/>
                </a:lnTo>
                <a:lnTo>
                  <a:pt x="4268" y="19"/>
                </a:lnTo>
                <a:lnTo>
                  <a:pt x="4351" y="19"/>
                </a:lnTo>
                <a:lnTo>
                  <a:pt x="4415" y="37"/>
                </a:lnTo>
                <a:lnTo>
                  <a:pt x="4480" y="46"/>
                </a:lnTo>
                <a:lnTo>
                  <a:pt x="4535" y="73"/>
                </a:lnTo>
                <a:lnTo>
                  <a:pt x="4581" y="92"/>
                </a:lnTo>
                <a:lnTo>
                  <a:pt x="4637" y="128"/>
                </a:lnTo>
                <a:lnTo>
                  <a:pt x="4683" y="156"/>
                </a:lnTo>
                <a:lnTo>
                  <a:pt x="4729" y="192"/>
                </a:lnTo>
                <a:lnTo>
                  <a:pt x="4766" y="220"/>
                </a:lnTo>
                <a:lnTo>
                  <a:pt x="4812" y="256"/>
                </a:lnTo>
                <a:lnTo>
                  <a:pt x="4858" y="284"/>
                </a:lnTo>
                <a:lnTo>
                  <a:pt x="4922" y="302"/>
                </a:lnTo>
                <a:lnTo>
                  <a:pt x="4987" y="320"/>
                </a:lnTo>
                <a:lnTo>
                  <a:pt x="5070" y="339"/>
                </a:lnTo>
                <a:lnTo>
                  <a:pt x="5153" y="348"/>
                </a:lnTo>
                <a:lnTo>
                  <a:pt x="5254" y="357"/>
                </a:lnTo>
                <a:lnTo>
                  <a:pt x="5273" y="713"/>
                </a:lnTo>
                <a:lnTo>
                  <a:pt x="3116" y="1042"/>
                </a:lnTo>
                <a:lnTo>
                  <a:pt x="0" y="1015"/>
                </a:lnTo>
                <a:lnTo>
                  <a:pt x="46" y="211"/>
                </a:lnTo>
                <a:lnTo>
                  <a:pt x="442" y="83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3" name="Freeform 74">
            <a:extLst>
              <a:ext uri="{FF2B5EF4-FFF2-40B4-BE49-F238E27FC236}">
                <a16:creationId xmlns="" xmlns:a16="http://schemas.microsoft.com/office/drawing/2014/main" id="{00000000-0008-0000-0700-00000D000000}"/>
              </a:ext>
            </a:extLst>
          </xdr:cNvPr>
          <xdr:cNvSpPr>
            <a:spLocks/>
          </xdr:cNvSpPr>
        </xdr:nvSpPr>
        <xdr:spPr bwMode="auto">
          <a:xfrm>
            <a:off x="341317" y="133183"/>
            <a:ext cx="422453" cy="67335"/>
          </a:xfrm>
          <a:custGeom>
            <a:avLst/>
            <a:gdLst>
              <a:gd name="T0" fmla="*/ 461 w 5273"/>
              <a:gd name="T1" fmla="*/ 45 h 841"/>
              <a:gd name="T2" fmla="*/ 516 w 5273"/>
              <a:gd name="T3" fmla="*/ 36 h 841"/>
              <a:gd name="T4" fmla="*/ 590 w 5273"/>
              <a:gd name="T5" fmla="*/ 36 h 841"/>
              <a:gd name="T6" fmla="*/ 673 w 5273"/>
              <a:gd name="T7" fmla="*/ 45 h 841"/>
              <a:gd name="T8" fmla="*/ 765 w 5273"/>
              <a:gd name="T9" fmla="*/ 55 h 841"/>
              <a:gd name="T10" fmla="*/ 866 w 5273"/>
              <a:gd name="T11" fmla="*/ 82 h 841"/>
              <a:gd name="T12" fmla="*/ 977 w 5273"/>
              <a:gd name="T13" fmla="*/ 119 h 841"/>
              <a:gd name="T14" fmla="*/ 1161 w 5273"/>
              <a:gd name="T15" fmla="*/ 201 h 841"/>
              <a:gd name="T16" fmla="*/ 1373 w 5273"/>
              <a:gd name="T17" fmla="*/ 256 h 841"/>
              <a:gd name="T18" fmla="*/ 1521 w 5273"/>
              <a:gd name="T19" fmla="*/ 265 h 841"/>
              <a:gd name="T20" fmla="*/ 1650 w 5273"/>
              <a:gd name="T21" fmla="*/ 228 h 841"/>
              <a:gd name="T22" fmla="*/ 1779 w 5273"/>
              <a:gd name="T23" fmla="*/ 173 h 841"/>
              <a:gd name="T24" fmla="*/ 1899 w 5273"/>
              <a:gd name="T25" fmla="*/ 100 h 841"/>
              <a:gd name="T26" fmla="*/ 2046 w 5273"/>
              <a:gd name="T27" fmla="*/ 36 h 841"/>
              <a:gd name="T28" fmla="*/ 2231 w 5273"/>
              <a:gd name="T29" fmla="*/ 0 h 841"/>
              <a:gd name="T30" fmla="*/ 2424 w 5273"/>
              <a:gd name="T31" fmla="*/ 0 h 841"/>
              <a:gd name="T32" fmla="*/ 2572 w 5273"/>
              <a:gd name="T33" fmla="*/ 18 h 841"/>
              <a:gd name="T34" fmla="*/ 2692 w 5273"/>
              <a:gd name="T35" fmla="*/ 55 h 841"/>
              <a:gd name="T36" fmla="*/ 2802 w 5273"/>
              <a:gd name="T37" fmla="*/ 100 h 841"/>
              <a:gd name="T38" fmla="*/ 2904 w 5273"/>
              <a:gd name="T39" fmla="*/ 146 h 841"/>
              <a:gd name="T40" fmla="*/ 3005 w 5273"/>
              <a:gd name="T41" fmla="*/ 192 h 841"/>
              <a:gd name="T42" fmla="*/ 3125 w 5273"/>
              <a:gd name="T43" fmla="*/ 228 h 841"/>
              <a:gd name="T44" fmla="*/ 3254 w 5273"/>
              <a:gd name="T45" fmla="*/ 256 h 841"/>
              <a:gd name="T46" fmla="*/ 3411 w 5273"/>
              <a:gd name="T47" fmla="*/ 247 h 841"/>
              <a:gd name="T48" fmla="*/ 3530 w 5273"/>
              <a:gd name="T49" fmla="*/ 219 h 841"/>
              <a:gd name="T50" fmla="*/ 3641 w 5273"/>
              <a:gd name="T51" fmla="*/ 192 h 841"/>
              <a:gd name="T52" fmla="*/ 3742 w 5273"/>
              <a:gd name="T53" fmla="*/ 146 h 841"/>
              <a:gd name="T54" fmla="*/ 3835 w 5273"/>
              <a:gd name="T55" fmla="*/ 100 h 841"/>
              <a:gd name="T56" fmla="*/ 3936 w 5273"/>
              <a:gd name="T57" fmla="*/ 55 h 841"/>
              <a:gd name="T58" fmla="*/ 4047 w 5273"/>
              <a:gd name="T59" fmla="*/ 18 h 841"/>
              <a:gd name="T60" fmla="*/ 4194 w 5273"/>
              <a:gd name="T61" fmla="*/ 0 h 841"/>
              <a:gd name="T62" fmla="*/ 4351 w 5273"/>
              <a:gd name="T63" fmla="*/ 9 h 841"/>
              <a:gd name="T64" fmla="*/ 4480 w 5273"/>
              <a:gd name="T65" fmla="*/ 27 h 841"/>
              <a:gd name="T66" fmla="*/ 4581 w 5273"/>
              <a:gd name="T67" fmla="*/ 64 h 841"/>
              <a:gd name="T68" fmla="*/ 4683 w 5273"/>
              <a:gd name="T69" fmla="*/ 119 h 841"/>
              <a:gd name="T70" fmla="*/ 4766 w 5273"/>
              <a:gd name="T71" fmla="*/ 173 h 841"/>
              <a:gd name="T72" fmla="*/ 4858 w 5273"/>
              <a:gd name="T73" fmla="*/ 210 h 841"/>
              <a:gd name="T74" fmla="*/ 4987 w 5273"/>
              <a:gd name="T75" fmla="*/ 256 h 841"/>
              <a:gd name="T76" fmla="*/ 5153 w 5273"/>
              <a:gd name="T77" fmla="*/ 274 h 841"/>
              <a:gd name="T78" fmla="*/ 5273 w 5273"/>
              <a:gd name="T79" fmla="*/ 585 h 841"/>
              <a:gd name="T80" fmla="*/ 0 w 5273"/>
              <a:gd name="T81" fmla="*/ 822 h 841"/>
              <a:gd name="T82" fmla="*/ 452 w 5273"/>
              <a:gd name="T83" fmla="*/ 55 h 8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5273" h="841">
                <a:moveTo>
                  <a:pt x="452" y="55"/>
                </a:moveTo>
                <a:lnTo>
                  <a:pt x="461" y="45"/>
                </a:lnTo>
                <a:lnTo>
                  <a:pt x="498" y="45"/>
                </a:lnTo>
                <a:lnTo>
                  <a:pt x="516" y="36"/>
                </a:lnTo>
                <a:lnTo>
                  <a:pt x="553" y="36"/>
                </a:lnTo>
                <a:lnTo>
                  <a:pt x="590" y="36"/>
                </a:lnTo>
                <a:lnTo>
                  <a:pt x="627" y="45"/>
                </a:lnTo>
                <a:lnTo>
                  <a:pt x="673" y="45"/>
                </a:lnTo>
                <a:lnTo>
                  <a:pt x="719" y="45"/>
                </a:lnTo>
                <a:lnTo>
                  <a:pt x="765" y="55"/>
                </a:lnTo>
                <a:lnTo>
                  <a:pt x="820" y="73"/>
                </a:lnTo>
                <a:lnTo>
                  <a:pt x="866" y="82"/>
                </a:lnTo>
                <a:lnTo>
                  <a:pt x="922" y="100"/>
                </a:lnTo>
                <a:lnTo>
                  <a:pt x="977" y="119"/>
                </a:lnTo>
                <a:lnTo>
                  <a:pt x="1042" y="146"/>
                </a:lnTo>
                <a:lnTo>
                  <a:pt x="1161" y="201"/>
                </a:lnTo>
                <a:lnTo>
                  <a:pt x="1272" y="237"/>
                </a:lnTo>
                <a:lnTo>
                  <a:pt x="1373" y="256"/>
                </a:lnTo>
                <a:lnTo>
                  <a:pt x="1456" y="274"/>
                </a:lnTo>
                <a:lnTo>
                  <a:pt x="1521" y="265"/>
                </a:lnTo>
                <a:lnTo>
                  <a:pt x="1595" y="256"/>
                </a:lnTo>
                <a:lnTo>
                  <a:pt x="1650" y="228"/>
                </a:lnTo>
                <a:lnTo>
                  <a:pt x="1724" y="210"/>
                </a:lnTo>
                <a:lnTo>
                  <a:pt x="1779" y="173"/>
                </a:lnTo>
                <a:lnTo>
                  <a:pt x="1834" y="137"/>
                </a:lnTo>
                <a:lnTo>
                  <a:pt x="1899" y="100"/>
                </a:lnTo>
                <a:lnTo>
                  <a:pt x="1973" y="73"/>
                </a:lnTo>
                <a:lnTo>
                  <a:pt x="2046" y="36"/>
                </a:lnTo>
                <a:lnTo>
                  <a:pt x="2129" y="18"/>
                </a:lnTo>
                <a:lnTo>
                  <a:pt x="2231" y="0"/>
                </a:lnTo>
                <a:lnTo>
                  <a:pt x="2351" y="0"/>
                </a:lnTo>
                <a:lnTo>
                  <a:pt x="2424" y="0"/>
                </a:lnTo>
                <a:lnTo>
                  <a:pt x="2507" y="0"/>
                </a:lnTo>
                <a:lnTo>
                  <a:pt x="2572" y="18"/>
                </a:lnTo>
                <a:lnTo>
                  <a:pt x="2636" y="36"/>
                </a:lnTo>
                <a:lnTo>
                  <a:pt x="2692" y="55"/>
                </a:lnTo>
                <a:lnTo>
                  <a:pt x="2747" y="73"/>
                </a:lnTo>
                <a:lnTo>
                  <a:pt x="2802" y="100"/>
                </a:lnTo>
                <a:lnTo>
                  <a:pt x="2858" y="128"/>
                </a:lnTo>
                <a:lnTo>
                  <a:pt x="2904" y="146"/>
                </a:lnTo>
                <a:lnTo>
                  <a:pt x="2959" y="173"/>
                </a:lnTo>
                <a:lnTo>
                  <a:pt x="3005" y="192"/>
                </a:lnTo>
                <a:lnTo>
                  <a:pt x="3070" y="210"/>
                </a:lnTo>
                <a:lnTo>
                  <a:pt x="3125" y="228"/>
                </a:lnTo>
                <a:lnTo>
                  <a:pt x="3189" y="247"/>
                </a:lnTo>
                <a:lnTo>
                  <a:pt x="3254" y="256"/>
                </a:lnTo>
                <a:lnTo>
                  <a:pt x="3337" y="256"/>
                </a:lnTo>
                <a:lnTo>
                  <a:pt x="3411" y="247"/>
                </a:lnTo>
                <a:lnTo>
                  <a:pt x="3475" y="237"/>
                </a:lnTo>
                <a:lnTo>
                  <a:pt x="3530" y="219"/>
                </a:lnTo>
                <a:lnTo>
                  <a:pt x="3595" y="210"/>
                </a:lnTo>
                <a:lnTo>
                  <a:pt x="3641" y="192"/>
                </a:lnTo>
                <a:lnTo>
                  <a:pt x="3696" y="173"/>
                </a:lnTo>
                <a:lnTo>
                  <a:pt x="3742" y="146"/>
                </a:lnTo>
                <a:lnTo>
                  <a:pt x="3789" y="128"/>
                </a:lnTo>
                <a:lnTo>
                  <a:pt x="3835" y="100"/>
                </a:lnTo>
                <a:lnTo>
                  <a:pt x="3881" y="73"/>
                </a:lnTo>
                <a:lnTo>
                  <a:pt x="3936" y="55"/>
                </a:lnTo>
                <a:lnTo>
                  <a:pt x="3991" y="36"/>
                </a:lnTo>
                <a:lnTo>
                  <a:pt x="4047" y="18"/>
                </a:lnTo>
                <a:lnTo>
                  <a:pt x="4120" y="9"/>
                </a:lnTo>
                <a:lnTo>
                  <a:pt x="4194" y="0"/>
                </a:lnTo>
                <a:lnTo>
                  <a:pt x="4277" y="9"/>
                </a:lnTo>
                <a:lnTo>
                  <a:pt x="4351" y="9"/>
                </a:lnTo>
                <a:lnTo>
                  <a:pt x="4415" y="18"/>
                </a:lnTo>
                <a:lnTo>
                  <a:pt x="4480" y="27"/>
                </a:lnTo>
                <a:lnTo>
                  <a:pt x="4535" y="45"/>
                </a:lnTo>
                <a:lnTo>
                  <a:pt x="4581" y="64"/>
                </a:lnTo>
                <a:lnTo>
                  <a:pt x="4637" y="91"/>
                </a:lnTo>
                <a:lnTo>
                  <a:pt x="4683" y="119"/>
                </a:lnTo>
                <a:lnTo>
                  <a:pt x="4729" y="146"/>
                </a:lnTo>
                <a:lnTo>
                  <a:pt x="4766" y="173"/>
                </a:lnTo>
                <a:lnTo>
                  <a:pt x="4812" y="192"/>
                </a:lnTo>
                <a:lnTo>
                  <a:pt x="4858" y="210"/>
                </a:lnTo>
                <a:lnTo>
                  <a:pt x="4922" y="237"/>
                </a:lnTo>
                <a:lnTo>
                  <a:pt x="4987" y="256"/>
                </a:lnTo>
                <a:lnTo>
                  <a:pt x="5070" y="265"/>
                </a:lnTo>
                <a:lnTo>
                  <a:pt x="5153" y="274"/>
                </a:lnTo>
                <a:lnTo>
                  <a:pt x="5254" y="274"/>
                </a:lnTo>
                <a:lnTo>
                  <a:pt x="5273" y="585"/>
                </a:lnTo>
                <a:lnTo>
                  <a:pt x="3116" y="841"/>
                </a:lnTo>
                <a:lnTo>
                  <a:pt x="0" y="822"/>
                </a:lnTo>
                <a:lnTo>
                  <a:pt x="46" y="164"/>
                </a:lnTo>
                <a:lnTo>
                  <a:pt x="452" y="55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4" name="Freeform 75">
            <a:extLst>
              <a:ext uri="{FF2B5EF4-FFF2-40B4-BE49-F238E27FC236}">
                <a16:creationId xmlns="" xmlns:a16="http://schemas.microsoft.com/office/drawing/2014/main" id="{00000000-0008-0000-0700-00000E000000}"/>
              </a:ext>
            </a:extLst>
          </xdr:cNvPr>
          <xdr:cNvSpPr>
            <a:spLocks/>
          </xdr:cNvSpPr>
        </xdr:nvSpPr>
        <xdr:spPr bwMode="auto">
          <a:xfrm>
            <a:off x="212000" y="94341"/>
            <a:ext cx="176547" cy="184517"/>
          </a:xfrm>
          <a:custGeom>
            <a:avLst/>
            <a:gdLst>
              <a:gd name="T0" fmla="*/ 2203 w 2203"/>
              <a:gd name="T1" fmla="*/ 0 h 2304"/>
              <a:gd name="T2" fmla="*/ 1973 w 2203"/>
              <a:gd name="T3" fmla="*/ 0 h 2304"/>
              <a:gd name="T4" fmla="*/ 1751 w 2203"/>
              <a:gd name="T5" fmla="*/ 37 h 2304"/>
              <a:gd name="T6" fmla="*/ 1539 w 2203"/>
              <a:gd name="T7" fmla="*/ 83 h 2304"/>
              <a:gd name="T8" fmla="*/ 1336 w 2203"/>
              <a:gd name="T9" fmla="*/ 156 h 2304"/>
              <a:gd name="T10" fmla="*/ 1143 w 2203"/>
              <a:gd name="T11" fmla="*/ 220 h 2304"/>
              <a:gd name="T12" fmla="*/ 968 w 2203"/>
              <a:gd name="T13" fmla="*/ 320 h 2304"/>
              <a:gd name="T14" fmla="*/ 802 w 2203"/>
              <a:gd name="T15" fmla="*/ 430 h 2304"/>
              <a:gd name="T16" fmla="*/ 654 w 2203"/>
              <a:gd name="T17" fmla="*/ 549 h 2304"/>
              <a:gd name="T18" fmla="*/ 498 w 2203"/>
              <a:gd name="T19" fmla="*/ 677 h 2304"/>
              <a:gd name="T20" fmla="*/ 378 w 2203"/>
              <a:gd name="T21" fmla="*/ 814 h 2304"/>
              <a:gd name="T22" fmla="*/ 267 w 2203"/>
              <a:gd name="T23" fmla="*/ 960 h 2304"/>
              <a:gd name="T24" fmla="*/ 175 w 2203"/>
              <a:gd name="T25" fmla="*/ 1106 h 2304"/>
              <a:gd name="T26" fmla="*/ 101 w 2203"/>
              <a:gd name="T27" fmla="*/ 1262 h 2304"/>
              <a:gd name="T28" fmla="*/ 46 w 2203"/>
              <a:gd name="T29" fmla="*/ 1426 h 2304"/>
              <a:gd name="T30" fmla="*/ 18 w 2203"/>
              <a:gd name="T31" fmla="*/ 1582 h 2304"/>
              <a:gd name="T32" fmla="*/ 0 w 2203"/>
              <a:gd name="T33" fmla="*/ 1746 h 2304"/>
              <a:gd name="T34" fmla="*/ 18 w 2203"/>
              <a:gd name="T35" fmla="*/ 1746 h 2304"/>
              <a:gd name="T36" fmla="*/ 92 w 2203"/>
              <a:gd name="T37" fmla="*/ 1774 h 2304"/>
              <a:gd name="T38" fmla="*/ 193 w 2203"/>
              <a:gd name="T39" fmla="*/ 1801 h 2304"/>
              <a:gd name="T40" fmla="*/ 341 w 2203"/>
              <a:gd name="T41" fmla="*/ 1838 h 2304"/>
              <a:gd name="T42" fmla="*/ 498 w 2203"/>
              <a:gd name="T43" fmla="*/ 1874 h 2304"/>
              <a:gd name="T44" fmla="*/ 691 w 2203"/>
              <a:gd name="T45" fmla="*/ 1920 h 2304"/>
              <a:gd name="T46" fmla="*/ 885 w 2203"/>
              <a:gd name="T47" fmla="*/ 1975 h 2304"/>
              <a:gd name="T48" fmla="*/ 1097 w 2203"/>
              <a:gd name="T49" fmla="*/ 2030 h 2304"/>
              <a:gd name="T50" fmla="*/ 1300 w 2203"/>
              <a:gd name="T51" fmla="*/ 2075 h 2304"/>
              <a:gd name="T52" fmla="*/ 1502 w 2203"/>
              <a:gd name="T53" fmla="*/ 2130 h 2304"/>
              <a:gd name="T54" fmla="*/ 1678 w 2203"/>
              <a:gd name="T55" fmla="*/ 2176 h 2304"/>
              <a:gd name="T56" fmla="*/ 1853 w 2203"/>
              <a:gd name="T57" fmla="*/ 2212 h 2304"/>
              <a:gd name="T58" fmla="*/ 1982 w 2203"/>
              <a:gd name="T59" fmla="*/ 2249 h 2304"/>
              <a:gd name="T60" fmla="*/ 2102 w 2203"/>
              <a:gd name="T61" fmla="*/ 2276 h 2304"/>
              <a:gd name="T62" fmla="*/ 2166 w 2203"/>
              <a:gd name="T63" fmla="*/ 2295 h 2304"/>
              <a:gd name="T64" fmla="*/ 2203 w 2203"/>
              <a:gd name="T65" fmla="*/ 2304 h 2304"/>
              <a:gd name="T66" fmla="*/ 2203 w 2203"/>
              <a:gd name="T67" fmla="*/ 0 h 2304"/>
              <a:gd name="T68" fmla="*/ 2203 w 2203"/>
              <a:gd name="T69" fmla="*/ 0 h 23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203" h="2304">
                <a:moveTo>
                  <a:pt x="2203" y="0"/>
                </a:moveTo>
                <a:lnTo>
                  <a:pt x="1973" y="0"/>
                </a:lnTo>
                <a:lnTo>
                  <a:pt x="1751" y="37"/>
                </a:lnTo>
                <a:lnTo>
                  <a:pt x="1539" y="83"/>
                </a:lnTo>
                <a:lnTo>
                  <a:pt x="1336" y="156"/>
                </a:lnTo>
                <a:lnTo>
                  <a:pt x="1143" y="220"/>
                </a:lnTo>
                <a:lnTo>
                  <a:pt x="968" y="320"/>
                </a:lnTo>
                <a:lnTo>
                  <a:pt x="802" y="430"/>
                </a:lnTo>
                <a:lnTo>
                  <a:pt x="654" y="549"/>
                </a:lnTo>
                <a:lnTo>
                  <a:pt x="498" y="677"/>
                </a:lnTo>
                <a:lnTo>
                  <a:pt x="378" y="814"/>
                </a:lnTo>
                <a:lnTo>
                  <a:pt x="267" y="960"/>
                </a:lnTo>
                <a:lnTo>
                  <a:pt x="175" y="1106"/>
                </a:lnTo>
                <a:lnTo>
                  <a:pt x="101" y="1262"/>
                </a:lnTo>
                <a:lnTo>
                  <a:pt x="46" y="1426"/>
                </a:lnTo>
                <a:lnTo>
                  <a:pt x="18" y="1582"/>
                </a:lnTo>
                <a:lnTo>
                  <a:pt x="0" y="1746"/>
                </a:lnTo>
                <a:lnTo>
                  <a:pt x="18" y="1746"/>
                </a:lnTo>
                <a:lnTo>
                  <a:pt x="92" y="1774"/>
                </a:lnTo>
                <a:lnTo>
                  <a:pt x="193" y="1801"/>
                </a:lnTo>
                <a:lnTo>
                  <a:pt x="341" y="1838"/>
                </a:lnTo>
                <a:lnTo>
                  <a:pt x="498" y="1874"/>
                </a:lnTo>
                <a:lnTo>
                  <a:pt x="691" y="1920"/>
                </a:lnTo>
                <a:lnTo>
                  <a:pt x="885" y="1975"/>
                </a:lnTo>
                <a:lnTo>
                  <a:pt x="1097" y="2030"/>
                </a:lnTo>
                <a:lnTo>
                  <a:pt x="1300" y="2075"/>
                </a:lnTo>
                <a:lnTo>
                  <a:pt x="1502" y="2130"/>
                </a:lnTo>
                <a:lnTo>
                  <a:pt x="1678" y="2176"/>
                </a:lnTo>
                <a:lnTo>
                  <a:pt x="1853" y="2212"/>
                </a:lnTo>
                <a:lnTo>
                  <a:pt x="1982" y="2249"/>
                </a:lnTo>
                <a:lnTo>
                  <a:pt x="2102" y="2276"/>
                </a:lnTo>
                <a:lnTo>
                  <a:pt x="2166" y="2295"/>
                </a:lnTo>
                <a:lnTo>
                  <a:pt x="2203" y="2304"/>
                </a:lnTo>
                <a:lnTo>
                  <a:pt x="2203" y="0"/>
                </a:lnTo>
                <a:close/>
              </a:path>
            </a:pathLst>
          </a:custGeom>
          <a:solidFill>
            <a:srgbClr val="CCFF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5" name="Freeform 76">
            <a:extLst>
              <a:ext uri="{FF2B5EF4-FFF2-40B4-BE49-F238E27FC236}">
                <a16:creationId xmlns="" xmlns:a16="http://schemas.microsoft.com/office/drawing/2014/main" id="{00000000-0008-0000-0700-00000F000000}"/>
              </a:ext>
            </a:extLst>
          </xdr:cNvPr>
          <xdr:cNvSpPr>
            <a:spLocks/>
          </xdr:cNvSpPr>
        </xdr:nvSpPr>
        <xdr:spPr bwMode="auto">
          <a:xfrm>
            <a:off x="239422" y="15126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B8B8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6" name="Freeform 77">
            <a:extLst>
              <a:ext uri="{FF2B5EF4-FFF2-40B4-BE49-F238E27FC236}">
                <a16:creationId xmlns="" xmlns:a16="http://schemas.microsoft.com/office/drawing/2014/main" id="{00000000-0008-0000-0700-000010000000}"/>
              </a:ext>
            </a:extLst>
          </xdr:cNvPr>
          <xdr:cNvSpPr>
            <a:spLocks/>
          </xdr:cNvSpPr>
        </xdr:nvSpPr>
        <xdr:spPr bwMode="auto">
          <a:xfrm>
            <a:off x="0" y="163877"/>
            <a:ext cx="762996" cy="236922"/>
          </a:xfrm>
          <a:custGeom>
            <a:avLst/>
            <a:gdLst>
              <a:gd name="T0" fmla="*/ 0 w 9522"/>
              <a:gd name="T1" fmla="*/ 2961 h 2961"/>
              <a:gd name="T2" fmla="*/ 9522 w 9522"/>
              <a:gd name="T3" fmla="*/ 2961 h 2961"/>
              <a:gd name="T4" fmla="*/ 9522 w 9522"/>
              <a:gd name="T5" fmla="*/ 0 h 2961"/>
              <a:gd name="T6" fmla="*/ 0 w 9522"/>
              <a:gd name="T7" fmla="*/ 0 h 2961"/>
              <a:gd name="T8" fmla="*/ 0 w 9522"/>
              <a:gd name="T9" fmla="*/ 2961 h 2961"/>
              <a:gd name="T10" fmla="*/ 0 w 9522"/>
              <a:gd name="T11" fmla="*/ 2961 h 29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9522" h="2961">
                <a:moveTo>
                  <a:pt x="0" y="2961"/>
                </a:moveTo>
                <a:lnTo>
                  <a:pt x="9522" y="2961"/>
                </a:lnTo>
                <a:lnTo>
                  <a:pt x="9522" y="0"/>
                </a:lnTo>
                <a:lnTo>
                  <a:pt x="0" y="0"/>
                </a:lnTo>
                <a:lnTo>
                  <a:pt x="0" y="2961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7" name="Freeform 78">
            <a:extLst>
              <a:ext uri="{FF2B5EF4-FFF2-40B4-BE49-F238E27FC236}">
                <a16:creationId xmlns="" xmlns:a16="http://schemas.microsoft.com/office/drawing/2014/main" id="{00000000-0008-0000-0700-000011000000}"/>
              </a:ext>
            </a:extLst>
          </xdr:cNvPr>
          <xdr:cNvSpPr>
            <a:spLocks/>
          </xdr:cNvSpPr>
        </xdr:nvSpPr>
        <xdr:spPr bwMode="auto">
          <a:xfrm>
            <a:off x="204683" y="140440"/>
            <a:ext cx="92319" cy="124439"/>
          </a:xfrm>
          <a:custGeom>
            <a:avLst/>
            <a:gdLst>
              <a:gd name="T0" fmla="*/ 728 w 1152"/>
              <a:gd name="T1" fmla="*/ 0 h 1554"/>
              <a:gd name="T2" fmla="*/ 709 w 1152"/>
              <a:gd name="T3" fmla="*/ 0 h 1554"/>
              <a:gd name="T4" fmla="*/ 682 w 1152"/>
              <a:gd name="T5" fmla="*/ 28 h 1554"/>
              <a:gd name="T6" fmla="*/ 645 w 1152"/>
              <a:gd name="T7" fmla="*/ 55 h 1554"/>
              <a:gd name="T8" fmla="*/ 608 w 1152"/>
              <a:gd name="T9" fmla="*/ 119 h 1554"/>
              <a:gd name="T10" fmla="*/ 544 w 1152"/>
              <a:gd name="T11" fmla="*/ 174 h 1554"/>
              <a:gd name="T12" fmla="*/ 488 w 1152"/>
              <a:gd name="T13" fmla="*/ 247 h 1554"/>
              <a:gd name="T14" fmla="*/ 415 w 1152"/>
              <a:gd name="T15" fmla="*/ 338 h 1554"/>
              <a:gd name="T16" fmla="*/ 350 w 1152"/>
              <a:gd name="T17" fmla="*/ 448 h 1554"/>
              <a:gd name="T18" fmla="*/ 285 w 1152"/>
              <a:gd name="T19" fmla="*/ 558 h 1554"/>
              <a:gd name="T20" fmla="*/ 221 w 1152"/>
              <a:gd name="T21" fmla="*/ 667 h 1554"/>
              <a:gd name="T22" fmla="*/ 156 w 1152"/>
              <a:gd name="T23" fmla="*/ 795 h 1554"/>
              <a:gd name="T24" fmla="*/ 101 w 1152"/>
              <a:gd name="T25" fmla="*/ 942 h 1554"/>
              <a:gd name="T26" fmla="*/ 46 w 1152"/>
              <a:gd name="T27" fmla="*/ 1070 h 1554"/>
              <a:gd name="T28" fmla="*/ 18 w 1152"/>
              <a:gd name="T29" fmla="*/ 1225 h 1554"/>
              <a:gd name="T30" fmla="*/ 0 w 1152"/>
              <a:gd name="T31" fmla="*/ 1380 h 1554"/>
              <a:gd name="T32" fmla="*/ 0 w 1152"/>
              <a:gd name="T33" fmla="*/ 1554 h 1554"/>
              <a:gd name="T34" fmla="*/ 18 w 1152"/>
              <a:gd name="T35" fmla="*/ 1554 h 1554"/>
              <a:gd name="T36" fmla="*/ 46 w 1152"/>
              <a:gd name="T37" fmla="*/ 1554 h 1554"/>
              <a:gd name="T38" fmla="*/ 92 w 1152"/>
              <a:gd name="T39" fmla="*/ 1554 h 1554"/>
              <a:gd name="T40" fmla="*/ 129 w 1152"/>
              <a:gd name="T41" fmla="*/ 1554 h 1554"/>
              <a:gd name="T42" fmla="*/ 184 w 1152"/>
              <a:gd name="T43" fmla="*/ 1554 h 1554"/>
              <a:gd name="T44" fmla="*/ 239 w 1152"/>
              <a:gd name="T45" fmla="*/ 1554 h 1554"/>
              <a:gd name="T46" fmla="*/ 304 w 1152"/>
              <a:gd name="T47" fmla="*/ 1554 h 1554"/>
              <a:gd name="T48" fmla="*/ 350 w 1152"/>
              <a:gd name="T49" fmla="*/ 1545 h 1554"/>
              <a:gd name="T50" fmla="*/ 415 w 1152"/>
              <a:gd name="T51" fmla="*/ 1536 h 1554"/>
              <a:gd name="T52" fmla="*/ 461 w 1152"/>
              <a:gd name="T53" fmla="*/ 1527 h 1554"/>
              <a:gd name="T54" fmla="*/ 516 w 1152"/>
              <a:gd name="T55" fmla="*/ 1527 h 1554"/>
              <a:gd name="T56" fmla="*/ 553 w 1152"/>
              <a:gd name="T57" fmla="*/ 1527 h 1554"/>
              <a:gd name="T58" fmla="*/ 580 w 1152"/>
              <a:gd name="T59" fmla="*/ 1527 h 1554"/>
              <a:gd name="T60" fmla="*/ 599 w 1152"/>
              <a:gd name="T61" fmla="*/ 1527 h 1554"/>
              <a:gd name="T62" fmla="*/ 617 w 1152"/>
              <a:gd name="T63" fmla="*/ 1527 h 1554"/>
              <a:gd name="T64" fmla="*/ 1152 w 1152"/>
              <a:gd name="T65" fmla="*/ 274 h 1554"/>
              <a:gd name="T66" fmla="*/ 728 w 1152"/>
              <a:gd name="T67" fmla="*/ 274 h 1554"/>
              <a:gd name="T68" fmla="*/ 728 w 1152"/>
              <a:gd name="T69" fmla="*/ 0 h 1554"/>
              <a:gd name="T70" fmla="*/ 728 w 1152"/>
              <a:gd name="T71" fmla="*/ 0 h 15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1152" h="1554">
                <a:moveTo>
                  <a:pt x="728" y="0"/>
                </a:moveTo>
                <a:lnTo>
                  <a:pt x="709" y="0"/>
                </a:lnTo>
                <a:lnTo>
                  <a:pt x="682" y="28"/>
                </a:lnTo>
                <a:lnTo>
                  <a:pt x="645" y="55"/>
                </a:lnTo>
                <a:lnTo>
                  <a:pt x="608" y="119"/>
                </a:lnTo>
                <a:lnTo>
                  <a:pt x="544" y="174"/>
                </a:lnTo>
                <a:lnTo>
                  <a:pt x="488" y="247"/>
                </a:lnTo>
                <a:lnTo>
                  <a:pt x="415" y="338"/>
                </a:lnTo>
                <a:lnTo>
                  <a:pt x="350" y="448"/>
                </a:lnTo>
                <a:lnTo>
                  <a:pt x="285" y="558"/>
                </a:lnTo>
                <a:lnTo>
                  <a:pt x="221" y="667"/>
                </a:lnTo>
                <a:lnTo>
                  <a:pt x="156" y="795"/>
                </a:lnTo>
                <a:lnTo>
                  <a:pt x="101" y="942"/>
                </a:lnTo>
                <a:lnTo>
                  <a:pt x="46" y="1070"/>
                </a:lnTo>
                <a:lnTo>
                  <a:pt x="18" y="1225"/>
                </a:lnTo>
                <a:lnTo>
                  <a:pt x="0" y="1380"/>
                </a:lnTo>
                <a:lnTo>
                  <a:pt x="0" y="1554"/>
                </a:lnTo>
                <a:lnTo>
                  <a:pt x="18" y="1554"/>
                </a:lnTo>
                <a:lnTo>
                  <a:pt x="46" y="1554"/>
                </a:lnTo>
                <a:lnTo>
                  <a:pt x="92" y="1554"/>
                </a:lnTo>
                <a:lnTo>
                  <a:pt x="129" y="1554"/>
                </a:lnTo>
                <a:lnTo>
                  <a:pt x="184" y="1554"/>
                </a:lnTo>
                <a:lnTo>
                  <a:pt x="239" y="1554"/>
                </a:lnTo>
                <a:lnTo>
                  <a:pt x="304" y="1554"/>
                </a:lnTo>
                <a:lnTo>
                  <a:pt x="350" y="1545"/>
                </a:lnTo>
                <a:lnTo>
                  <a:pt x="415" y="1536"/>
                </a:lnTo>
                <a:lnTo>
                  <a:pt x="461" y="1527"/>
                </a:lnTo>
                <a:lnTo>
                  <a:pt x="516" y="1527"/>
                </a:lnTo>
                <a:lnTo>
                  <a:pt x="553" y="1527"/>
                </a:lnTo>
                <a:lnTo>
                  <a:pt x="580" y="1527"/>
                </a:lnTo>
                <a:lnTo>
                  <a:pt x="599" y="1527"/>
                </a:lnTo>
                <a:lnTo>
                  <a:pt x="617" y="1527"/>
                </a:lnTo>
                <a:lnTo>
                  <a:pt x="1152" y="274"/>
                </a:lnTo>
                <a:lnTo>
                  <a:pt x="728" y="274"/>
                </a:lnTo>
                <a:lnTo>
                  <a:pt x="728" y="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8" name="Freeform 79">
            <a:extLst>
              <a:ext uri="{FF2B5EF4-FFF2-40B4-BE49-F238E27FC236}">
                <a16:creationId xmlns="" xmlns:a16="http://schemas.microsoft.com/office/drawing/2014/main" id="{00000000-0008-0000-0700-000012000000}"/>
              </a:ext>
            </a:extLst>
          </xdr:cNvPr>
          <xdr:cNvSpPr>
            <a:spLocks/>
          </xdr:cNvSpPr>
        </xdr:nvSpPr>
        <xdr:spPr bwMode="auto">
          <a:xfrm>
            <a:off x="50383" y="252091"/>
            <a:ext cx="181722" cy="45326"/>
          </a:xfrm>
          <a:custGeom>
            <a:avLst/>
            <a:gdLst>
              <a:gd name="T0" fmla="*/ 2194 w 2268"/>
              <a:gd name="T1" fmla="*/ 64 h 567"/>
              <a:gd name="T2" fmla="*/ 2120 w 2268"/>
              <a:gd name="T3" fmla="*/ 36 h 567"/>
              <a:gd name="T4" fmla="*/ 2028 w 2268"/>
              <a:gd name="T5" fmla="*/ 9 h 567"/>
              <a:gd name="T6" fmla="*/ 1963 w 2268"/>
              <a:gd name="T7" fmla="*/ 9 h 567"/>
              <a:gd name="T8" fmla="*/ 1880 w 2268"/>
              <a:gd name="T9" fmla="*/ 0 h 567"/>
              <a:gd name="T10" fmla="*/ 1807 w 2268"/>
              <a:gd name="T11" fmla="*/ 9 h 567"/>
              <a:gd name="T12" fmla="*/ 1715 w 2268"/>
              <a:gd name="T13" fmla="*/ 36 h 567"/>
              <a:gd name="T14" fmla="*/ 1641 w 2268"/>
              <a:gd name="T15" fmla="*/ 55 h 567"/>
              <a:gd name="T16" fmla="*/ 1576 w 2268"/>
              <a:gd name="T17" fmla="*/ 100 h 567"/>
              <a:gd name="T18" fmla="*/ 1503 w 2268"/>
              <a:gd name="T19" fmla="*/ 164 h 567"/>
              <a:gd name="T20" fmla="*/ 1420 w 2268"/>
              <a:gd name="T21" fmla="*/ 210 h 567"/>
              <a:gd name="T22" fmla="*/ 1318 w 2268"/>
              <a:gd name="T23" fmla="*/ 247 h 567"/>
              <a:gd name="T24" fmla="*/ 1244 w 2268"/>
              <a:gd name="T25" fmla="*/ 256 h 567"/>
              <a:gd name="T26" fmla="*/ 1180 w 2268"/>
              <a:gd name="T27" fmla="*/ 237 h 567"/>
              <a:gd name="T28" fmla="*/ 1106 w 2268"/>
              <a:gd name="T29" fmla="*/ 210 h 567"/>
              <a:gd name="T30" fmla="*/ 1032 w 2268"/>
              <a:gd name="T31" fmla="*/ 183 h 567"/>
              <a:gd name="T32" fmla="*/ 949 w 2268"/>
              <a:gd name="T33" fmla="*/ 155 h 567"/>
              <a:gd name="T34" fmla="*/ 866 w 2268"/>
              <a:gd name="T35" fmla="*/ 128 h 567"/>
              <a:gd name="T36" fmla="*/ 784 w 2268"/>
              <a:gd name="T37" fmla="*/ 119 h 567"/>
              <a:gd name="T38" fmla="*/ 682 w 2268"/>
              <a:gd name="T39" fmla="*/ 119 h 567"/>
              <a:gd name="T40" fmla="*/ 590 w 2268"/>
              <a:gd name="T41" fmla="*/ 137 h 567"/>
              <a:gd name="T42" fmla="*/ 498 w 2268"/>
              <a:gd name="T43" fmla="*/ 164 h 567"/>
              <a:gd name="T44" fmla="*/ 415 w 2268"/>
              <a:gd name="T45" fmla="*/ 210 h 567"/>
              <a:gd name="T46" fmla="*/ 341 w 2268"/>
              <a:gd name="T47" fmla="*/ 237 h 567"/>
              <a:gd name="T48" fmla="*/ 267 w 2268"/>
              <a:gd name="T49" fmla="*/ 274 h 567"/>
              <a:gd name="T50" fmla="*/ 175 w 2268"/>
              <a:gd name="T51" fmla="*/ 329 h 567"/>
              <a:gd name="T52" fmla="*/ 92 w 2268"/>
              <a:gd name="T53" fmla="*/ 347 h 567"/>
              <a:gd name="T54" fmla="*/ 28 w 2268"/>
              <a:gd name="T55" fmla="*/ 356 h 567"/>
              <a:gd name="T56" fmla="*/ 0 w 2268"/>
              <a:gd name="T57" fmla="*/ 356 h 567"/>
              <a:gd name="T58" fmla="*/ 28 w 2268"/>
              <a:gd name="T59" fmla="*/ 365 h 567"/>
              <a:gd name="T60" fmla="*/ 101 w 2268"/>
              <a:gd name="T61" fmla="*/ 384 h 567"/>
              <a:gd name="T62" fmla="*/ 194 w 2268"/>
              <a:gd name="T63" fmla="*/ 402 h 567"/>
              <a:gd name="T64" fmla="*/ 267 w 2268"/>
              <a:gd name="T65" fmla="*/ 402 h 567"/>
              <a:gd name="T66" fmla="*/ 350 w 2268"/>
              <a:gd name="T67" fmla="*/ 402 h 567"/>
              <a:gd name="T68" fmla="*/ 433 w 2268"/>
              <a:gd name="T69" fmla="*/ 384 h 567"/>
              <a:gd name="T70" fmla="*/ 507 w 2268"/>
              <a:gd name="T71" fmla="*/ 356 h 567"/>
              <a:gd name="T72" fmla="*/ 590 w 2268"/>
              <a:gd name="T73" fmla="*/ 338 h 567"/>
              <a:gd name="T74" fmla="*/ 691 w 2268"/>
              <a:gd name="T75" fmla="*/ 329 h 567"/>
              <a:gd name="T76" fmla="*/ 820 w 2268"/>
              <a:gd name="T77" fmla="*/ 356 h 567"/>
              <a:gd name="T78" fmla="*/ 922 w 2268"/>
              <a:gd name="T79" fmla="*/ 402 h 567"/>
              <a:gd name="T80" fmla="*/ 1005 w 2268"/>
              <a:gd name="T81" fmla="*/ 439 h 567"/>
              <a:gd name="T82" fmla="*/ 1078 w 2268"/>
              <a:gd name="T83" fmla="*/ 475 h 567"/>
              <a:gd name="T84" fmla="*/ 1152 w 2268"/>
              <a:gd name="T85" fmla="*/ 512 h 567"/>
              <a:gd name="T86" fmla="*/ 1244 w 2268"/>
              <a:gd name="T87" fmla="*/ 539 h 567"/>
              <a:gd name="T88" fmla="*/ 1364 w 2268"/>
              <a:gd name="T89" fmla="*/ 557 h 567"/>
              <a:gd name="T90" fmla="*/ 1466 w 2268"/>
              <a:gd name="T91" fmla="*/ 539 h 567"/>
              <a:gd name="T92" fmla="*/ 1549 w 2268"/>
              <a:gd name="T93" fmla="*/ 512 h 567"/>
              <a:gd name="T94" fmla="*/ 1650 w 2268"/>
              <a:gd name="T95" fmla="*/ 466 h 567"/>
              <a:gd name="T96" fmla="*/ 1751 w 2268"/>
              <a:gd name="T97" fmla="*/ 429 h 567"/>
              <a:gd name="T98" fmla="*/ 1844 w 2268"/>
              <a:gd name="T99" fmla="*/ 402 h 567"/>
              <a:gd name="T100" fmla="*/ 1963 w 2268"/>
              <a:gd name="T101" fmla="*/ 420 h 567"/>
              <a:gd name="T102" fmla="*/ 2083 w 2268"/>
              <a:gd name="T103" fmla="*/ 457 h 567"/>
              <a:gd name="T104" fmla="*/ 2194 w 2268"/>
              <a:gd name="T105" fmla="*/ 512 h 567"/>
              <a:gd name="T106" fmla="*/ 2258 w 2268"/>
              <a:gd name="T107" fmla="*/ 557 h 567"/>
              <a:gd name="T108" fmla="*/ 2203 w 2268"/>
              <a:gd name="T109" fmla="*/ 73 h 5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268" h="567">
                <a:moveTo>
                  <a:pt x="2203" y="73"/>
                </a:moveTo>
                <a:lnTo>
                  <a:pt x="2194" y="64"/>
                </a:lnTo>
                <a:lnTo>
                  <a:pt x="2166" y="55"/>
                </a:lnTo>
                <a:lnTo>
                  <a:pt x="2120" y="36"/>
                </a:lnTo>
                <a:lnTo>
                  <a:pt x="2074" y="27"/>
                </a:lnTo>
                <a:lnTo>
                  <a:pt x="2028" y="9"/>
                </a:lnTo>
                <a:lnTo>
                  <a:pt x="2000" y="9"/>
                </a:lnTo>
                <a:lnTo>
                  <a:pt x="1963" y="9"/>
                </a:lnTo>
                <a:lnTo>
                  <a:pt x="1927" y="9"/>
                </a:lnTo>
                <a:lnTo>
                  <a:pt x="1880" y="0"/>
                </a:lnTo>
                <a:lnTo>
                  <a:pt x="1844" y="9"/>
                </a:lnTo>
                <a:lnTo>
                  <a:pt x="1807" y="9"/>
                </a:lnTo>
                <a:lnTo>
                  <a:pt x="1770" y="27"/>
                </a:lnTo>
                <a:lnTo>
                  <a:pt x="1715" y="36"/>
                </a:lnTo>
                <a:lnTo>
                  <a:pt x="1678" y="46"/>
                </a:lnTo>
                <a:lnTo>
                  <a:pt x="1641" y="55"/>
                </a:lnTo>
                <a:lnTo>
                  <a:pt x="1622" y="82"/>
                </a:lnTo>
                <a:lnTo>
                  <a:pt x="1576" y="100"/>
                </a:lnTo>
                <a:lnTo>
                  <a:pt x="1539" y="137"/>
                </a:lnTo>
                <a:lnTo>
                  <a:pt x="1503" y="164"/>
                </a:lnTo>
                <a:lnTo>
                  <a:pt x="1466" y="183"/>
                </a:lnTo>
                <a:lnTo>
                  <a:pt x="1420" y="210"/>
                </a:lnTo>
                <a:lnTo>
                  <a:pt x="1355" y="247"/>
                </a:lnTo>
                <a:lnTo>
                  <a:pt x="1318" y="247"/>
                </a:lnTo>
                <a:lnTo>
                  <a:pt x="1281" y="256"/>
                </a:lnTo>
                <a:lnTo>
                  <a:pt x="1244" y="256"/>
                </a:lnTo>
                <a:lnTo>
                  <a:pt x="1217" y="256"/>
                </a:lnTo>
                <a:lnTo>
                  <a:pt x="1180" y="237"/>
                </a:lnTo>
                <a:lnTo>
                  <a:pt x="1134" y="228"/>
                </a:lnTo>
                <a:lnTo>
                  <a:pt x="1106" y="210"/>
                </a:lnTo>
                <a:lnTo>
                  <a:pt x="1069" y="210"/>
                </a:lnTo>
                <a:lnTo>
                  <a:pt x="1032" y="183"/>
                </a:lnTo>
                <a:lnTo>
                  <a:pt x="986" y="174"/>
                </a:lnTo>
                <a:lnTo>
                  <a:pt x="949" y="155"/>
                </a:lnTo>
                <a:lnTo>
                  <a:pt x="913" y="146"/>
                </a:lnTo>
                <a:lnTo>
                  <a:pt x="866" y="128"/>
                </a:lnTo>
                <a:lnTo>
                  <a:pt x="830" y="119"/>
                </a:lnTo>
                <a:lnTo>
                  <a:pt x="784" y="119"/>
                </a:lnTo>
                <a:lnTo>
                  <a:pt x="737" y="119"/>
                </a:lnTo>
                <a:lnTo>
                  <a:pt x="682" y="119"/>
                </a:lnTo>
                <a:lnTo>
                  <a:pt x="636" y="128"/>
                </a:lnTo>
                <a:lnTo>
                  <a:pt x="590" y="137"/>
                </a:lnTo>
                <a:lnTo>
                  <a:pt x="544" y="155"/>
                </a:lnTo>
                <a:lnTo>
                  <a:pt x="498" y="164"/>
                </a:lnTo>
                <a:lnTo>
                  <a:pt x="461" y="183"/>
                </a:lnTo>
                <a:lnTo>
                  <a:pt x="415" y="210"/>
                </a:lnTo>
                <a:lnTo>
                  <a:pt x="378" y="228"/>
                </a:lnTo>
                <a:lnTo>
                  <a:pt x="341" y="237"/>
                </a:lnTo>
                <a:lnTo>
                  <a:pt x="304" y="256"/>
                </a:lnTo>
                <a:lnTo>
                  <a:pt x="267" y="274"/>
                </a:lnTo>
                <a:lnTo>
                  <a:pt x="240" y="292"/>
                </a:lnTo>
                <a:lnTo>
                  <a:pt x="175" y="329"/>
                </a:lnTo>
                <a:lnTo>
                  <a:pt x="138" y="347"/>
                </a:lnTo>
                <a:lnTo>
                  <a:pt x="92" y="347"/>
                </a:lnTo>
                <a:lnTo>
                  <a:pt x="46" y="356"/>
                </a:lnTo>
                <a:lnTo>
                  <a:pt x="28" y="356"/>
                </a:lnTo>
                <a:lnTo>
                  <a:pt x="9" y="356"/>
                </a:lnTo>
                <a:lnTo>
                  <a:pt x="0" y="356"/>
                </a:lnTo>
                <a:lnTo>
                  <a:pt x="9" y="365"/>
                </a:lnTo>
                <a:lnTo>
                  <a:pt x="28" y="365"/>
                </a:lnTo>
                <a:lnTo>
                  <a:pt x="55" y="375"/>
                </a:lnTo>
                <a:lnTo>
                  <a:pt x="101" y="384"/>
                </a:lnTo>
                <a:lnTo>
                  <a:pt x="166" y="402"/>
                </a:lnTo>
                <a:lnTo>
                  <a:pt x="194" y="402"/>
                </a:lnTo>
                <a:lnTo>
                  <a:pt x="230" y="402"/>
                </a:lnTo>
                <a:lnTo>
                  <a:pt x="267" y="402"/>
                </a:lnTo>
                <a:lnTo>
                  <a:pt x="313" y="402"/>
                </a:lnTo>
                <a:lnTo>
                  <a:pt x="350" y="402"/>
                </a:lnTo>
                <a:lnTo>
                  <a:pt x="387" y="402"/>
                </a:lnTo>
                <a:lnTo>
                  <a:pt x="433" y="384"/>
                </a:lnTo>
                <a:lnTo>
                  <a:pt x="479" y="384"/>
                </a:lnTo>
                <a:lnTo>
                  <a:pt x="507" y="356"/>
                </a:lnTo>
                <a:lnTo>
                  <a:pt x="544" y="347"/>
                </a:lnTo>
                <a:lnTo>
                  <a:pt x="590" y="338"/>
                </a:lnTo>
                <a:lnTo>
                  <a:pt x="627" y="338"/>
                </a:lnTo>
                <a:lnTo>
                  <a:pt x="691" y="329"/>
                </a:lnTo>
                <a:lnTo>
                  <a:pt x="765" y="338"/>
                </a:lnTo>
                <a:lnTo>
                  <a:pt x="820" y="356"/>
                </a:lnTo>
                <a:lnTo>
                  <a:pt x="894" y="384"/>
                </a:lnTo>
                <a:lnTo>
                  <a:pt x="922" y="402"/>
                </a:lnTo>
                <a:lnTo>
                  <a:pt x="959" y="420"/>
                </a:lnTo>
                <a:lnTo>
                  <a:pt x="1005" y="439"/>
                </a:lnTo>
                <a:lnTo>
                  <a:pt x="1051" y="466"/>
                </a:lnTo>
                <a:lnTo>
                  <a:pt x="1078" y="475"/>
                </a:lnTo>
                <a:lnTo>
                  <a:pt x="1115" y="493"/>
                </a:lnTo>
                <a:lnTo>
                  <a:pt x="1152" y="512"/>
                </a:lnTo>
                <a:lnTo>
                  <a:pt x="1189" y="521"/>
                </a:lnTo>
                <a:lnTo>
                  <a:pt x="1244" y="539"/>
                </a:lnTo>
                <a:lnTo>
                  <a:pt x="1309" y="557"/>
                </a:lnTo>
                <a:lnTo>
                  <a:pt x="1364" y="557"/>
                </a:lnTo>
                <a:lnTo>
                  <a:pt x="1420" y="557"/>
                </a:lnTo>
                <a:lnTo>
                  <a:pt x="1466" y="539"/>
                </a:lnTo>
                <a:lnTo>
                  <a:pt x="1512" y="539"/>
                </a:lnTo>
                <a:lnTo>
                  <a:pt x="1549" y="512"/>
                </a:lnTo>
                <a:lnTo>
                  <a:pt x="1604" y="484"/>
                </a:lnTo>
                <a:lnTo>
                  <a:pt x="1650" y="466"/>
                </a:lnTo>
                <a:lnTo>
                  <a:pt x="1705" y="448"/>
                </a:lnTo>
                <a:lnTo>
                  <a:pt x="1751" y="429"/>
                </a:lnTo>
                <a:lnTo>
                  <a:pt x="1797" y="420"/>
                </a:lnTo>
                <a:lnTo>
                  <a:pt x="1844" y="402"/>
                </a:lnTo>
                <a:lnTo>
                  <a:pt x="1899" y="411"/>
                </a:lnTo>
                <a:lnTo>
                  <a:pt x="1963" y="420"/>
                </a:lnTo>
                <a:lnTo>
                  <a:pt x="2028" y="439"/>
                </a:lnTo>
                <a:lnTo>
                  <a:pt x="2083" y="457"/>
                </a:lnTo>
                <a:lnTo>
                  <a:pt x="2148" y="484"/>
                </a:lnTo>
                <a:lnTo>
                  <a:pt x="2194" y="512"/>
                </a:lnTo>
                <a:lnTo>
                  <a:pt x="2231" y="539"/>
                </a:lnTo>
                <a:lnTo>
                  <a:pt x="2258" y="557"/>
                </a:lnTo>
                <a:lnTo>
                  <a:pt x="2268" y="567"/>
                </a:lnTo>
                <a:lnTo>
                  <a:pt x="2203" y="73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9" name="Freeform 80">
            <a:extLst>
              <a:ext uri="{FF2B5EF4-FFF2-40B4-BE49-F238E27FC236}">
                <a16:creationId xmlns="" xmlns:a16="http://schemas.microsoft.com/office/drawing/2014/main" id="{00000000-0008-0000-0700-000013000000}"/>
              </a:ext>
            </a:extLst>
          </xdr:cNvPr>
          <xdr:cNvSpPr>
            <a:spLocks/>
          </xdr:cNvSpPr>
        </xdr:nvSpPr>
        <xdr:spPr bwMode="auto">
          <a:xfrm>
            <a:off x="396161" y="267675"/>
            <a:ext cx="172740" cy="170539"/>
          </a:xfrm>
          <a:custGeom>
            <a:avLst/>
            <a:gdLst>
              <a:gd name="T0" fmla="*/ 857 w 2157"/>
              <a:gd name="T1" fmla="*/ 2130 h 2130"/>
              <a:gd name="T2" fmla="*/ 1032 w 2157"/>
              <a:gd name="T3" fmla="*/ 2038 h 2130"/>
              <a:gd name="T4" fmla="*/ 1189 w 2157"/>
              <a:gd name="T5" fmla="*/ 1947 h 2130"/>
              <a:gd name="T6" fmla="*/ 1336 w 2157"/>
              <a:gd name="T7" fmla="*/ 1837 h 2130"/>
              <a:gd name="T8" fmla="*/ 1475 w 2157"/>
              <a:gd name="T9" fmla="*/ 1718 h 2130"/>
              <a:gd name="T10" fmla="*/ 1585 w 2157"/>
              <a:gd name="T11" fmla="*/ 1590 h 2130"/>
              <a:gd name="T12" fmla="*/ 1696 w 2157"/>
              <a:gd name="T13" fmla="*/ 1453 h 2130"/>
              <a:gd name="T14" fmla="*/ 1788 w 2157"/>
              <a:gd name="T15" fmla="*/ 1316 h 2130"/>
              <a:gd name="T16" fmla="*/ 1871 w 2157"/>
              <a:gd name="T17" fmla="*/ 1170 h 2130"/>
              <a:gd name="T18" fmla="*/ 1935 w 2157"/>
              <a:gd name="T19" fmla="*/ 1014 h 2130"/>
              <a:gd name="T20" fmla="*/ 1991 w 2157"/>
              <a:gd name="T21" fmla="*/ 868 h 2130"/>
              <a:gd name="T22" fmla="*/ 2037 w 2157"/>
              <a:gd name="T23" fmla="*/ 713 h 2130"/>
              <a:gd name="T24" fmla="*/ 2083 w 2157"/>
              <a:gd name="T25" fmla="*/ 566 h 2130"/>
              <a:gd name="T26" fmla="*/ 2111 w 2157"/>
              <a:gd name="T27" fmla="*/ 420 h 2130"/>
              <a:gd name="T28" fmla="*/ 2138 w 2157"/>
              <a:gd name="T29" fmla="*/ 274 h 2130"/>
              <a:gd name="T30" fmla="*/ 2147 w 2157"/>
              <a:gd name="T31" fmla="*/ 137 h 2130"/>
              <a:gd name="T32" fmla="*/ 2157 w 2157"/>
              <a:gd name="T33" fmla="*/ 9 h 2130"/>
              <a:gd name="T34" fmla="*/ 2129 w 2157"/>
              <a:gd name="T35" fmla="*/ 0 h 2130"/>
              <a:gd name="T36" fmla="*/ 2064 w 2157"/>
              <a:gd name="T37" fmla="*/ 0 h 2130"/>
              <a:gd name="T38" fmla="*/ 1954 w 2157"/>
              <a:gd name="T39" fmla="*/ 0 h 2130"/>
              <a:gd name="T40" fmla="*/ 1816 w 2157"/>
              <a:gd name="T41" fmla="*/ 0 h 2130"/>
              <a:gd name="T42" fmla="*/ 1650 w 2157"/>
              <a:gd name="T43" fmla="*/ 0 h 2130"/>
              <a:gd name="T44" fmla="*/ 1465 w 2157"/>
              <a:gd name="T45" fmla="*/ 0 h 2130"/>
              <a:gd name="T46" fmla="*/ 1272 w 2157"/>
              <a:gd name="T47" fmla="*/ 0 h 2130"/>
              <a:gd name="T48" fmla="*/ 1078 w 2157"/>
              <a:gd name="T49" fmla="*/ 9 h 2130"/>
              <a:gd name="T50" fmla="*/ 866 w 2157"/>
              <a:gd name="T51" fmla="*/ 9 h 2130"/>
              <a:gd name="T52" fmla="*/ 673 w 2157"/>
              <a:gd name="T53" fmla="*/ 9 h 2130"/>
              <a:gd name="T54" fmla="*/ 497 w 2157"/>
              <a:gd name="T55" fmla="*/ 9 h 2130"/>
              <a:gd name="T56" fmla="*/ 332 w 2157"/>
              <a:gd name="T57" fmla="*/ 18 h 2130"/>
              <a:gd name="T58" fmla="*/ 184 w 2157"/>
              <a:gd name="T59" fmla="*/ 18 h 2130"/>
              <a:gd name="T60" fmla="*/ 83 w 2157"/>
              <a:gd name="T61" fmla="*/ 18 h 2130"/>
              <a:gd name="T62" fmla="*/ 18 w 2157"/>
              <a:gd name="T63" fmla="*/ 18 h 2130"/>
              <a:gd name="T64" fmla="*/ 0 w 2157"/>
              <a:gd name="T65" fmla="*/ 18 h 2130"/>
              <a:gd name="T66" fmla="*/ 857 w 2157"/>
              <a:gd name="T67" fmla="*/ 2130 h 2130"/>
              <a:gd name="T68" fmla="*/ 857 w 2157"/>
              <a:gd name="T69" fmla="*/ 2130 h 21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2157" h="2130">
                <a:moveTo>
                  <a:pt x="857" y="2130"/>
                </a:moveTo>
                <a:lnTo>
                  <a:pt x="1032" y="2038"/>
                </a:lnTo>
                <a:lnTo>
                  <a:pt x="1189" y="1947"/>
                </a:lnTo>
                <a:lnTo>
                  <a:pt x="1336" y="1837"/>
                </a:lnTo>
                <a:lnTo>
                  <a:pt x="1475" y="1718"/>
                </a:lnTo>
                <a:lnTo>
                  <a:pt x="1585" y="1590"/>
                </a:lnTo>
                <a:lnTo>
                  <a:pt x="1696" y="1453"/>
                </a:lnTo>
                <a:lnTo>
                  <a:pt x="1788" y="1316"/>
                </a:lnTo>
                <a:lnTo>
                  <a:pt x="1871" y="1170"/>
                </a:lnTo>
                <a:lnTo>
                  <a:pt x="1935" y="1014"/>
                </a:lnTo>
                <a:lnTo>
                  <a:pt x="1991" y="868"/>
                </a:lnTo>
                <a:lnTo>
                  <a:pt x="2037" y="713"/>
                </a:lnTo>
                <a:lnTo>
                  <a:pt x="2083" y="566"/>
                </a:lnTo>
                <a:lnTo>
                  <a:pt x="2111" y="420"/>
                </a:lnTo>
                <a:lnTo>
                  <a:pt x="2138" y="274"/>
                </a:lnTo>
                <a:lnTo>
                  <a:pt x="2147" y="137"/>
                </a:lnTo>
                <a:lnTo>
                  <a:pt x="2157" y="9"/>
                </a:lnTo>
                <a:lnTo>
                  <a:pt x="2129" y="0"/>
                </a:lnTo>
                <a:lnTo>
                  <a:pt x="2064" y="0"/>
                </a:lnTo>
                <a:lnTo>
                  <a:pt x="1954" y="0"/>
                </a:lnTo>
                <a:lnTo>
                  <a:pt x="1816" y="0"/>
                </a:lnTo>
                <a:lnTo>
                  <a:pt x="1650" y="0"/>
                </a:lnTo>
                <a:lnTo>
                  <a:pt x="1465" y="0"/>
                </a:lnTo>
                <a:lnTo>
                  <a:pt x="1272" y="0"/>
                </a:lnTo>
                <a:lnTo>
                  <a:pt x="1078" y="9"/>
                </a:lnTo>
                <a:lnTo>
                  <a:pt x="866" y="9"/>
                </a:lnTo>
                <a:lnTo>
                  <a:pt x="673" y="9"/>
                </a:lnTo>
                <a:lnTo>
                  <a:pt x="497" y="9"/>
                </a:lnTo>
                <a:lnTo>
                  <a:pt x="332" y="18"/>
                </a:lnTo>
                <a:lnTo>
                  <a:pt x="184" y="18"/>
                </a:lnTo>
                <a:lnTo>
                  <a:pt x="83" y="18"/>
                </a:lnTo>
                <a:lnTo>
                  <a:pt x="18" y="18"/>
                </a:lnTo>
                <a:lnTo>
                  <a:pt x="0" y="18"/>
                </a:lnTo>
                <a:lnTo>
                  <a:pt x="857" y="2130"/>
                </a:lnTo>
                <a:close/>
              </a:path>
            </a:pathLst>
          </a:custGeom>
          <a:solidFill>
            <a:srgbClr val="CC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0" name="Freeform 81">
            <a:extLst>
              <a:ext uri="{FF2B5EF4-FFF2-40B4-BE49-F238E27FC236}">
                <a16:creationId xmlns="" xmlns:a16="http://schemas.microsoft.com/office/drawing/2014/main" id="{00000000-0008-0000-0700-000014000000}"/>
              </a:ext>
            </a:extLst>
          </xdr:cNvPr>
          <xdr:cNvSpPr>
            <a:spLocks/>
          </xdr:cNvSpPr>
        </xdr:nvSpPr>
        <xdr:spPr bwMode="auto">
          <a:xfrm>
            <a:off x="235555" y="128484"/>
            <a:ext cx="307233" cy="305090"/>
          </a:xfrm>
          <a:custGeom>
            <a:avLst/>
            <a:gdLst>
              <a:gd name="T0" fmla="*/ 2101 w 3834"/>
              <a:gd name="T1" fmla="*/ 3793 h 3812"/>
              <a:gd name="T2" fmla="*/ 2470 w 3834"/>
              <a:gd name="T3" fmla="*/ 3711 h 3812"/>
              <a:gd name="T4" fmla="*/ 2820 w 3834"/>
              <a:gd name="T5" fmla="*/ 3574 h 3812"/>
              <a:gd name="T6" fmla="*/ 3125 w 3834"/>
              <a:gd name="T7" fmla="*/ 3364 h 3812"/>
              <a:gd name="T8" fmla="*/ 3383 w 3834"/>
              <a:gd name="T9" fmla="*/ 3108 h 3812"/>
              <a:gd name="T10" fmla="*/ 3595 w 3834"/>
              <a:gd name="T11" fmla="*/ 2806 h 3812"/>
              <a:gd name="T12" fmla="*/ 3733 w 3834"/>
              <a:gd name="T13" fmla="*/ 2459 h 3812"/>
              <a:gd name="T14" fmla="*/ 3825 w 3834"/>
              <a:gd name="T15" fmla="*/ 2093 h 3812"/>
              <a:gd name="T16" fmla="*/ 3825 w 3834"/>
              <a:gd name="T17" fmla="*/ 1709 h 3812"/>
              <a:gd name="T18" fmla="*/ 3733 w 3834"/>
              <a:gd name="T19" fmla="*/ 1335 h 3812"/>
              <a:gd name="T20" fmla="*/ 3595 w 3834"/>
              <a:gd name="T21" fmla="*/ 987 h 3812"/>
              <a:gd name="T22" fmla="*/ 3383 w 3834"/>
              <a:gd name="T23" fmla="*/ 686 h 3812"/>
              <a:gd name="T24" fmla="*/ 3125 w 3834"/>
              <a:gd name="T25" fmla="*/ 430 h 3812"/>
              <a:gd name="T26" fmla="*/ 2820 w 3834"/>
              <a:gd name="T27" fmla="*/ 229 h 3812"/>
              <a:gd name="T28" fmla="*/ 2470 w 3834"/>
              <a:gd name="T29" fmla="*/ 82 h 3812"/>
              <a:gd name="T30" fmla="*/ 2101 w 3834"/>
              <a:gd name="T31" fmla="*/ 9 h 3812"/>
              <a:gd name="T32" fmla="*/ 1714 w 3834"/>
              <a:gd name="T33" fmla="*/ 9 h 3812"/>
              <a:gd name="T34" fmla="*/ 1336 w 3834"/>
              <a:gd name="T35" fmla="*/ 82 h 3812"/>
              <a:gd name="T36" fmla="*/ 995 w 3834"/>
              <a:gd name="T37" fmla="*/ 229 h 3812"/>
              <a:gd name="T38" fmla="*/ 691 w 3834"/>
              <a:gd name="T39" fmla="*/ 430 h 3812"/>
              <a:gd name="T40" fmla="*/ 424 w 3834"/>
              <a:gd name="T41" fmla="*/ 686 h 3812"/>
              <a:gd name="T42" fmla="*/ 230 w 3834"/>
              <a:gd name="T43" fmla="*/ 987 h 3812"/>
              <a:gd name="T44" fmla="*/ 74 w 3834"/>
              <a:gd name="T45" fmla="*/ 1335 h 3812"/>
              <a:gd name="T46" fmla="*/ 9 w 3834"/>
              <a:gd name="T47" fmla="*/ 1709 h 3812"/>
              <a:gd name="T48" fmla="*/ 9 w 3834"/>
              <a:gd name="T49" fmla="*/ 2093 h 3812"/>
              <a:gd name="T50" fmla="*/ 74 w 3834"/>
              <a:gd name="T51" fmla="*/ 2459 h 3812"/>
              <a:gd name="T52" fmla="*/ 230 w 3834"/>
              <a:gd name="T53" fmla="*/ 2806 h 3812"/>
              <a:gd name="T54" fmla="*/ 424 w 3834"/>
              <a:gd name="T55" fmla="*/ 3108 h 3812"/>
              <a:gd name="T56" fmla="*/ 691 w 3834"/>
              <a:gd name="T57" fmla="*/ 3364 h 3812"/>
              <a:gd name="T58" fmla="*/ 995 w 3834"/>
              <a:gd name="T59" fmla="*/ 3574 h 3812"/>
              <a:gd name="T60" fmla="*/ 1336 w 3834"/>
              <a:gd name="T61" fmla="*/ 3711 h 3812"/>
              <a:gd name="T62" fmla="*/ 1714 w 3834"/>
              <a:gd name="T63" fmla="*/ 3793 h 3812"/>
              <a:gd name="T64" fmla="*/ 1917 w 3834"/>
              <a:gd name="T65" fmla="*/ 3812 h 38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834" h="3812">
                <a:moveTo>
                  <a:pt x="1917" y="3812"/>
                </a:moveTo>
                <a:lnTo>
                  <a:pt x="2101" y="3793"/>
                </a:lnTo>
                <a:lnTo>
                  <a:pt x="2295" y="3766"/>
                </a:lnTo>
                <a:lnTo>
                  <a:pt x="2470" y="3711"/>
                </a:lnTo>
                <a:lnTo>
                  <a:pt x="2655" y="3656"/>
                </a:lnTo>
                <a:lnTo>
                  <a:pt x="2820" y="3574"/>
                </a:lnTo>
                <a:lnTo>
                  <a:pt x="2977" y="3474"/>
                </a:lnTo>
                <a:lnTo>
                  <a:pt x="3125" y="3364"/>
                </a:lnTo>
                <a:lnTo>
                  <a:pt x="3272" y="3245"/>
                </a:lnTo>
                <a:lnTo>
                  <a:pt x="3383" y="3108"/>
                </a:lnTo>
                <a:lnTo>
                  <a:pt x="3493" y="2962"/>
                </a:lnTo>
                <a:lnTo>
                  <a:pt x="3595" y="2806"/>
                </a:lnTo>
                <a:lnTo>
                  <a:pt x="3678" y="2642"/>
                </a:lnTo>
                <a:lnTo>
                  <a:pt x="3733" y="2459"/>
                </a:lnTo>
                <a:lnTo>
                  <a:pt x="3788" y="2276"/>
                </a:lnTo>
                <a:lnTo>
                  <a:pt x="3825" y="2093"/>
                </a:lnTo>
                <a:lnTo>
                  <a:pt x="3834" y="1901"/>
                </a:lnTo>
                <a:lnTo>
                  <a:pt x="3825" y="1709"/>
                </a:lnTo>
                <a:lnTo>
                  <a:pt x="3788" y="1517"/>
                </a:lnTo>
                <a:lnTo>
                  <a:pt x="3733" y="1335"/>
                </a:lnTo>
                <a:lnTo>
                  <a:pt x="3678" y="1161"/>
                </a:lnTo>
                <a:lnTo>
                  <a:pt x="3595" y="987"/>
                </a:lnTo>
                <a:lnTo>
                  <a:pt x="3493" y="841"/>
                </a:lnTo>
                <a:lnTo>
                  <a:pt x="3383" y="686"/>
                </a:lnTo>
                <a:lnTo>
                  <a:pt x="3272" y="558"/>
                </a:lnTo>
                <a:lnTo>
                  <a:pt x="3125" y="430"/>
                </a:lnTo>
                <a:lnTo>
                  <a:pt x="2977" y="320"/>
                </a:lnTo>
                <a:lnTo>
                  <a:pt x="2820" y="229"/>
                </a:lnTo>
                <a:lnTo>
                  <a:pt x="2655" y="146"/>
                </a:lnTo>
                <a:lnTo>
                  <a:pt x="2470" y="82"/>
                </a:lnTo>
                <a:lnTo>
                  <a:pt x="2295" y="37"/>
                </a:lnTo>
                <a:lnTo>
                  <a:pt x="2101" y="9"/>
                </a:lnTo>
                <a:lnTo>
                  <a:pt x="1917" y="0"/>
                </a:lnTo>
                <a:lnTo>
                  <a:pt x="1714" y="9"/>
                </a:lnTo>
                <a:lnTo>
                  <a:pt x="1530" y="37"/>
                </a:lnTo>
                <a:lnTo>
                  <a:pt x="1336" y="82"/>
                </a:lnTo>
                <a:lnTo>
                  <a:pt x="1161" y="146"/>
                </a:lnTo>
                <a:lnTo>
                  <a:pt x="995" y="229"/>
                </a:lnTo>
                <a:lnTo>
                  <a:pt x="839" y="320"/>
                </a:lnTo>
                <a:lnTo>
                  <a:pt x="691" y="430"/>
                </a:lnTo>
                <a:lnTo>
                  <a:pt x="553" y="558"/>
                </a:lnTo>
                <a:lnTo>
                  <a:pt x="424" y="686"/>
                </a:lnTo>
                <a:lnTo>
                  <a:pt x="322" y="841"/>
                </a:lnTo>
                <a:lnTo>
                  <a:pt x="230" y="987"/>
                </a:lnTo>
                <a:lnTo>
                  <a:pt x="147" y="1161"/>
                </a:lnTo>
                <a:lnTo>
                  <a:pt x="74" y="1335"/>
                </a:lnTo>
                <a:lnTo>
                  <a:pt x="37" y="1517"/>
                </a:lnTo>
                <a:lnTo>
                  <a:pt x="9" y="1709"/>
                </a:lnTo>
                <a:lnTo>
                  <a:pt x="0" y="1901"/>
                </a:lnTo>
                <a:lnTo>
                  <a:pt x="9" y="2093"/>
                </a:lnTo>
                <a:lnTo>
                  <a:pt x="37" y="2276"/>
                </a:lnTo>
                <a:lnTo>
                  <a:pt x="74" y="2459"/>
                </a:lnTo>
                <a:lnTo>
                  <a:pt x="147" y="2642"/>
                </a:lnTo>
                <a:lnTo>
                  <a:pt x="230" y="2806"/>
                </a:lnTo>
                <a:lnTo>
                  <a:pt x="322" y="2962"/>
                </a:lnTo>
                <a:lnTo>
                  <a:pt x="424" y="3108"/>
                </a:lnTo>
                <a:lnTo>
                  <a:pt x="553" y="3245"/>
                </a:lnTo>
                <a:lnTo>
                  <a:pt x="691" y="3364"/>
                </a:lnTo>
                <a:lnTo>
                  <a:pt x="839" y="3474"/>
                </a:lnTo>
                <a:lnTo>
                  <a:pt x="995" y="3574"/>
                </a:lnTo>
                <a:lnTo>
                  <a:pt x="1161" y="3656"/>
                </a:lnTo>
                <a:lnTo>
                  <a:pt x="1336" y="3711"/>
                </a:lnTo>
                <a:lnTo>
                  <a:pt x="1530" y="3766"/>
                </a:lnTo>
                <a:lnTo>
                  <a:pt x="1714" y="3793"/>
                </a:lnTo>
                <a:lnTo>
                  <a:pt x="1917" y="3812"/>
                </a:lnTo>
                <a:close/>
              </a:path>
            </a:pathLst>
          </a:custGeom>
          <a:solidFill>
            <a:srgbClr val="E6FFE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1" name="Freeform 82">
            <a:extLst>
              <a:ext uri="{FF2B5EF4-FFF2-40B4-BE49-F238E27FC236}">
                <a16:creationId xmlns="" xmlns:a16="http://schemas.microsoft.com/office/drawing/2014/main" id="{00000000-0008-0000-0700-000015000000}"/>
              </a:ext>
            </a:extLst>
          </xdr:cNvPr>
          <xdr:cNvSpPr>
            <a:spLocks/>
          </xdr:cNvSpPr>
        </xdr:nvSpPr>
        <xdr:spPr bwMode="auto">
          <a:xfrm>
            <a:off x="234722" y="128068"/>
            <a:ext cx="258575" cy="256790"/>
          </a:xfrm>
          <a:custGeom>
            <a:avLst/>
            <a:gdLst>
              <a:gd name="T0" fmla="*/ 1779 w 3227"/>
              <a:gd name="T1" fmla="*/ 3190 h 3208"/>
              <a:gd name="T2" fmla="*/ 2083 w 3227"/>
              <a:gd name="T3" fmla="*/ 3126 h 3208"/>
              <a:gd name="T4" fmla="*/ 2369 w 3227"/>
              <a:gd name="T5" fmla="*/ 2998 h 3208"/>
              <a:gd name="T6" fmla="*/ 2627 w 3227"/>
              <a:gd name="T7" fmla="*/ 2825 h 3208"/>
              <a:gd name="T8" fmla="*/ 2849 w 3227"/>
              <a:gd name="T9" fmla="*/ 2605 h 3208"/>
              <a:gd name="T10" fmla="*/ 3024 w 3227"/>
              <a:gd name="T11" fmla="*/ 2349 h 3208"/>
              <a:gd name="T12" fmla="*/ 3153 w 3227"/>
              <a:gd name="T13" fmla="*/ 2066 h 3208"/>
              <a:gd name="T14" fmla="*/ 3217 w 3227"/>
              <a:gd name="T15" fmla="*/ 1755 h 3208"/>
              <a:gd name="T16" fmla="*/ 3217 w 3227"/>
              <a:gd name="T17" fmla="*/ 1426 h 3208"/>
              <a:gd name="T18" fmla="*/ 3153 w 3227"/>
              <a:gd name="T19" fmla="*/ 1124 h 3208"/>
              <a:gd name="T20" fmla="*/ 3024 w 3227"/>
              <a:gd name="T21" fmla="*/ 832 h 3208"/>
              <a:gd name="T22" fmla="*/ 2849 w 3227"/>
              <a:gd name="T23" fmla="*/ 585 h 3208"/>
              <a:gd name="T24" fmla="*/ 2627 w 3227"/>
              <a:gd name="T25" fmla="*/ 366 h 3208"/>
              <a:gd name="T26" fmla="*/ 2369 w 3227"/>
              <a:gd name="T27" fmla="*/ 192 h 3208"/>
              <a:gd name="T28" fmla="*/ 2083 w 3227"/>
              <a:gd name="T29" fmla="*/ 64 h 3208"/>
              <a:gd name="T30" fmla="*/ 1779 w 3227"/>
              <a:gd name="T31" fmla="*/ 9 h 3208"/>
              <a:gd name="T32" fmla="*/ 1438 w 3227"/>
              <a:gd name="T33" fmla="*/ 9 h 3208"/>
              <a:gd name="T34" fmla="*/ 1125 w 3227"/>
              <a:gd name="T35" fmla="*/ 64 h 3208"/>
              <a:gd name="T36" fmla="*/ 839 w 3227"/>
              <a:gd name="T37" fmla="*/ 192 h 3208"/>
              <a:gd name="T38" fmla="*/ 581 w 3227"/>
              <a:gd name="T39" fmla="*/ 366 h 3208"/>
              <a:gd name="T40" fmla="*/ 369 w 3227"/>
              <a:gd name="T41" fmla="*/ 585 h 3208"/>
              <a:gd name="T42" fmla="*/ 194 w 3227"/>
              <a:gd name="T43" fmla="*/ 832 h 3208"/>
              <a:gd name="T44" fmla="*/ 65 w 3227"/>
              <a:gd name="T45" fmla="*/ 1124 h 3208"/>
              <a:gd name="T46" fmla="*/ 9 w 3227"/>
              <a:gd name="T47" fmla="*/ 1426 h 3208"/>
              <a:gd name="T48" fmla="*/ 9 w 3227"/>
              <a:gd name="T49" fmla="*/ 1755 h 3208"/>
              <a:gd name="T50" fmla="*/ 65 w 3227"/>
              <a:gd name="T51" fmla="*/ 2066 h 3208"/>
              <a:gd name="T52" fmla="*/ 194 w 3227"/>
              <a:gd name="T53" fmla="*/ 2349 h 3208"/>
              <a:gd name="T54" fmla="*/ 369 w 3227"/>
              <a:gd name="T55" fmla="*/ 2605 h 3208"/>
              <a:gd name="T56" fmla="*/ 581 w 3227"/>
              <a:gd name="T57" fmla="*/ 2825 h 3208"/>
              <a:gd name="T58" fmla="*/ 839 w 3227"/>
              <a:gd name="T59" fmla="*/ 2998 h 3208"/>
              <a:gd name="T60" fmla="*/ 1125 w 3227"/>
              <a:gd name="T61" fmla="*/ 3126 h 3208"/>
              <a:gd name="T62" fmla="*/ 1438 w 3227"/>
              <a:gd name="T63" fmla="*/ 3190 h 3208"/>
              <a:gd name="T64" fmla="*/ 1613 w 3227"/>
              <a:gd name="T65" fmla="*/ 3208 h 3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227" h="3208">
                <a:moveTo>
                  <a:pt x="1613" y="3208"/>
                </a:moveTo>
                <a:lnTo>
                  <a:pt x="1779" y="3190"/>
                </a:lnTo>
                <a:lnTo>
                  <a:pt x="1936" y="3163"/>
                </a:lnTo>
                <a:lnTo>
                  <a:pt x="2083" y="3126"/>
                </a:lnTo>
                <a:lnTo>
                  <a:pt x="2240" y="3080"/>
                </a:lnTo>
                <a:lnTo>
                  <a:pt x="2369" y="2998"/>
                </a:lnTo>
                <a:lnTo>
                  <a:pt x="2508" y="2925"/>
                </a:lnTo>
                <a:lnTo>
                  <a:pt x="2627" y="2825"/>
                </a:lnTo>
                <a:lnTo>
                  <a:pt x="2756" y="2733"/>
                </a:lnTo>
                <a:lnTo>
                  <a:pt x="2849" y="2605"/>
                </a:lnTo>
                <a:lnTo>
                  <a:pt x="2941" y="2486"/>
                </a:lnTo>
                <a:lnTo>
                  <a:pt x="3024" y="2349"/>
                </a:lnTo>
                <a:lnTo>
                  <a:pt x="3097" y="2221"/>
                </a:lnTo>
                <a:lnTo>
                  <a:pt x="3153" y="2066"/>
                </a:lnTo>
                <a:lnTo>
                  <a:pt x="3190" y="1920"/>
                </a:lnTo>
                <a:lnTo>
                  <a:pt x="3217" y="1755"/>
                </a:lnTo>
                <a:lnTo>
                  <a:pt x="3227" y="1600"/>
                </a:lnTo>
                <a:lnTo>
                  <a:pt x="3217" y="1426"/>
                </a:lnTo>
                <a:lnTo>
                  <a:pt x="3190" y="1280"/>
                </a:lnTo>
                <a:lnTo>
                  <a:pt x="3153" y="1124"/>
                </a:lnTo>
                <a:lnTo>
                  <a:pt x="3097" y="978"/>
                </a:lnTo>
                <a:lnTo>
                  <a:pt x="3024" y="832"/>
                </a:lnTo>
                <a:lnTo>
                  <a:pt x="2941" y="704"/>
                </a:lnTo>
                <a:lnTo>
                  <a:pt x="2849" y="585"/>
                </a:lnTo>
                <a:lnTo>
                  <a:pt x="2756" y="475"/>
                </a:lnTo>
                <a:lnTo>
                  <a:pt x="2627" y="366"/>
                </a:lnTo>
                <a:lnTo>
                  <a:pt x="2508" y="274"/>
                </a:lnTo>
                <a:lnTo>
                  <a:pt x="2369" y="192"/>
                </a:lnTo>
                <a:lnTo>
                  <a:pt x="2240" y="128"/>
                </a:lnTo>
                <a:lnTo>
                  <a:pt x="2083" y="64"/>
                </a:lnTo>
                <a:lnTo>
                  <a:pt x="1936" y="37"/>
                </a:lnTo>
                <a:lnTo>
                  <a:pt x="1779" y="9"/>
                </a:lnTo>
                <a:lnTo>
                  <a:pt x="1613" y="0"/>
                </a:lnTo>
                <a:lnTo>
                  <a:pt x="1438" y="9"/>
                </a:lnTo>
                <a:lnTo>
                  <a:pt x="1282" y="37"/>
                </a:lnTo>
                <a:lnTo>
                  <a:pt x="1125" y="64"/>
                </a:lnTo>
                <a:lnTo>
                  <a:pt x="987" y="128"/>
                </a:lnTo>
                <a:lnTo>
                  <a:pt x="839" y="192"/>
                </a:lnTo>
                <a:lnTo>
                  <a:pt x="710" y="274"/>
                </a:lnTo>
                <a:lnTo>
                  <a:pt x="581" y="366"/>
                </a:lnTo>
                <a:lnTo>
                  <a:pt x="470" y="475"/>
                </a:lnTo>
                <a:lnTo>
                  <a:pt x="369" y="585"/>
                </a:lnTo>
                <a:lnTo>
                  <a:pt x="277" y="704"/>
                </a:lnTo>
                <a:lnTo>
                  <a:pt x="194" y="832"/>
                </a:lnTo>
                <a:lnTo>
                  <a:pt x="129" y="978"/>
                </a:lnTo>
                <a:lnTo>
                  <a:pt x="65" y="1124"/>
                </a:lnTo>
                <a:lnTo>
                  <a:pt x="37" y="1280"/>
                </a:lnTo>
                <a:lnTo>
                  <a:pt x="9" y="1426"/>
                </a:lnTo>
                <a:lnTo>
                  <a:pt x="0" y="1600"/>
                </a:lnTo>
                <a:lnTo>
                  <a:pt x="9" y="1755"/>
                </a:lnTo>
                <a:lnTo>
                  <a:pt x="37" y="1920"/>
                </a:lnTo>
                <a:lnTo>
                  <a:pt x="65" y="2066"/>
                </a:lnTo>
                <a:lnTo>
                  <a:pt x="129" y="2221"/>
                </a:lnTo>
                <a:lnTo>
                  <a:pt x="194" y="2349"/>
                </a:lnTo>
                <a:lnTo>
                  <a:pt x="277" y="2486"/>
                </a:lnTo>
                <a:lnTo>
                  <a:pt x="369" y="2605"/>
                </a:lnTo>
                <a:lnTo>
                  <a:pt x="470" y="2733"/>
                </a:lnTo>
                <a:lnTo>
                  <a:pt x="581" y="2825"/>
                </a:lnTo>
                <a:lnTo>
                  <a:pt x="710" y="2925"/>
                </a:lnTo>
                <a:lnTo>
                  <a:pt x="839" y="2998"/>
                </a:lnTo>
                <a:lnTo>
                  <a:pt x="987" y="3080"/>
                </a:lnTo>
                <a:lnTo>
                  <a:pt x="1125" y="3126"/>
                </a:lnTo>
                <a:lnTo>
                  <a:pt x="1282" y="3163"/>
                </a:lnTo>
                <a:lnTo>
                  <a:pt x="1438" y="3190"/>
                </a:lnTo>
                <a:lnTo>
                  <a:pt x="1613" y="3208"/>
                </a:lnTo>
                <a:close/>
              </a:path>
            </a:pathLst>
          </a:custGeom>
          <a:solidFill>
            <a:srgbClr val="EDFF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2" name="Freeform 83">
            <a:extLst>
              <a:ext uri="{FF2B5EF4-FFF2-40B4-BE49-F238E27FC236}">
                <a16:creationId xmlns="" xmlns:a16="http://schemas.microsoft.com/office/drawing/2014/main" id="{00000000-0008-0000-0700-000016000000}"/>
              </a:ext>
            </a:extLst>
          </xdr:cNvPr>
          <xdr:cNvSpPr>
            <a:spLocks/>
          </xdr:cNvSpPr>
        </xdr:nvSpPr>
        <xdr:spPr bwMode="auto">
          <a:xfrm>
            <a:off x="256315" y="144901"/>
            <a:ext cx="209799" cy="208489"/>
          </a:xfrm>
          <a:custGeom>
            <a:avLst/>
            <a:gdLst>
              <a:gd name="T0" fmla="*/ 1438 w 2618"/>
              <a:gd name="T1" fmla="*/ 2587 h 2605"/>
              <a:gd name="T2" fmla="*/ 1687 w 2618"/>
              <a:gd name="T3" fmla="*/ 2532 h 2605"/>
              <a:gd name="T4" fmla="*/ 1926 w 2618"/>
              <a:gd name="T5" fmla="*/ 2431 h 2605"/>
              <a:gd name="T6" fmla="*/ 2129 w 2618"/>
              <a:gd name="T7" fmla="*/ 2294 h 2605"/>
              <a:gd name="T8" fmla="*/ 2304 w 2618"/>
              <a:gd name="T9" fmla="*/ 2121 h 2605"/>
              <a:gd name="T10" fmla="*/ 2452 w 2618"/>
              <a:gd name="T11" fmla="*/ 1910 h 2605"/>
              <a:gd name="T12" fmla="*/ 2544 w 2618"/>
              <a:gd name="T13" fmla="*/ 1682 h 2605"/>
              <a:gd name="T14" fmla="*/ 2609 w 2618"/>
              <a:gd name="T15" fmla="*/ 1435 h 2605"/>
              <a:gd name="T16" fmla="*/ 2609 w 2618"/>
              <a:gd name="T17" fmla="*/ 1170 h 2605"/>
              <a:gd name="T18" fmla="*/ 2544 w 2618"/>
              <a:gd name="T19" fmla="*/ 914 h 2605"/>
              <a:gd name="T20" fmla="*/ 2452 w 2618"/>
              <a:gd name="T21" fmla="*/ 676 h 2605"/>
              <a:gd name="T22" fmla="*/ 2304 w 2618"/>
              <a:gd name="T23" fmla="*/ 466 h 2605"/>
              <a:gd name="T24" fmla="*/ 2129 w 2618"/>
              <a:gd name="T25" fmla="*/ 292 h 2605"/>
              <a:gd name="T26" fmla="*/ 1926 w 2618"/>
              <a:gd name="T27" fmla="*/ 155 h 2605"/>
              <a:gd name="T28" fmla="*/ 1687 w 2618"/>
              <a:gd name="T29" fmla="*/ 55 h 2605"/>
              <a:gd name="T30" fmla="*/ 1438 w 2618"/>
              <a:gd name="T31" fmla="*/ 0 h 2605"/>
              <a:gd name="T32" fmla="*/ 1171 w 2618"/>
              <a:gd name="T33" fmla="*/ 0 h 2605"/>
              <a:gd name="T34" fmla="*/ 913 w 2618"/>
              <a:gd name="T35" fmla="*/ 55 h 2605"/>
              <a:gd name="T36" fmla="*/ 673 w 2618"/>
              <a:gd name="T37" fmla="*/ 155 h 2605"/>
              <a:gd name="T38" fmla="*/ 470 w 2618"/>
              <a:gd name="T39" fmla="*/ 292 h 2605"/>
              <a:gd name="T40" fmla="*/ 295 w 2618"/>
              <a:gd name="T41" fmla="*/ 466 h 2605"/>
              <a:gd name="T42" fmla="*/ 147 w 2618"/>
              <a:gd name="T43" fmla="*/ 676 h 2605"/>
              <a:gd name="T44" fmla="*/ 55 w 2618"/>
              <a:gd name="T45" fmla="*/ 914 h 2605"/>
              <a:gd name="T46" fmla="*/ 0 w 2618"/>
              <a:gd name="T47" fmla="*/ 1170 h 2605"/>
              <a:gd name="T48" fmla="*/ 0 w 2618"/>
              <a:gd name="T49" fmla="*/ 1435 h 2605"/>
              <a:gd name="T50" fmla="*/ 55 w 2618"/>
              <a:gd name="T51" fmla="*/ 1682 h 2605"/>
              <a:gd name="T52" fmla="*/ 147 w 2618"/>
              <a:gd name="T53" fmla="*/ 1910 h 2605"/>
              <a:gd name="T54" fmla="*/ 295 w 2618"/>
              <a:gd name="T55" fmla="*/ 2121 h 2605"/>
              <a:gd name="T56" fmla="*/ 470 w 2618"/>
              <a:gd name="T57" fmla="*/ 2294 h 2605"/>
              <a:gd name="T58" fmla="*/ 673 w 2618"/>
              <a:gd name="T59" fmla="*/ 2431 h 2605"/>
              <a:gd name="T60" fmla="*/ 913 w 2618"/>
              <a:gd name="T61" fmla="*/ 2532 h 2605"/>
              <a:gd name="T62" fmla="*/ 1171 w 2618"/>
              <a:gd name="T63" fmla="*/ 2587 h 2605"/>
              <a:gd name="T64" fmla="*/ 1309 w 2618"/>
              <a:gd name="T65" fmla="*/ 2605 h 26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618" h="2605">
                <a:moveTo>
                  <a:pt x="1309" y="2605"/>
                </a:moveTo>
                <a:lnTo>
                  <a:pt x="1438" y="2587"/>
                </a:lnTo>
                <a:lnTo>
                  <a:pt x="1567" y="2569"/>
                </a:lnTo>
                <a:lnTo>
                  <a:pt x="1687" y="2532"/>
                </a:lnTo>
                <a:lnTo>
                  <a:pt x="1816" y="2495"/>
                </a:lnTo>
                <a:lnTo>
                  <a:pt x="1926" y="2431"/>
                </a:lnTo>
                <a:lnTo>
                  <a:pt x="2037" y="2367"/>
                </a:lnTo>
                <a:lnTo>
                  <a:pt x="2129" y="2294"/>
                </a:lnTo>
                <a:lnTo>
                  <a:pt x="2231" y="2212"/>
                </a:lnTo>
                <a:lnTo>
                  <a:pt x="2304" y="2121"/>
                </a:lnTo>
                <a:lnTo>
                  <a:pt x="2387" y="2020"/>
                </a:lnTo>
                <a:lnTo>
                  <a:pt x="2452" y="1910"/>
                </a:lnTo>
                <a:lnTo>
                  <a:pt x="2507" y="1801"/>
                </a:lnTo>
                <a:lnTo>
                  <a:pt x="2544" y="1682"/>
                </a:lnTo>
                <a:lnTo>
                  <a:pt x="2581" y="1563"/>
                </a:lnTo>
                <a:lnTo>
                  <a:pt x="2609" y="1435"/>
                </a:lnTo>
                <a:lnTo>
                  <a:pt x="2618" y="1298"/>
                </a:lnTo>
                <a:lnTo>
                  <a:pt x="2609" y="1170"/>
                </a:lnTo>
                <a:lnTo>
                  <a:pt x="2581" y="1042"/>
                </a:lnTo>
                <a:lnTo>
                  <a:pt x="2544" y="914"/>
                </a:lnTo>
                <a:lnTo>
                  <a:pt x="2507" y="795"/>
                </a:lnTo>
                <a:lnTo>
                  <a:pt x="2452" y="676"/>
                </a:lnTo>
                <a:lnTo>
                  <a:pt x="2387" y="567"/>
                </a:lnTo>
                <a:lnTo>
                  <a:pt x="2304" y="466"/>
                </a:lnTo>
                <a:lnTo>
                  <a:pt x="2231" y="384"/>
                </a:lnTo>
                <a:lnTo>
                  <a:pt x="2129" y="292"/>
                </a:lnTo>
                <a:lnTo>
                  <a:pt x="2037" y="219"/>
                </a:lnTo>
                <a:lnTo>
                  <a:pt x="1926" y="155"/>
                </a:lnTo>
                <a:lnTo>
                  <a:pt x="1816" y="101"/>
                </a:lnTo>
                <a:lnTo>
                  <a:pt x="1687" y="55"/>
                </a:lnTo>
                <a:lnTo>
                  <a:pt x="1567" y="27"/>
                </a:lnTo>
                <a:lnTo>
                  <a:pt x="1438" y="0"/>
                </a:lnTo>
                <a:lnTo>
                  <a:pt x="1309" y="0"/>
                </a:lnTo>
                <a:lnTo>
                  <a:pt x="1171" y="0"/>
                </a:lnTo>
                <a:lnTo>
                  <a:pt x="1042" y="27"/>
                </a:lnTo>
                <a:lnTo>
                  <a:pt x="913" y="55"/>
                </a:lnTo>
                <a:lnTo>
                  <a:pt x="802" y="101"/>
                </a:lnTo>
                <a:lnTo>
                  <a:pt x="673" y="155"/>
                </a:lnTo>
                <a:lnTo>
                  <a:pt x="571" y="219"/>
                </a:lnTo>
                <a:lnTo>
                  <a:pt x="470" y="292"/>
                </a:lnTo>
                <a:lnTo>
                  <a:pt x="387" y="384"/>
                </a:lnTo>
                <a:lnTo>
                  <a:pt x="295" y="466"/>
                </a:lnTo>
                <a:lnTo>
                  <a:pt x="212" y="567"/>
                </a:lnTo>
                <a:lnTo>
                  <a:pt x="147" y="676"/>
                </a:lnTo>
                <a:lnTo>
                  <a:pt x="101" y="795"/>
                </a:lnTo>
                <a:lnTo>
                  <a:pt x="55" y="914"/>
                </a:lnTo>
                <a:lnTo>
                  <a:pt x="18" y="1042"/>
                </a:lnTo>
                <a:lnTo>
                  <a:pt x="0" y="1170"/>
                </a:lnTo>
                <a:lnTo>
                  <a:pt x="0" y="1298"/>
                </a:lnTo>
                <a:lnTo>
                  <a:pt x="0" y="1435"/>
                </a:lnTo>
                <a:lnTo>
                  <a:pt x="18" y="1563"/>
                </a:lnTo>
                <a:lnTo>
                  <a:pt x="55" y="1682"/>
                </a:lnTo>
                <a:lnTo>
                  <a:pt x="101" y="1801"/>
                </a:lnTo>
                <a:lnTo>
                  <a:pt x="147" y="1910"/>
                </a:lnTo>
                <a:lnTo>
                  <a:pt x="212" y="2020"/>
                </a:lnTo>
                <a:lnTo>
                  <a:pt x="295" y="2121"/>
                </a:lnTo>
                <a:lnTo>
                  <a:pt x="387" y="2212"/>
                </a:lnTo>
                <a:lnTo>
                  <a:pt x="470" y="2294"/>
                </a:lnTo>
                <a:lnTo>
                  <a:pt x="571" y="2367"/>
                </a:lnTo>
                <a:lnTo>
                  <a:pt x="673" y="2431"/>
                </a:lnTo>
                <a:lnTo>
                  <a:pt x="802" y="2495"/>
                </a:lnTo>
                <a:lnTo>
                  <a:pt x="913" y="2532"/>
                </a:lnTo>
                <a:lnTo>
                  <a:pt x="1042" y="2569"/>
                </a:lnTo>
                <a:lnTo>
                  <a:pt x="1171" y="2587"/>
                </a:lnTo>
                <a:lnTo>
                  <a:pt x="1309" y="2605"/>
                </a:lnTo>
                <a:close/>
              </a:path>
            </a:pathLst>
          </a:custGeom>
          <a:solidFill>
            <a:srgbClr val="F0FCD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3" name="Freeform 84">
            <a:extLst>
              <a:ext uri="{FF2B5EF4-FFF2-40B4-BE49-F238E27FC236}">
                <a16:creationId xmlns="" xmlns:a16="http://schemas.microsoft.com/office/drawing/2014/main" id="{00000000-0008-0000-0700-000017000000}"/>
              </a:ext>
            </a:extLst>
          </xdr:cNvPr>
          <xdr:cNvSpPr>
            <a:spLocks/>
          </xdr:cNvSpPr>
        </xdr:nvSpPr>
        <xdr:spPr bwMode="auto">
          <a:xfrm>
            <a:off x="268093" y="155073"/>
            <a:ext cx="161082" cy="159534"/>
          </a:xfrm>
          <a:custGeom>
            <a:avLst/>
            <a:gdLst>
              <a:gd name="T0" fmla="*/ 1107 w 2010"/>
              <a:gd name="T1" fmla="*/ 1974 h 1993"/>
              <a:gd name="T2" fmla="*/ 1291 w 2010"/>
              <a:gd name="T3" fmla="*/ 1938 h 1993"/>
              <a:gd name="T4" fmla="*/ 1475 w 2010"/>
              <a:gd name="T5" fmla="*/ 1865 h 1993"/>
              <a:gd name="T6" fmla="*/ 1632 w 2010"/>
              <a:gd name="T7" fmla="*/ 1755 h 1993"/>
              <a:gd name="T8" fmla="*/ 1770 w 2010"/>
              <a:gd name="T9" fmla="*/ 1618 h 1993"/>
              <a:gd name="T10" fmla="*/ 1881 w 2010"/>
              <a:gd name="T11" fmla="*/ 1462 h 1993"/>
              <a:gd name="T12" fmla="*/ 1955 w 2010"/>
              <a:gd name="T13" fmla="*/ 1280 h 1993"/>
              <a:gd name="T14" fmla="*/ 2001 w 2010"/>
              <a:gd name="T15" fmla="*/ 1097 h 1993"/>
              <a:gd name="T16" fmla="*/ 2001 w 2010"/>
              <a:gd name="T17" fmla="*/ 887 h 1993"/>
              <a:gd name="T18" fmla="*/ 1955 w 2010"/>
              <a:gd name="T19" fmla="*/ 695 h 1993"/>
              <a:gd name="T20" fmla="*/ 1881 w 2010"/>
              <a:gd name="T21" fmla="*/ 512 h 1993"/>
              <a:gd name="T22" fmla="*/ 1770 w 2010"/>
              <a:gd name="T23" fmla="*/ 356 h 1993"/>
              <a:gd name="T24" fmla="*/ 1632 w 2010"/>
              <a:gd name="T25" fmla="*/ 219 h 1993"/>
              <a:gd name="T26" fmla="*/ 1475 w 2010"/>
              <a:gd name="T27" fmla="*/ 110 h 1993"/>
              <a:gd name="T28" fmla="*/ 1291 w 2010"/>
              <a:gd name="T29" fmla="*/ 46 h 1993"/>
              <a:gd name="T30" fmla="*/ 1107 w 2010"/>
              <a:gd name="T31" fmla="*/ 0 h 1993"/>
              <a:gd name="T32" fmla="*/ 895 w 2010"/>
              <a:gd name="T33" fmla="*/ 0 h 1993"/>
              <a:gd name="T34" fmla="*/ 701 w 2010"/>
              <a:gd name="T35" fmla="*/ 46 h 1993"/>
              <a:gd name="T36" fmla="*/ 517 w 2010"/>
              <a:gd name="T37" fmla="*/ 110 h 1993"/>
              <a:gd name="T38" fmla="*/ 360 w 2010"/>
              <a:gd name="T39" fmla="*/ 219 h 1993"/>
              <a:gd name="T40" fmla="*/ 222 w 2010"/>
              <a:gd name="T41" fmla="*/ 356 h 1993"/>
              <a:gd name="T42" fmla="*/ 111 w 2010"/>
              <a:gd name="T43" fmla="*/ 512 h 1993"/>
              <a:gd name="T44" fmla="*/ 47 w 2010"/>
              <a:gd name="T45" fmla="*/ 695 h 1993"/>
              <a:gd name="T46" fmla="*/ 0 w 2010"/>
              <a:gd name="T47" fmla="*/ 887 h 1993"/>
              <a:gd name="T48" fmla="*/ 0 w 2010"/>
              <a:gd name="T49" fmla="*/ 1097 h 1993"/>
              <a:gd name="T50" fmla="*/ 47 w 2010"/>
              <a:gd name="T51" fmla="*/ 1280 h 1993"/>
              <a:gd name="T52" fmla="*/ 111 w 2010"/>
              <a:gd name="T53" fmla="*/ 1462 h 1993"/>
              <a:gd name="T54" fmla="*/ 222 w 2010"/>
              <a:gd name="T55" fmla="*/ 1618 h 1993"/>
              <a:gd name="T56" fmla="*/ 360 w 2010"/>
              <a:gd name="T57" fmla="*/ 1755 h 1993"/>
              <a:gd name="T58" fmla="*/ 517 w 2010"/>
              <a:gd name="T59" fmla="*/ 1865 h 1993"/>
              <a:gd name="T60" fmla="*/ 701 w 2010"/>
              <a:gd name="T61" fmla="*/ 1938 h 1993"/>
              <a:gd name="T62" fmla="*/ 895 w 2010"/>
              <a:gd name="T63" fmla="*/ 1974 h 1993"/>
              <a:gd name="T64" fmla="*/ 1005 w 2010"/>
              <a:gd name="T65" fmla="*/ 1993 h 19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0" h="1993">
                <a:moveTo>
                  <a:pt x="1005" y="1993"/>
                </a:moveTo>
                <a:lnTo>
                  <a:pt x="1107" y="1974"/>
                </a:lnTo>
                <a:lnTo>
                  <a:pt x="1199" y="1965"/>
                </a:lnTo>
                <a:lnTo>
                  <a:pt x="1291" y="1938"/>
                </a:lnTo>
                <a:lnTo>
                  <a:pt x="1392" y="1910"/>
                </a:lnTo>
                <a:lnTo>
                  <a:pt x="1475" y="1865"/>
                </a:lnTo>
                <a:lnTo>
                  <a:pt x="1558" y="1810"/>
                </a:lnTo>
                <a:lnTo>
                  <a:pt x="1632" y="1755"/>
                </a:lnTo>
                <a:lnTo>
                  <a:pt x="1715" y="1700"/>
                </a:lnTo>
                <a:lnTo>
                  <a:pt x="1770" y="1618"/>
                </a:lnTo>
                <a:lnTo>
                  <a:pt x="1826" y="1545"/>
                </a:lnTo>
                <a:lnTo>
                  <a:pt x="1881" y="1462"/>
                </a:lnTo>
                <a:lnTo>
                  <a:pt x="1927" y="1380"/>
                </a:lnTo>
                <a:lnTo>
                  <a:pt x="1955" y="1280"/>
                </a:lnTo>
                <a:lnTo>
                  <a:pt x="1982" y="1197"/>
                </a:lnTo>
                <a:lnTo>
                  <a:pt x="2001" y="1097"/>
                </a:lnTo>
                <a:lnTo>
                  <a:pt x="2010" y="996"/>
                </a:lnTo>
                <a:lnTo>
                  <a:pt x="2001" y="887"/>
                </a:lnTo>
                <a:lnTo>
                  <a:pt x="1982" y="795"/>
                </a:lnTo>
                <a:lnTo>
                  <a:pt x="1955" y="695"/>
                </a:lnTo>
                <a:lnTo>
                  <a:pt x="1927" y="612"/>
                </a:lnTo>
                <a:lnTo>
                  <a:pt x="1881" y="512"/>
                </a:lnTo>
                <a:lnTo>
                  <a:pt x="1826" y="439"/>
                </a:lnTo>
                <a:lnTo>
                  <a:pt x="1770" y="356"/>
                </a:lnTo>
                <a:lnTo>
                  <a:pt x="1715" y="292"/>
                </a:lnTo>
                <a:lnTo>
                  <a:pt x="1632" y="219"/>
                </a:lnTo>
                <a:lnTo>
                  <a:pt x="1558" y="164"/>
                </a:lnTo>
                <a:lnTo>
                  <a:pt x="1475" y="110"/>
                </a:lnTo>
                <a:lnTo>
                  <a:pt x="1392" y="82"/>
                </a:lnTo>
                <a:lnTo>
                  <a:pt x="1291" y="46"/>
                </a:lnTo>
                <a:lnTo>
                  <a:pt x="1199" y="27"/>
                </a:lnTo>
                <a:lnTo>
                  <a:pt x="1107" y="0"/>
                </a:lnTo>
                <a:lnTo>
                  <a:pt x="1005" y="0"/>
                </a:lnTo>
                <a:lnTo>
                  <a:pt x="895" y="0"/>
                </a:lnTo>
                <a:lnTo>
                  <a:pt x="802" y="27"/>
                </a:lnTo>
                <a:lnTo>
                  <a:pt x="701" y="46"/>
                </a:lnTo>
                <a:lnTo>
                  <a:pt x="609" y="82"/>
                </a:lnTo>
                <a:lnTo>
                  <a:pt x="517" y="110"/>
                </a:lnTo>
                <a:lnTo>
                  <a:pt x="434" y="164"/>
                </a:lnTo>
                <a:lnTo>
                  <a:pt x="360" y="219"/>
                </a:lnTo>
                <a:lnTo>
                  <a:pt x="295" y="292"/>
                </a:lnTo>
                <a:lnTo>
                  <a:pt x="222" y="356"/>
                </a:lnTo>
                <a:lnTo>
                  <a:pt x="166" y="439"/>
                </a:lnTo>
                <a:lnTo>
                  <a:pt x="111" y="512"/>
                </a:lnTo>
                <a:lnTo>
                  <a:pt x="83" y="612"/>
                </a:lnTo>
                <a:lnTo>
                  <a:pt x="47" y="695"/>
                </a:lnTo>
                <a:lnTo>
                  <a:pt x="19" y="795"/>
                </a:lnTo>
                <a:lnTo>
                  <a:pt x="0" y="887"/>
                </a:lnTo>
                <a:lnTo>
                  <a:pt x="0" y="996"/>
                </a:lnTo>
                <a:lnTo>
                  <a:pt x="0" y="1097"/>
                </a:lnTo>
                <a:lnTo>
                  <a:pt x="19" y="1197"/>
                </a:lnTo>
                <a:lnTo>
                  <a:pt x="47" y="1280"/>
                </a:lnTo>
                <a:lnTo>
                  <a:pt x="83" y="1380"/>
                </a:lnTo>
                <a:lnTo>
                  <a:pt x="111" y="1462"/>
                </a:lnTo>
                <a:lnTo>
                  <a:pt x="166" y="1545"/>
                </a:lnTo>
                <a:lnTo>
                  <a:pt x="222" y="1618"/>
                </a:lnTo>
                <a:lnTo>
                  <a:pt x="295" y="1700"/>
                </a:lnTo>
                <a:lnTo>
                  <a:pt x="360" y="1755"/>
                </a:lnTo>
                <a:lnTo>
                  <a:pt x="434" y="1810"/>
                </a:lnTo>
                <a:lnTo>
                  <a:pt x="517" y="1865"/>
                </a:lnTo>
                <a:lnTo>
                  <a:pt x="609" y="1910"/>
                </a:lnTo>
                <a:lnTo>
                  <a:pt x="701" y="1938"/>
                </a:lnTo>
                <a:lnTo>
                  <a:pt x="802" y="1965"/>
                </a:lnTo>
                <a:lnTo>
                  <a:pt x="895" y="1974"/>
                </a:lnTo>
                <a:lnTo>
                  <a:pt x="1005" y="1993"/>
                </a:lnTo>
                <a:close/>
              </a:path>
            </a:pathLst>
          </a:custGeom>
          <a:solidFill>
            <a:srgbClr val="F5FAC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4" name="Freeform 85">
            <a:extLst>
              <a:ext uri="{FF2B5EF4-FFF2-40B4-BE49-F238E27FC236}">
                <a16:creationId xmlns="" xmlns:a16="http://schemas.microsoft.com/office/drawing/2014/main" id="{00000000-0008-0000-0700-000018000000}"/>
              </a:ext>
            </a:extLst>
          </xdr:cNvPr>
          <xdr:cNvSpPr>
            <a:spLocks/>
          </xdr:cNvSpPr>
        </xdr:nvSpPr>
        <xdr:spPr bwMode="auto">
          <a:xfrm>
            <a:off x="524467" y="232758"/>
            <a:ext cx="239303" cy="8744"/>
          </a:xfrm>
          <a:custGeom>
            <a:avLst/>
            <a:gdLst>
              <a:gd name="T0" fmla="*/ 0 w 2987"/>
              <a:gd name="T1" fmla="*/ 110 h 110"/>
              <a:gd name="T2" fmla="*/ 2987 w 2987"/>
              <a:gd name="T3" fmla="*/ 110 h 110"/>
              <a:gd name="T4" fmla="*/ 2987 w 2987"/>
              <a:gd name="T5" fmla="*/ 0 h 110"/>
              <a:gd name="T6" fmla="*/ 0 w 2987"/>
              <a:gd name="T7" fmla="*/ 0 h 110"/>
              <a:gd name="T8" fmla="*/ 0 w 2987"/>
              <a:gd name="T9" fmla="*/ 110 h 110"/>
              <a:gd name="T10" fmla="*/ 0 w 2987"/>
              <a:gd name="T11" fmla="*/ 110 h 1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987" h="110">
                <a:moveTo>
                  <a:pt x="0" y="110"/>
                </a:moveTo>
                <a:lnTo>
                  <a:pt x="2987" y="110"/>
                </a:lnTo>
                <a:lnTo>
                  <a:pt x="2987" y="0"/>
                </a:lnTo>
                <a:lnTo>
                  <a:pt x="0" y="0"/>
                </a:lnTo>
                <a:lnTo>
                  <a:pt x="0" y="11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5" name="Freeform 86">
            <a:extLst>
              <a:ext uri="{FF2B5EF4-FFF2-40B4-BE49-F238E27FC236}">
                <a16:creationId xmlns="" xmlns:a16="http://schemas.microsoft.com/office/drawing/2014/main" id="{00000000-0008-0000-0700-000019000000}"/>
              </a:ext>
            </a:extLst>
          </xdr:cNvPr>
          <xdr:cNvSpPr>
            <a:spLocks/>
          </xdr:cNvSpPr>
        </xdr:nvSpPr>
        <xdr:spPr bwMode="auto">
          <a:xfrm>
            <a:off x="288139" y="167029"/>
            <a:ext cx="111532" cy="111234"/>
          </a:xfrm>
          <a:custGeom>
            <a:avLst/>
            <a:gdLst>
              <a:gd name="T0" fmla="*/ 756 w 1392"/>
              <a:gd name="T1" fmla="*/ 1380 h 1389"/>
              <a:gd name="T2" fmla="*/ 894 w 1392"/>
              <a:gd name="T3" fmla="*/ 1353 h 1389"/>
              <a:gd name="T4" fmla="*/ 1023 w 1392"/>
              <a:gd name="T5" fmla="*/ 1298 h 1389"/>
              <a:gd name="T6" fmla="*/ 1134 w 1392"/>
              <a:gd name="T7" fmla="*/ 1216 h 1389"/>
              <a:gd name="T8" fmla="*/ 1226 w 1392"/>
              <a:gd name="T9" fmla="*/ 1133 h 1389"/>
              <a:gd name="T10" fmla="*/ 1300 w 1392"/>
              <a:gd name="T11" fmla="*/ 1024 h 1389"/>
              <a:gd name="T12" fmla="*/ 1355 w 1392"/>
              <a:gd name="T13" fmla="*/ 896 h 1389"/>
              <a:gd name="T14" fmla="*/ 1383 w 1392"/>
              <a:gd name="T15" fmla="*/ 759 h 1389"/>
              <a:gd name="T16" fmla="*/ 1383 w 1392"/>
              <a:gd name="T17" fmla="*/ 612 h 1389"/>
              <a:gd name="T18" fmla="*/ 1355 w 1392"/>
              <a:gd name="T19" fmla="*/ 475 h 1389"/>
              <a:gd name="T20" fmla="*/ 1300 w 1392"/>
              <a:gd name="T21" fmla="*/ 356 h 1389"/>
              <a:gd name="T22" fmla="*/ 1226 w 1392"/>
              <a:gd name="T23" fmla="*/ 247 h 1389"/>
              <a:gd name="T24" fmla="*/ 1134 w 1392"/>
              <a:gd name="T25" fmla="*/ 155 h 1389"/>
              <a:gd name="T26" fmla="*/ 1023 w 1392"/>
              <a:gd name="T27" fmla="*/ 73 h 1389"/>
              <a:gd name="T28" fmla="*/ 894 w 1392"/>
              <a:gd name="T29" fmla="*/ 27 h 1389"/>
              <a:gd name="T30" fmla="*/ 756 w 1392"/>
              <a:gd name="T31" fmla="*/ 0 h 1389"/>
              <a:gd name="T32" fmla="*/ 618 w 1392"/>
              <a:gd name="T33" fmla="*/ 0 h 1389"/>
              <a:gd name="T34" fmla="*/ 470 w 1392"/>
              <a:gd name="T35" fmla="*/ 27 h 1389"/>
              <a:gd name="T36" fmla="*/ 360 w 1392"/>
              <a:gd name="T37" fmla="*/ 73 h 1389"/>
              <a:gd name="T38" fmla="*/ 240 w 1392"/>
              <a:gd name="T39" fmla="*/ 155 h 1389"/>
              <a:gd name="T40" fmla="*/ 148 w 1392"/>
              <a:gd name="T41" fmla="*/ 247 h 1389"/>
              <a:gd name="T42" fmla="*/ 74 w 1392"/>
              <a:gd name="T43" fmla="*/ 356 h 1389"/>
              <a:gd name="T44" fmla="*/ 28 w 1392"/>
              <a:gd name="T45" fmla="*/ 475 h 1389"/>
              <a:gd name="T46" fmla="*/ 0 w 1392"/>
              <a:gd name="T47" fmla="*/ 612 h 1389"/>
              <a:gd name="T48" fmla="*/ 0 w 1392"/>
              <a:gd name="T49" fmla="*/ 759 h 1389"/>
              <a:gd name="T50" fmla="*/ 28 w 1392"/>
              <a:gd name="T51" fmla="*/ 896 h 1389"/>
              <a:gd name="T52" fmla="*/ 74 w 1392"/>
              <a:gd name="T53" fmla="*/ 1024 h 1389"/>
              <a:gd name="T54" fmla="*/ 148 w 1392"/>
              <a:gd name="T55" fmla="*/ 1133 h 1389"/>
              <a:gd name="T56" fmla="*/ 240 w 1392"/>
              <a:gd name="T57" fmla="*/ 1216 h 1389"/>
              <a:gd name="T58" fmla="*/ 360 w 1392"/>
              <a:gd name="T59" fmla="*/ 1298 h 1389"/>
              <a:gd name="T60" fmla="*/ 470 w 1392"/>
              <a:gd name="T61" fmla="*/ 1353 h 1389"/>
              <a:gd name="T62" fmla="*/ 618 w 1392"/>
              <a:gd name="T63" fmla="*/ 1380 h 1389"/>
              <a:gd name="T64" fmla="*/ 691 w 1392"/>
              <a:gd name="T65" fmla="*/ 1389 h 13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392" h="1389">
                <a:moveTo>
                  <a:pt x="691" y="1389"/>
                </a:moveTo>
                <a:lnTo>
                  <a:pt x="756" y="1380"/>
                </a:lnTo>
                <a:lnTo>
                  <a:pt x="830" y="1371"/>
                </a:lnTo>
                <a:lnTo>
                  <a:pt x="894" y="1353"/>
                </a:lnTo>
                <a:lnTo>
                  <a:pt x="968" y="1325"/>
                </a:lnTo>
                <a:lnTo>
                  <a:pt x="1023" y="1298"/>
                </a:lnTo>
                <a:lnTo>
                  <a:pt x="1079" y="1261"/>
                </a:lnTo>
                <a:lnTo>
                  <a:pt x="1134" y="1216"/>
                </a:lnTo>
                <a:lnTo>
                  <a:pt x="1189" y="1179"/>
                </a:lnTo>
                <a:lnTo>
                  <a:pt x="1226" y="1133"/>
                </a:lnTo>
                <a:lnTo>
                  <a:pt x="1272" y="1079"/>
                </a:lnTo>
                <a:lnTo>
                  <a:pt x="1300" y="1024"/>
                </a:lnTo>
                <a:lnTo>
                  <a:pt x="1337" y="960"/>
                </a:lnTo>
                <a:lnTo>
                  <a:pt x="1355" y="896"/>
                </a:lnTo>
                <a:lnTo>
                  <a:pt x="1374" y="832"/>
                </a:lnTo>
                <a:lnTo>
                  <a:pt x="1383" y="759"/>
                </a:lnTo>
                <a:lnTo>
                  <a:pt x="1392" y="695"/>
                </a:lnTo>
                <a:lnTo>
                  <a:pt x="1383" y="612"/>
                </a:lnTo>
                <a:lnTo>
                  <a:pt x="1374" y="548"/>
                </a:lnTo>
                <a:lnTo>
                  <a:pt x="1355" y="475"/>
                </a:lnTo>
                <a:lnTo>
                  <a:pt x="1337" y="420"/>
                </a:lnTo>
                <a:lnTo>
                  <a:pt x="1300" y="356"/>
                </a:lnTo>
                <a:lnTo>
                  <a:pt x="1272" y="302"/>
                </a:lnTo>
                <a:lnTo>
                  <a:pt x="1226" y="247"/>
                </a:lnTo>
                <a:lnTo>
                  <a:pt x="1189" y="201"/>
                </a:lnTo>
                <a:lnTo>
                  <a:pt x="1134" y="155"/>
                </a:lnTo>
                <a:lnTo>
                  <a:pt x="1079" y="110"/>
                </a:lnTo>
                <a:lnTo>
                  <a:pt x="1023" y="73"/>
                </a:lnTo>
                <a:lnTo>
                  <a:pt x="968" y="55"/>
                </a:lnTo>
                <a:lnTo>
                  <a:pt x="894" y="27"/>
                </a:lnTo>
                <a:lnTo>
                  <a:pt x="830" y="18"/>
                </a:lnTo>
                <a:lnTo>
                  <a:pt x="756" y="0"/>
                </a:lnTo>
                <a:lnTo>
                  <a:pt x="691" y="0"/>
                </a:lnTo>
                <a:lnTo>
                  <a:pt x="618" y="0"/>
                </a:lnTo>
                <a:lnTo>
                  <a:pt x="544" y="18"/>
                </a:lnTo>
                <a:lnTo>
                  <a:pt x="470" y="27"/>
                </a:lnTo>
                <a:lnTo>
                  <a:pt x="415" y="55"/>
                </a:lnTo>
                <a:lnTo>
                  <a:pt x="360" y="73"/>
                </a:lnTo>
                <a:lnTo>
                  <a:pt x="295" y="110"/>
                </a:lnTo>
                <a:lnTo>
                  <a:pt x="240" y="155"/>
                </a:lnTo>
                <a:lnTo>
                  <a:pt x="203" y="201"/>
                </a:lnTo>
                <a:lnTo>
                  <a:pt x="148" y="247"/>
                </a:lnTo>
                <a:lnTo>
                  <a:pt x="111" y="302"/>
                </a:lnTo>
                <a:lnTo>
                  <a:pt x="74" y="356"/>
                </a:lnTo>
                <a:lnTo>
                  <a:pt x="55" y="420"/>
                </a:lnTo>
                <a:lnTo>
                  <a:pt x="28" y="475"/>
                </a:lnTo>
                <a:lnTo>
                  <a:pt x="9" y="548"/>
                </a:lnTo>
                <a:lnTo>
                  <a:pt x="0" y="612"/>
                </a:lnTo>
                <a:lnTo>
                  <a:pt x="0" y="695"/>
                </a:lnTo>
                <a:lnTo>
                  <a:pt x="0" y="759"/>
                </a:lnTo>
                <a:lnTo>
                  <a:pt x="9" y="832"/>
                </a:lnTo>
                <a:lnTo>
                  <a:pt x="28" y="896"/>
                </a:lnTo>
                <a:lnTo>
                  <a:pt x="55" y="960"/>
                </a:lnTo>
                <a:lnTo>
                  <a:pt x="74" y="1024"/>
                </a:lnTo>
                <a:lnTo>
                  <a:pt x="111" y="1079"/>
                </a:lnTo>
                <a:lnTo>
                  <a:pt x="148" y="1133"/>
                </a:lnTo>
                <a:lnTo>
                  <a:pt x="203" y="1179"/>
                </a:lnTo>
                <a:lnTo>
                  <a:pt x="240" y="1216"/>
                </a:lnTo>
                <a:lnTo>
                  <a:pt x="295" y="1261"/>
                </a:lnTo>
                <a:lnTo>
                  <a:pt x="360" y="1298"/>
                </a:lnTo>
                <a:lnTo>
                  <a:pt x="415" y="1325"/>
                </a:lnTo>
                <a:lnTo>
                  <a:pt x="470" y="1353"/>
                </a:lnTo>
                <a:lnTo>
                  <a:pt x="544" y="1371"/>
                </a:lnTo>
                <a:lnTo>
                  <a:pt x="618" y="1380"/>
                </a:lnTo>
                <a:lnTo>
                  <a:pt x="691" y="1389"/>
                </a:lnTo>
                <a:close/>
              </a:path>
            </a:pathLst>
          </a:custGeom>
          <a:solidFill>
            <a:srgbClr val="FAFAC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6" name="Freeform 87">
            <a:extLst>
              <a:ext uri="{FF2B5EF4-FFF2-40B4-BE49-F238E27FC236}">
                <a16:creationId xmlns="" xmlns:a16="http://schemas.microsoft.com/office/drawing/2014/main" id="{00000000-0008-0000-0700-00001A000000}"/>
              </a:ext>
            </a:extLst>
          </xdr:cNvPr>
          <xdr:cNvSpPr>
            <a:spLocks/>
          </xdr:cNvSpPr>
        </xdr:nvSpPr>
        <xdr:spPr bwMode="auto">
          <a:xfrm>
            <a:off x="535472" y="252507"/>
            <a:ext cx="228298" cy="7911"/>
          </a:xfrm>
          <a:custGeom>
            <a:avLst/>
            <a:gdLst>
              <a:gd name="T0" fmla="*/ 0 w 2849"/>
              <a:gd name="T1" fmla="*/ 100 h 100"/>
              <a:gd name="T2" fmla="*/ 2849 w 2849"/>
              <a:gd name="T3" fmla="*/ 100 h 100"/>
              <a:gd name="T4" fmla="*/ 2849 w 2849"/>
              <a:gd name="T5" fmla="*/ 0 h 100"/>
              <a:gd name="T6" fmla="*/ 0 w 2849"/>
              <a:gd name="T7" fmla="*/ 0 h 100"/>
              <a:gd name="T8" fmla="*/ 0 w 2849"/>
              <a:gd name="T9" fmla="*/ 100 h 100"/>
              <a:gd name="T10" fmla="*/ 0 w 2849"/>
              <a:gd name="T11" fmla="*/ 100 h 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2849" h="100">
                <a:moveTo>
                  <a:pt x="0" y="100"/>
                </a:moveTo>
                <a:lnTo>
                  <a:pt x="2849" y="100"/>
                </a:lnTo>
                <a:lnTo>
                  <a:pt x="2849" y="0"/>
                </a:lnTo>
                <a:lnTo>
                  <a:pt x="0" y="0"/>
                </a:lnTo>
                <a:lnTo>
                  <a:pt x="0" y="100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7" name="Freeform 88">
            <a:extLst>
              <a:ext uri="{FF2B5EF4-FFF2-40B4-BE49-F238E27FC236}">
                <a16:creationId xmlns="" xmlns:a16="http://schemas.microsoft.com/office/drawing/2014/main" id="{00000000-0008-0000-0700-00001B000000}"/>
              </a:ext>
            </a:extLst>
          </xdr:cNvPr>
          <xdr:cNvSpPr>
            <a:spLocks/>
          </xdr:cNvSpPr>
        </xdr:nvSpPr>
        <xdr:spPr bwMode="auto">
          <a:xfrm>
            <a:off x="244894" y="167029"/>
            <a:ext cx="199389" cy="265653"/>
          </a:xfrm>
          <a:custGeom>
            <a:avLst/>
            <a:gdLst>
              <a:gd name="T0" fmla="*/ 2046 w 2488"/>
              <a:gd name="T1" fmla="*/ 2842 h 3318"/>
              <a:gd name="T2" fmla="*/ 2138 w 2488"/>
              <a:gd name="T3" fmla="*/ 2733 h 3318"/>
              <a:gd name="T4" fmla="*/ 2193 w 2488"/>
              <a:gd name="T5" fmla="*/ 2678 h 3318"/>
              <a:gd name="T6" fmla="*/ 2488 w 2488"/>
              <a:gd name="T7" fmla="*/ 2312 h 3318"/>
              <a:gd name="T8" fmla="*/ 1576 w 2488"/>
              <a:gd name="T9" fmla="*/ 1873 h 3318"/>
              <a:gd name="T10" fmla="*/ 1152 w 2488"/>
              <a:gd name="T11" fmla="*/ 2047 h 3318"/>
              <a:gd name="T12" fmla="*/ 940 w 2488"/>
              <a:gd name="T13" fmla="*/ 1718 h 3318"/>
              <a:gd name="T14" fmla="*/ 617 w 2488"/>
              <a:gd name="T15" fmla="*/ 1718 h 3318"/>
              <a:gd name="T16" fmla="*/ 1336 w 2488"/>
              <a:gd name="T17" fmla="*/ 1764 h 3318"/>
              <a:gd name="T18" fmla="*/ 1419 w 2488"/>
              <a:gd name="T19" fmla="*/ 1425 h 3318"/>
              <a:gd name="T20" fmla="*/ 1447 w 2488"/>
              <a:gd name="T21" fmla="*/ 968 h 3318"/>
              <a:gd name="T22" fmla="*/ 1742 w 2488"/>
              <a:gd name="T23" fmla="*/ 685 h 3318"/>
              <a:gd name="T24" fmla="*/ 1779 w 2488"/>
              <a:gd name="T25" fmla="*/ 292 h 3318"/>
              <a:gd name="T26" fmla="*/ 1309 w 2488"/>
              <a:gd name="T27" fmla="*/ 466 h 3318"/>
              <a:gd name="T28" fmla="*/ 1170 w 2488"/>
              <a:gd name="T29" fmla="*/ 685 h 3318"/>
              <a:gd name="T30" fmla="*/ 1133 w 2488"/>
              <a:gd name="T31" fmla="*/ 338 h 3318"/>
              <a:gd name="T32" fmla="*/ 931 w 2488"/>
              <a:gd name="T33" fmla="*/ 173 h 3318"/>
              <a:gd name="T34" fmla="*/ 1336 w 2488"/>
              <a:gd name="T35" fmla="*/ 173 h 3318"/>
              <a:gd name="T36" fmla="*/ 1115 w 2488"/>
              <a:gd name="T37" fmla="*/ 63 h 3318"/>
              <a:gd name="T38" fmla="*/ 700 w 2488"/>
              <a:gd name="T39" fmla="*/ 109 h 3318"/>
              <a:gd name="T40" fmla="*/ 350 w 2488"/>
              <a:gd name="T41" fmla="*/ 210 h 3318"/>
              <a:gd name="T42" fmla="*/ 230 w 2488"/>
              <a:gd name="T43" fmla="*/ 338 h 3318"/>
              <a:gd name="T44" fmla="*/ 110 w 2488"/>
              <a:gd name="T45" fmla="*/ 511 h 3318"/>
              <a:gd name="T46" fmla="*/ 64 w 2488"/>
              <a:gd name="T47" fmla="*/ 612 h 3318"/>
              <a:gd name="T48" fmla="*/ 46 w 2488"/>
              <a:gd name="T49" fmla="*/ 722 h 3318"/>
              <a:gd name="T50" fmla="*/ 92 w 2488"/>
              <a:gd name="T51" fmla="*/ 886 h 3318"/>
              <a:gd name="T52" fmla="*/ 119 w 2488"/>
              <a:gd name="T53" fmla="*/ 987 h 3318"/>
              <a:gd name="T54" fmla="*/ 18 w 2488"/>
              <a:gd name="T55" fmla="*/ 1206 h 3318"/>
              <a:gd name="T56" fmla="*/ 27 w 2488"/>
              <a:gd name="T57" fmla="*/ 1307 h 3318"/>
              <a:gd name="T58" fmla="*/ 110 w 2488"/>
              <a:gd name="T59" fmla="*/ 1416 h 3318"/>
              <a:gd name="T60" fmla="*/ 175 w 2488"/>
              <a:gd name="T61" fmla="*/ 1526 h 3318"/>
              <a:gd name="T62" fmla="*/ 239 w 2488"/>
              <a:gd name="T63" fmla="*/ 1636 h 3318"/>
              <a:gd name="T64" fmla="*/ 322 w 2488"/>
              <a:gd name="T65" fmla="*/ 1672 h 3318"/>
              <a:gd name="T66" fmla="*/ 442 w 2488"/>
              <a:gd name="T67" fmla="*/ 1709 h 3318"/>
              <a:gd name="T68" fmla="*/ 1087 w 2488"/>
              <a:gd name="T69" fmla="*/ 2047 h 3318"/>
              <a:gd name="T70" fmla="*/ 1179 w 2488"/>
              <a:gd name="T71" fmla="*/ 2221 h 3318"/>
              <a:gd name="T72" fmla="*/ 1281 w 2488"/>
              <a:gd name="T73" fmla="*/ 2449 h 3318"/>
              <a:gd name="T74" fmla="*/ 1364 w 2488"/>
              <a:gd name="T75" fmla="*/ 2513 h 3318"/>
              <a:gd name="T76" fmla="*/ 1465 w 2488"/>
              <a:gd name="T77" fmla="*/ 2531 h 3318"/>
              <a:gd name="T78" fmla="*/ 1567 w 2488"/>
              <a:gd name="T79" fmla="*/ 2605 h 3318"/>
              <a:gd name="T80" fmla="*/ 1484 w 2488"/>
              <a:gd name="T81" fmla="*/ 2769 h 3318"/>
              <a:gd name="T82" fmla="*/ 1484 w 2488"/>
              <a:gd name="T83" fmla="*/ 2861 h 3318"/>
              <a:gd name="T84" fmla="*/ 1493 w 2488"/>
              <a:gd name="T85" fmla="*/ 2961 h 3318"/>
              <a:gd name="T86" fmla="*/ 1521 w 2488"/>
              <a:gd name="T87" fmla="*/ 3043 h 3318"/>
              <a:gd name="T88" fmla="*/ 1521 w 2488"/>
              <a:gd name="T89" fmla="*/ 3180 h 3318"/>
              <a:gd name="T90" fmla="*/ 1521 w 2488"/>
              <a:gd name="T91" fmla="*/ 3281 h 3318"/>
              <a:gd name="T92" fmla="*/ 1557 w 2488"/>
              <a:gd name="T93" fmla="*/ 3308 h 3318"/>
              <a:gd name="T94" fmla="*/ 1668 w 2488"/>
              <a:gd name="T95" fmla="*/ 3263 h 3318"/>
              <a:gd name="T96" fmla="*/ 1760 w 2488"/>
              <a:gd name="T97" fmla="*/ 3180 h 3318"/>
              <a:gd name="T98" fmla="*/ 1871 w 2488"/>
              <a:gd name="T99" fmla="*/ 3089 h 3318"/>
              <a:gd name="T100" fmla="*/ 1981 w 2488"/>
              <a:gd name="T101" fmla="*/ 2952 h 33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2488" h="3318">
                <a:moveTo>
                  <a:pt x="2009" y="2897"/>
                </a:moveTo>
                <a:lnTo>
                  <a:pt x="2018" y="2870"/>
                </a:lnTo>
                <a:lnTo>
                  <a:pt x="2046" y="2842"/>
                </a:lnTo>
                <a:lnTo>
                  <a:pt x="2074" y="2806"/>
                </a:lnTo>
                <a:lnTo>
                  <a:pt x="2110" y="2769"/>
                </a:lnTo>
                <a:lnTo>
                  <a:pt x="2138" y="2733"/>
                </a:lnTo>
                <a:lnTo>
                  <a:pt x="2157" y="2705"/>
                </a:lnTo>
                <a:lnTo>
                  <a:pt x="2175" y="2678"/>
                </a:lnTo>
                <a:lnTo>
                  <a:pt x="2193" y="2678"/>
                </a:lnTo>
                <a:lnTo>
                  <a:pt x="2258" y="2504"/>
                </a:lnTo>
                <a:lnTo>
                  <a:pt x="2424" y="2404"/>
                </a:lnTo>
                <a:lnTo>
                  <a:pt x="2488" y="2312"/>
                </a:lnTo>
                <a:lnTo>
                  <a:pt x="2313" y="2230"/>
                </a:lnTo>
                <a:lnTo>
                  <a:pt x="2000" y="1956"/>
                </a:lnTo>
                <a:lnTo>
                  <a:pt x="1576" y="1873"/>
                </a:lnTo>
                <a:lnTo>
                  <a:pt x="1336" y="1992"/>
                </a:lnTo>
                <a:lnTo>
                  <a:pt x="1281" y="2111"/>
                </a:lnTo>
                <a:lnTo>
                  <a:pt x="1152" y="2047"/>
                </a:lnTo>
                <a:lnTo>
                  <a:pt x="1032" y="1974"/>
                </a:lnTo>
                <a:lnTo>
                  <a:pt x="1004" y="1764"/>
                </a:lnTo>
                <a:lnTo>
                  <a:pt x="940" y="1718"/>
                </a:lnTo>
                <a:lnTo>
                  <a:pt x="875" y="1773"/>
                </a:lnTo>
                <a:lnTo>
                  <a:pt x="746" y="1819"/>
                </a:lnTo>
                <a:lnTo>
                  <a:pt x="617" y="1718"/>
                </a:lnTo>
                <a:lnTo>
                  <a:pt x="765" y="1489"/>
                </a:lnTo>
                <a:lnTo>
                  <a:pt x="1179" y="1599"/>
                </a:lnTo>
                <a:lnTo>
                  <a:pt x="1336" y="1764"/>
                </a:lnTo>
                <a:lnTo>
                  <a:pt x="1392" y="1745"/>
                </a:lnTo>
                <a:lnTo>
                  <a:pt x="1272" y="1553"/>
                </a:lnTo>
                <a:lnTo>
                  <a:pt x="1419" y="1425"/>
                </a:lnTo>
                <a:lnTo>
                  <a:pt x="1392" y="1224"/>
                </a:lnTo>
                <a:lnTo>
                  <a:pt x="1309" y="1060"/>
                </a:lnTo>
                <a:lnTo>
                  <a:pt x="1447" y="968"/>
                </a:lnTo>
                <a:lnTo>
                  <a:pt x="1631" y="895"/>
                </a:lnTo>
                <a:lnTo>
                  <a:pt x="1585" y="776"/>
                </a:lnTo>
                <a:lnTo>
                  <a:pt x="1742" y="685"/>
                </a:lnTo>
                <a:lnTo>
                  <a:pt x="1945" y="630"/>
                </a:lnTo>
                <a:lnTo>
                  <a:pt x="1917" y="521"/>
                </a:lnTo>
                <a:lnTo>
                  <a:pt x="1779" y="292"/>
                </a:lnTo>
                <a:lnTo>
                  <a:pt x="1576" y="356"/>
                </a:lnTo>
                <a:lnTo>
                  <a:pt x="1373" y="402"/>
                </a:lnTo>
                <a:lnTo>
                  <a:pt x="1309" y="466"/>
                </a:lnTo>
                <a:lnTo>
                  <a:pt x="1392" y="722"/>
                </a:lnTo>
                <a:lnTo>
                  <a:pt x="1299" y="722"/>
                </a:lnTo>
                <a:lnTo>
                  <a:pt x="1170" y="685"/>
                </a:lnTo>
                <a:lnTo>
                  <a:pt x="1004" y="621"/>
                </a:lnTo>
                <a:lnTo>
                  <a:pt x="977" y="420"/>
                </a:lnTo>
                <a:lnTo>
                  <a:pt x="1133" y="338"/>
                </a:lnTo>
                <a:lnTo>
                  <a:pt x="1060" y="292"/>
                </a:lnTo>
                <a:lnTo>
                  <a:pt x="1041" y="210"/>
                </a:lnTo>
                <a:lnTo>
                  <a:pt x="931" y="173"/>
                </a:lnTo>
                <a:lnTo>
                  <a:pt x="958" y="100"/>
                </a:lnTo>
                <a:lnTo>
                  <a:pt x="1133" y="137"/>
                </a:lnTo>
                <a:lnTo>
                  <a:pt x="1336" y="173"/>
                </a:lnTo>
                <a:lnTo>
                  <a:pt x="1419" y="109"/>
                </a:lnTo>
                <a:lnTo>
                  <a:pt x="1244" y="36"/>
                </a:lnTo>
                <a:lnTo>
                  <a:pt x="1115" y="63"/>
                </a:lnTo>
                <a:lnTo>
                  <a:pt x="1041" y="0"/>
                </a:lnTo>
                <a:lnTo>
                  <a:pt x="811" y="27"/>
                </a:lnTo>
                <a:lnTo>
                  <a:pt x="700" y="109"/>
                </a:lnTo>
                <a:lnTo>
                  <a:pt x="516" y="118"/>
                </a:lnTo>
                <a:lnTo>
                  <a:pt x="405" y="201"/>
                </a:lnTo>
                <a:lnTo>
                  <a:pt x="350" y="210"/>
                </a:lnTo>
                <a:lnTo>
                  <a:pt x="304" y="246"/>
                </a:lnTo>
                <a:lnTo>
                  <a:pt x="267" y="292"/>
                </a:lnTo>
                <a:lnTo>
                  <a:pt x="230" y="338"/>
                </a:lnTo>
                <a:lnTo>
                  <a:pt x="193" y="393"/>
                </a:lnTo>
                <a:lnTo>
                  <a:pt x="156" y="447"/>
                </a:lnTo>
                <a:lnTo>
                  <a:pt x="110" y="511"/>
                </a:lnTo>
                <a:lnTo>
                  <a:pt x="92" y="539"/>
                </a:lnTo>
                <a:lnTo>
                  <a:pt x="73" y="575"/>
                </a:lnTo>
                <a:lnTo>
                  <a:pt x="64" y="612"/>
                </a:lnTo>
                <a:lnTo>
                  <a:pt x="46" y="658"/>
                </a:lnTo>
                <a:lnTo>
                  <a:pt x="46" y="676"/>
                </a:lnTo>
                <a:lnTo>
                  <a:pt x="46" y="722"/>
                </a:lnTo>
                <a:lnTo>
                  <a:pt x="55" y="767"/>
                </a:lnTo>
                <a:lnTo>
                  <a:pt x="73" y="831"/>
                </a:lnTo>
                <a:lnTo>
                  <a:pt x="92" y="886"/>
                </a:lnTo>
                <a:lnTo>
                  <a:pt x="101" y="941"/>
                </a:lnTo>
                <a:lnTo>
                  <a:pt x="110" y="968"/>
                </a:lnTo>
                <a:lnTo>
                  <a:pt x="119" y="987"/>
                </a:lnTo>
                <a:lnTo>
                  <a:pt x="46" y="1142"/>
                </a:lnTo>
                <a:lnTo>
                  <a:pt x="27" y="1151"/>
                </a:lnTo>
                <a:lnTo>
                  <a:pt x="18" y="1206"/>
                </a:lnTo>
                <a:lnTo>
                  <a:pt x="0" y="1243"/>
                </a:lnTo>
                <a:lnTo>
                  <a:pt x="18" y="1288"/>
                </a:lnTo>
                <a:lnTo>
                  <a:pt x="27" y="1307"/>
                </a:lnTo>
                <a:lnTo>
                  <a:pt x="64" y="1352"/>
                </a:lnTo>
                <a:lnTo>
                  <a:pt x="92" y="1380"/>
                </a:lnTo>
                <a:lnTo>
                  <a:pt x="110" y="1416"/>
                </a:lnTo>
                <a:lnTo>
                  <a:pt x="129" y="1462"/>
                </a:lnTo>
                <a:lnTo>
                  <a:pt x="156" y="1499"/>
                </a:lnTo>
                <a:lnTo>
                  <a:pt x="175" y="1526"/>
                </a:lnTo>
                <a:lnTo>
                  <a:pt x="202" y="1572"/>
                </a:lnTo>
                <a:lnTo>
                  <a:pt x="221" y="1599"/>
                </a:lnTo>
                <a:lnTo>
                  <a:pt x="239" y="1636"/>
                </a:lnTo>
                <a:lnTo>
                  <a:pt x="267" y="1681"/>
                </a:lnTo>
                <a:lnTo>
                  <a:pt x="285" y="1700"/>
                </a:lnTo>
                <a:lnTo>
                  <a:pt x="322" y="1672"/>
                </a:lnTo>
                <a:lnTo>
                  <a:pt x="175" y="1471"/>
                </a:lnTo>
                <a:lnTo>
                  <a:pt x="285" y="1517"/>
                </a:lnTo>
                <a:lnTo>
                  <a:pt x="442" y="1709"/>
                </a:lnTo>
                <a:lnTo>
                  <a:pt x="525" y="1855"/>
                </a:lnTo>
                <a:lnTo>
                  <a:pt x="811" y="1937"/>
                </a:lnTo>
                <a:lnTo>
                  <a:pt x="1087" y="2047"/>
                </a:lnTo>
                <a:lnTo>
                  <a:pt x="1143" y="2102"/>
                </a:lnTo>
                <a:lnTo>
                  <a:pt x="1244" y="2184"/>
                </a:lnTo>
                <a:lnTo>
                  <a:pt x="1179" y="2221"/>
                </a:lnTo>
                <a:lnTo>
                  <a:pt x="1143" y="2321"/>
                </a:lnTo>
                <a:lnTo>
                  <a:pt x="1290" y="2440"/>
                </a:lnTo>
                <a:lnTo>
                  <a:pt x="1281" y="2449"/>
                </a:lnTo>
                <a:lnTo>
                  <a:pt x="1299" y="2486"/>
                </a:lnTo>
                <a:lnTo>
                  <a:pt x="1318" y="2495"/>
                </a:lnTo>
                <a:lnTo>
                  <a:pt x="1364" y="2513"/>
                </a:lnTo>
                <a:lnTo>
                  <a:pt x="1392" y="2522"/>
                </a:lnTo>
                <a:lnTo>
                  <a:pt x="1428" y="2531"/>
                </a:lnTo>
                <a:lnTo>
                  <a:pt x="1465" y="2531"/>
                </a:lnTo>
                <a:lnTo>
                  <a:pt x="1521" y="2550"/>
                </a:lnTo>
                <a:lnTo>
                  <a:pt x="1548" y="2559"/>
                </a:lnTo>
                <a:lnTo>
                  <a:pt x="1567" y="2605"/>
                </a:lnTo>
                <a:lnTo>
                  <a:pt x="1548" y="2659"/>
                </a:lnTo>
                <a:lnTo>
                  <a:pt x="1521" y="2723"/>
                </a:lnTo>
                <a:lnTo>
                  <a:pt x="1484" y="2769"/>
                </a:lnTo>
                <a:lnTo>
                  <a:pt x="1465" y="2833"/>
                </a:lnTo>
                <a:lnTo>
                  <a:pt x="1456" y="2851"/>
                </a:lnTo>
                <a:lnTo>
                  <a:pt x="1484" y="2861"/>
                </a:lnTo>
                <a:lnTo>
                  <a:pt x="1484" y="2897"/>
                </a:lnTo>
                <a:lnTo>
                  <a:pt x="1493" y="2934"/>
                </a:lnTo>
                <a:lnTo>
                  <a:pt x="1493" y="2961"/>
                </a:lnTo>
                <a:lnTo>
                  <a:pt x="1502" y="2989"/>
                </a:lnTo>
                <a:lnTo>
                  <a:pt x="1511" y="3007"/>
                </a:lnTo>
                <a:lnTo>
                  <a:pt x="1521" y="3043"/>
                </a:lnTo>
                <a:lnTo>
                  <a:pt x="1530" y="3080"/>
                </a:lnTo>
                <a:lnTo>
                  <a:pt x="1530" y="3126"/>
                </a:lnTo>
                <a:lnTo>
                  <a:pt x="1521" y="3180"/>
                </a:lnTo>
                <a:lnTo>
                  <a:pt x="1521" y="3217"/>
                </a:lnTo>
                <a:lnTo>
                  <a:pt x="1511" y="3254"/>
                </a:lnTo>
                <a:lnTo>
                  <a:pt x="1521" y="3281"/>
                </a:lnTo>
                <a:lnTo>
                  <a:pt x="1521" y="3290"/>
                </a:lnTo>
                <a:lnTo>
                  <a:pt x="1539" y="3308"/>
                </a:lnTo>
                <a:lnTo>
                  <a:pt x="1557" y="3308"/>
                </a:lnTo>
                <a:lnTo>
                  <a:pt x="1594" y="3318"/>
                </a:lnTo>
                <a:lnTo>
                  <a:pt x="1613" y="3299"/>
                </a:lnTo>
                <a:lnTo>
                  <a:pt x="1668" y="3263"/>
                </a:lnTo>
                <a:lnTo>
                  <a:pt x="1696" y="3244"/>
                </a:lnTo>
                <a:lnTo>
                  <a:pt x="1723" y="3217"/>
                </a:lnTo>
                <a:lnTo>
                  <a:pt x="1760" y="3180"/>
                </a:lnTo>
                <a:lnTo>
                  <a:pt x="1806" y="3153"/>
                </a:lnTo>
                <a:lnTo>
                  <a:pt x="1834" y="3116"/>
                </a:lnTo>
                <a:lnTo>
                  <a:pt x="1871" y="3089"/>
                </a:lnTo>
                <a:lnTo>
                  <a:pt x="1898" y="3043"/>
                </a:lnTo>
                <a:lnTo>
                  <a:pt x="1926" y="3016"/>
                </a:lnTo>
                <a:lnTo>
                  <a:pt x="1981" y="2952"/>
                </a:lnTo>
                <a:lnTo>
                  <a:pt x="2009" y="2897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8" name="Freeform 89">
            <a:extLst>
              <a:ext uri="{FF2B5EF4-FFF2-40B4-BE49-F238E27FC236}">
                <a16:creationId xmlns="" xmlns:a16="http://schemas.microsoft.com/office/drawing/2014/main" id="{00000000-0008-0000-0700-00001C000000}"/>
              </a:ext>
            </a:extLst>
          </xdr:cNvPr>
          <xdr:cNvSpPr>
            <a:spLocks/>
          </xdr:cNvSpPr>
        </xdr:nvSpPr>
        <xdr:spPr bwMode="auto">
          <a:xfrm>
            <a:off x="472716" y="191001"/>
            <a:ext cx="65729" cy="133064"/>
          </a:xfrm>
          <a:custGeom>
            <a:avLst/>
            <a:gdLst>
              <a:gd name="T0" fmla="*/ 239 w 820"/>
              <a:gd name="T1" fmla="*/ 210 h 1663"/>
              <a:gd name="T2" fmla="*/ 166 w 820"/>
              <a:gd name="T3" fmla="*/ 375 h 1663"/>
              <a:gd name="T4" fmla="*/ 64 w 820"/>
              <a:gd name="T5" fmla="*/ 439 h 1663"/>
              <a:gd name="T6" fmla="*/ 0 w 820"/>
              <a:gd name="T7" fmla="*/ 713 h 1663"/>
              <a:gd name="T8" fmla="*/ 83 w 820"/>
              <a:gd name="T9" fmla="*/ 813 h 1663"/>
              <a:gd name="T10" fmla="*/ 184 w 820"/>
              <a:gd name="T11" fmla="*/ 859 h 1663"/>
              <a:gd name="T12" fmla="*/ 378 w 820"/>
              <a:gd name="T13" fmla="*/ 969 h 1663"/>
              <a:gd name="T14" fmla="*/ 534 w 820"/>
              <a:gd name="T15" fmla="*/ 923 h 1663"/>
              <a:gd name="T16" fmla="*/ 608 w 820"/>
              <a:gd name="T17" fmla="*/ 950 h 1663"/>
              <a:gd name="T18" fmla="*/ 645 w 820"/>
              <a:gd name="T19" fmla="*/ 1042 h 1663"/>
              <a:gd name="T20" fmla="*/ 691 w 820"/>
              <a:gd name="T21" fmla="*/ 1142 h 1663"/>
              <a:gd name="T22" fmla="*/ 710 w 820"/>
              <a:gd name="T23" fmla="*/ 1261 h 1663"/>
              <a:gd name="T24" fmla="*/ 728 w 820"/>
              <a:gd name="T25" fmla="*/ 1663 h 1663"/>
              <a:gd name="T26" fmla="*/ 756 w 820"/>
              <a:gd name="T27" fmla="*/ 1572 h 1663"/>
              <a:gd name="T28" fmla="*/ 774 w 820"/>
              <a:gd name="T29" fmla="*/ 1481 h 1663"/>
              <a:gd name="T30" fmla="*/ 793 w 820"/>
              <a:gd name="T31" fmla="*/ 1389 h 1663"/>
              <a:gd name="T32" fmla="*/ 811 w 820"/>
              <a:gd name="T33" fmla="*/ 1289 h 1663"/>
              <a:gd name="T34" fmla="*/ 820 w 820"/>
              <a:gd name="T35" fmla="*/ 1179 h 1663"/>
              <a:gd name="T36" fmla="*/ 820 w 820"/>
              <a:gd name="T37" fmla="*/ 1078 h 1663"/>
              <a:gd name="T38" fmla="*/ 820 w 820"/>
              <a:gd name="T39" fmla="*/ 969 h 1663"/>
              <a:gd name="T40" fmla="*/ 820 w 820"/>
              <a:gd name="T41" fmla="*/ 859 h 1663"/>
              <a:gd name="T42" fmla="*/ 802 w 820"/>
              <a:gd name="T43" fmla="*/ 749 h 1663"/>
              <a:gd name="T44" fmla="*/ 774 w 820"/>
              <a:gd name="T45" fmla="*/ 640 h 1663"/>
              <a:gd name="T46" fmla="*/ 756 w 820"/>
              <a:gd name="T47" fmla="*/ 521 h 1663"/>
              <a:gd name="T48" fmla="*/ 719 w 820"/>
              <a:gd name="T49" fmla="*/ 420 h 1663"/>
              <a:gd name="T50" fmla="*/ 673 w 820"/>
              <a:gd name="T51" fmla="*/ 311 h 1663"/>
              <a:gd name="T52" fmla="*/ 627 w 820"/>
              <a:gd name="T53" fmla="*/ 219 h 1663"/>
              <a:gd name="T54" fmla="*/ 562 w 820"/>
              <a:gd name="T55" fmla="*/ 119 h 1663"/>
              <a:gd name="T56" fmla="*/ 507 w 820"/>
              <a:gd name="T57" fmla="*/ 36 h 1663"/>
              <a:gd name="T58" fmla="*/ 286 w 820"/>
              <a:gd name="T59" fmla="*/ 0 h 1663"/>
              <a:gd name="T60" fmla="*/ 212 w 820"/>
              <a:gd name="T61" fmla="*/ 128 h 1663"/>
              <a:gd name="T62" fmla="*/ 239 w 820"/>
              <a:gd name="T63" fmla="*/ 210 h 1663"/>
              <a:gd name="T64" fmla="*/ 239 w 820"/>
              <a:gd name="T65" fmla="*/ 210 h 16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820" h="1663">
                <a:moveTo>
                  <a:pt x="239" y="210"/>
                </a:moveTo>
                <a:lnTo>
                  <a:pt x="166" y="375"/>
                </a:lnTo>
                <a:lnTo>
                  <a:pt x="64" y="439"/>
                </a:lnTo>
                <a:lnTo>
                  <a:pt x="0" y="713"/>
                </a:lnTo>
                <a:lnTo>
                  <a:pt x="83" y="813"/>
                </a:lnTo>
                <a:lnTo>
                  <a:pt x="184" y="859"/>
                </a:lnTo>
                <a:lnTo>
                  <a:pt x="378" y="969"/>
                </a:lnTo>
                <a:lnTo>
                  <a:pt x="534" y="923"/>
                </a:lnTo>
                <a:lnTo>
                  <a:pt x="608" y="950"/>
                </a:lnTo>
                <a:lnTo>
                  <a:pt x="645" y="1042"/>
                </a:lnTo>
                <a:lnTo>
                  <a:pt x="691" y="1142"/>
                </a:lnTo>
                <a:lnTo>
                  <a:pt x="710" y="1261"/>
                </a:lnTo>
                <a:lnTo>
                  <a:pt x="728" y="1663"/>
                </a:lnTo>
                <a:lnTo>
                  <a:pt x="756" y="1572"/>
                </a:lnTo>
                <a:lnTo>
                  <a:pt x="774" y="1481"/>
                </a:lnTo>
                <a:lnTo>
                  <a:pt x="793" y="1389"/>
                </a:lnTo>
                <a:lnTo>
                  <a:pt x="811" y="1289"/>
                </a:lnTo>
                <a:lnTo>
                  <a:pt x="820" y="1179"/>
                </a:lnTo>
                <a:lnTo>
                  <a:pt x="820" y="1078"/>
                </a:lnTo>
                <a:lnTo>
                  <a:pt x="820" y="969"/>
                </a:lnTo>
                <a:lnTo>
                  <a:pt x="820" y="859"/>
                </a:lnTo>
                <a:lnTo>
                  <a:pt x="802" y="749"/>
                </a:lnTo>
                <a:lnTo>
                  <a:pt x="774" y="640"/>
                </a:lnTo>
                <a:lnTo>
                  <a:pt x="756" y="521"/>
                </a:lnTo>
                <a:lnTo>
                  <a:pt x="719" y="420"/>
                </a:lnTo>
                <a:lnTo>
                  <a:pt x="673" y="311"/>
                </a:lnTo>
                <a:lnTo>
                  <a:pt x="627" y="219"/>
                </a:lnTo>
                <a:lnTo>
                  <a:pt x="562" y="119"/>
                </a:lnTo>
                <a:lnTo>
                  <a:pt x="507" y="36"/>
                </a:lnTo>
                <a:lnTo>
                  <a:pt x="286" y="0"/>
                </a:lnTo>
                <a:lnTo>
                  <a:pt x="212" y="128"/>
                </a:lnTo>
                <a:lnTo>
                  <a:pt x="239" y="21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29" name="Freeform 90">
            <a:extLst>
              <a:ext uri="{FF2B5EF4-FFF2-40B4-BE49-F238E27FC236}">
                <a16:creationId xmlns="" xmlns:a16="http://schemas.microsoft.com/office/drawing/2014/main" id="{00000000-0008-0000-0700-00001D000000}"/>
              </a:ext>
            </a:extLst>
          </xdr:cNvPr>
          <xdr:cNvSpPr>
            <a:spLocks/>
          </xdr:cNvSpPr>
        </xdr:nvSpPr>
        <xdr:spPr bwMode="auto">
          <a:xfrm>
            <a:off x="224848" y="267675"/>
            <a:ext cx="532497" cy="9577"/>
          </a:xfrm>
          <a:custGeom>
            <a:avLst/>
            <a:gdLst>
              <a:gd name="T0" fmla="*/ 0 w 6646"/>
              <a:gd name="T1" fmla="*/ 119 h 119"/>
              <a:gd name="T2" fmla="*/ 6646 w 6646"/>
              <a:gd name="T3" fmla="*/ 119 h 119"/>
              <a:gd name="T4" fmla="*/ 6646 w 6646"/>
              <a:gd name="T5" fmla="*/ 0 h 119"/>
              <a:gd name="T6" fmla="*/ 0 w 6646"/>
              <a:gd name="T7" fmla="*/ 0 h 119"/>
              <a:gd name="T8" fmla="*/ 0 w 6646"/>
              <a:gd name="T9" fmla="*/ 119 h 119"/>
              <a:gd name="T10" fmla="*/ 0 w 6646"/>
              <a:gd name="T11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6646" h="119">
                <a:moveTo>
                  <a:pt x="0" y="119"/>
                </a:moveTo>
                <a:lnTo>
                  <a:pt x="6646" y="119"/>
                </a:lnTo>
                <a:lnTo>
                  <a:pt x="6646" y="0"/>
                </a:lnTo>
                <a:lnTo>
                  <a:pt x="0" y="0"/>
                </a:lnTo>
                <a:lnTo>
                  <a:pt x="0" y="119"/>
                </a:lnTo>
                <a:close/>
              </a:path>
            </a:pathLst>
          </a:custGeom>
          <a:solidFill>
            <a:srgbClr val="FFC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" name="Freeform 91">
            <a:extLst>
              <a:ext uri="{FF2B5EF4-FFF2-40B4-BE49-F238E27FC236}">
                <a16:creationId xmlns="" xmlns:a16="http://schemas.microsoft.com/office/drawing/2014/main" id="{00000000-0008-0000-0700-00001E000000}"/>
              </a:ext>
            </a:extLst>
          </xdr:cNvPr>
          <xdr:cNvSpPr>
            <a:spLocks/>
          </xdr:cNvSpPr>
        </xdr:nvSpPr>
        <xdr:spPr bwMode="auto">
          <a:xfrm>
            <a:off x="0" y="276538"/>
            <a:ext cx="292540" cy="123666"/>
          </a:xfrm>
          <a:custGeom>
            <a:avLst/>
            <a:gdLst>
              <a:gd name="T0" fmla="*/ 0 w 3651"/>
              <a:gd name="T1" fmla="*/ 1545 h 1545"/>
              <a:gd name="T2" fmla="*/ 673 w 3651"/>
              <a:gd name="T3" fmla="*/ 530 h 1545"/>
              <a:gd name="T4" fmla="*/ 2959 w 3651"/>
              <a:gd name="T5" fmla="*/ 530 h 1545"/>
              <a:gd name="T6" fmla="*/ 3485 w 3651"/>
              <a:gd name="T7" fmla="*/ 0 h 1545"/>
              <a:gd name="T8" fmla="*/ 3651 w 3651"/>
              <a:gd name="T9" fmla="*/ 0 h 1545"/>
              <a:gd name="T10" fmla="*/ 3005 w 3651"/>
              <a:gd name="T11" fmla="*/ 640 h 1545"/>
              <a:gd name="T12" fmla="*/ 775 w 3651"/>
              <a:gd name="T13" fmla="*/ 640 h 1545"/>
              <a:gd name="T14" fmla="*/ 166 w 3651"/>
              <a:gd name="T15" fmla="*/ 1545 h 1545"/>
              <a:gd name="T16" fmla="*/ 0 w 3651"/>
              <a:gd name="T17" fmla="*/ 1545 h 1545"/>
              <a:gd name="T18" fmla="*/ 0 w 3651"/>
              <a:gd name="T19" fmla="*/ 1545 h 15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651" h="1545">
                <a:moveTo>
                  <a:pt x="0" y="1545"/>
                </a:moveTo>
                <a:lnTo>
                  <a:pt x="673" y="530"/>
                </a:lnTo>
                <a:lnTo>
                  <a:pt x="2959" y="530"/>
                </a:lnTo>
                <a:lnTo>
                  <a:pt x="3485" y="0"/>
                </a:lnTo>
                <a:lnTo>
                  <a:pt x="3651" y="0"/>
                </a:lnTo>
                <a:lnTo>
                  <a:pt x="3005" y="640"/>
                </a:lnTo>
                <a:lnTo>
                  <a:pt x="775" y="640"/>
                </a:lnTo>
                <a:lnTo>
                  <a:pt x="166" y="1545"/>
                </a:lnTo>
                <a:lnTo>
                  <a:pt x="0" y="1545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1" name="Freeform 92">
            <a:extLst>
              <a:ext uri="{FF2B5EF4-FFF2-40B4-BE49-F238E27FC236}">
                <a16:creationId xmlns="" xmlns:a16="http://schemas.microsoft.com/office/drawing/2014/main" id="{00000000-0008-0000-0700-00001F000000}"/>
              </a:ext>
            </a:extLst>
          </xdr:cNvPr>
          <xdr:cNvSpPr>
            <a:spLocks/>
          </xdr:cNvSpPr>
        </xdr:nvSpPr>
        <xdr:spPr bwMode="auto">
          <a:xfrm>
            <a:off x="773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2" name="Freeform 93">
            <a:extLst>
              <a:ext uri="{FF2B5EF4-FFF2-40B4-BE49-F238E27FC236}">
                <a16:creationId xmlns="" xmlns:a16="http://schemas.microsoft.com/office/drawing/2014/main" id="{00000000-0008-0000-0700-000020000000}"/>
              </a:ext>
            </a:extLst>
          </xdr:cNvPr>
          <xdr:cNvSpPr>
            <a:spLocks/>
          </xdr:cNvSpPr>
        </xdr:nvSpPr>
        <xdr:spPr bwMode="auto">
          <a:xfrm>
            <a:off x="59127" y="139786"/>
            <a:ext cx="28076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3" name="Freeform 94">
            <a:extLst>
              <a:ext uri="{FF2B5EF4-FFF2-40B4-BE49-F238E27FC236}">
                <a16:creationId xmlns="" xmlns:a16="http://schemas.microsoft.com/office/drawing/2014/main" id="{00000000-0008-0000-0700-000021000000}"/>
              </a:ext>
            </a:extLst>
          </xdr:cNvPr>
          <xdr:cNvSpPr>
            <a:spLocks/>
          </xdr:cNvSpPr>
        </xdr:nvSpPr>
        <xdr:spPr bwMode="auto">
          <a:xfrm>
            <a:off x="117480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4" name="Freeform 95">
            <a:extLst>
              <a:ext uri="{FF2B5EF4-FFF2-40B4-BE49-F238E27FC236}">
                <a16:creationId xmlns="" xmlns:a16="http://schemas.microsoft.com/office/drawing/2014/main" id="{00000000-0008-0000-0700-000022000000}"/>
              </a:ext>
            </a:extLst>
          </xdr:cNvPr>
          <xdr:cNvSpPr>
            <a:spLocks/>
          </xdr:cNvSpPr>
        </xdr:nvSpPr>
        <xdr:spPr bwMode="auto">
          <a:xfrm>
            <a:off x="175774" y="139786"/>
            <a:ext cx="28017" cy="2777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CC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5" name="Freeform 96">
            <a:extLst>
              <a:ext uri="{FF2B5EF4-FFF2-40B4-BE49-F238E27FC236}">
                <a16:creationId xmlns="" xmlns:a16="http://schemas.microsoft.com/office/drawing/2014/main" id="{00000000-0008-0000-0700-000023000000}"/>
              </a:ext>
            </a:extLst>
          </xdr:cNvPr>
          <xdr:cNvSpPr>
            <a:spLocks/>
          </xdr:cNvSpPr>
        </xdr:nvSpPr>
        <xdr:spPr bwMode="auto">
          <a:xfrm>
            <a:off x="501566" y="372485"/>
            <a:ext cx="28790" cy="27719"/>
          </a:xfrm>
          <a:custGeom>
            <a:avLst/>
            <a:gdLst>
              <a:gd name="T0" fmla="*/ 0 w 360"/>
              <a:gd name="T1" fmla="*/ 347 h 347"/>
              <a:gd name="T2" fmla="*/ 360 w 360"/>
              <a:gd name="T3" fmla="*/ 347 h 347"/>
              <a:gd name="T4" fmla="*/ 360 w 360"/>
              <a:gd name="T5" fmla="*/ 0 h 347"/>
              <a:gd name="T6" fmla="*/ 0 w 360"/>
              <a:gd name="T7" fmla="*/ 0 h 347"/>
              <a:gd name="T8" fmla="*/ 0 w 360"/>
              <a:gd name="T9" fmla="*/ 347 h 347"/>
              <a:gd name="T10" fmla="*/ 0 w 36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60" h="347">
                <a:moveTo>
                  <a:pt x="0" y="347"/>
                </a:moveTo>
                <a:lnTo>
                  <a:pt x="360" y="347"/>
                </a:lnTo>
                <a:lnTo>
                  <a:pt x="36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6" name="Freeform 97">
            <a:extLst>
              <a:ext uri="{FF2B5EF4-FFF2-40B4-BE49-F238E27FC236}">
                <a16:creationId xmlns="" xmlns:a16="http://schemas.microsoft.com/office/drawing/2014/main" id="{00000000-0008-0000-0700-000024000000}"/>
              </a:ext>
            </a:extLst>
          </xdr:cNvPr>
          <xdr:cNvSpPr>
            <a:spLocks/>
          </xdr:cNvSpPr>
        </xdr:nvSpPr>
        <xdr:spPr bwMode="auto">
          <a:xfrm>
            <a:off x="560633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7" name="Freeform 98">
            <a:extLst>
              <a:ext uri="{FF2B5EF4-FFF2-40B4-BE49-F238E27FC236}">
                <a16:creationId xmlns="" xmlns:a16="http://schemas.microsoft.com/office/drawing/2014/main" id="{00000000-0008-0000-0700-000025000000}"/>
              </a:ext>
            </a:extLst>
          </xdr:cNvPr>
          <xdr:cNvSpPr>
            <a:spLocks/>
          </xdr:cNvSpPr>
        </xdr:nvSpPr>
        <xdr:spPr bwMode="auto">
          <a:xfrm>
            <a:off x="618987" y="372485"/>
            <a:ext cx="28076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8" name="Freeform 99">
            <a:extLst>
              <a:ext uri="{FF2B5EF4-FFF2-40B4-BE49-F238E27FC236}">
                <a16:creationId xmlns="" xmlns:a16="http://schemas.microsoft.com/office/drawing/2014/main" id="{00000000-0008-0000-0700-000026000000}"/>
              </a:ext>
            </a:extLst>
          </xdr:cNvPr>
          <xdr:cNvSpPr>
            <a:spLocks/>
          </xdr:cNvSpPr>
        </xdr:nvSpPr>
        <xdr:spPr bwMode="auto">
          <a:xfrm>
            <a:off x="677340" y="372485"/>
            <a:ext cx="28017" cy="27719"/>
          </a:xfrm>
          <a:custGeom>
            <a:avLst/>
            <a:gdLst>
              <a:gd name="T0" fmla="*/ 0 w 350"/>
              <a:gd name="T1" fmla="*/ 347 h 347"/>
              <a:gd name="T2" fmla="*/ 350 w 350"/>
              <a:gd name="T3" fmla="*/ 347 h 347"/>
              <a:gd name="T4" fmla="*/ 350 w 350"/>
              <a:gd name="T5" fmla="*/ 0 h 347"/>
              <a:gd name="T6" fmla="*/ 0 w 350"/>
              <a:gd name="T7" fmla="*/ 0 h 347"/>
              <a:gd name="T8" fmla="*/ 0 w 350"/>
              <a:gd name="T9" fmla="*/ 347 h 347"/>
              <a:gd name="T10" fmla="*/ 0 w 350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0" h="347">
                <a:moveTo>
                  <a:pt x="0" y="347"/>
                </a:moveTo>
                <a:lnTo>
                  <a:pt x="350" y="347"/>
                </a:lnTo>
                <a:lnTo>
                  <a:pt x="350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9" name="Freeform 100">
            <a:extLst>
              <a:ext uri="{FF2B5EF4-FFF2-40B4-BE49-F238E27FC236}">
                <a16:creationId xmlns="" xmlns:a16="http://schemas.microsoft.com/office/drawing/2014/main" id="{00000000-0008-0000-0700-000027000000}"/>
              </a:ext>
            </a:extLst>
          </xdr:cNvPr>
          <xdr:cNvSpPr>
            <a:spLocks/>
          </xdr:cNvSpPr>
        </xdr:nvSpPr>
        <xdr:spPr bwMode="auto">
          <a:xfrm>
            <a:off x="735634" y="372485"/>
            <a:ext cx="28136" cy="27719"/>
          </a:xfrm>
          <a:custGeom>
            <a:avLst/>
            <a:gdLst>
              <a:gd name="T0" fmla="*/ 0 w 351"/>
              <a:gd name="T1" fmla="*/ 347 h 347"/>
              <a:gd name="T2" fmla="*/ 351 w 351"/>
              <a:gd name="T3" fmla="*/ 347 h 347"/>
              <a:gd name="T4" fmla="*/ 351 w 351"/>
              <a:gd name="T5" fmla="*/ 0 h 347"/>
              <a:gd name="T6" fmla="*/ 0 w 351"/>
              <a:gd name="T7" fmla="*/ 0 h 347"/>
              <a:gd name="T8" fmla="*/ 0 w 351"/>
              <a:gd name="T9" fmla="*/ 347 h 347"/>
              <a:gd name="T10" fmla="*/ 0 w 351"/>
              <a:gd name="T11" fmla="*/ 347 h 3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47">
                <a:moveTo>
                  <a:pt x="0" y="347"/>
                </a:moveTo>
                <a:lnTo>
                  <a:pt x="351" y="347"/>
                </a:lnTo>
                <a:lnTo>
                  <a:pt x="351" y="0"/>
                </a:lnTo>
                <a:lnTo>
                  <a:pt x="0" y="0"/>
                </a:lnTo>
                <a:lnTo>
                  <a:pt x="0" y="34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0" name="Freeform 102">
            <a:extLst>
              <a:ext uri="{FF2B5EF4-FFF2-40B4-BE49-F238E27FC236}">
                <a16:creationId xmlns="" xmlns:a16="http://schemas.microsoft.com/office/drawing/2014/main" id="{00000000-0008-0000-0700-000028000000}"/>
              </a:ext>
            </a:extLst>
          </xdr:cNvPr>
          <xdr:cNvSpPr>
            <a:spLocks/>
          </xdr:cNvSpPr>
        </xdr:nvSpPr>
        <xdr:spPr bwMode="auto">
          <a:xfrm>
            <a:off x="735634" y="316095"/>
            <a:ext cx="28136" cy="28552"/>
          </a:xfrm>
          <a:custGeom>
            <a:avLst/>
            <a:gdLst>
              <a:gd name="T0" fmla="*/ 0 w 351"/>
              <a:gd name="T1" fmla="*/ 356 h 356"/>
              <a:gd name="T2" fmla="*/ 351 w 351"/>
              <a:gd name="T3" fmla="*/ 356 h 356"/>
              <a:gd name="T4" fmla="*/ 351 w 351"/>
              <a:gd name="T5" fmla="*/ 0 h 356"/>
              <a:gd name="T6" fmla="*/ 0 w 351"/>
              <a:gd name="T7" fmla="*/ 0 h 356"/>
              <a:gd name="T8" fmla="*/ 0 w 351"/>
              <a:gd name="T9" fmla="*/ 356 h 356"/>
              <a:gd name="T10" fmla="*/ 0 w 351"/>
              <a:gd name="T11" fmla="*/ 356 h 3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51" h="356">
                <a:moveTo>
                  <a:pt x="0" y="356"/>
                </a:moveTo>
                <a:lnTo>
                  <a:pt x="351" y="356"/>
                </a:lnTo>
                <a:lnTo>
                  <a:pt x="351" y="0"/>
                </a:lnTo>
                <a:lnTo>
                  <a:pt x="0" y="0"/>
                </a:lnTo>
                <a:lnTo>
                  <a:pt x="0" y="35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1" name="Freeform 103">
            <a:extLst>
              <a:ext uri="{FF2B5EF4-FFF2-40B4-BE49-F238E27FC236}">
                <a16:creationId xmlns="" xmlns:a16="http://schemas.microsoft.com/office/drawing/2014/main" id="{00000000-0008-0000-0700-000029000000}"/>
              </a:ext>
            </a:extLst>
          </xdr:cNvPr>
          <xdr:cNvSpPr>
            <a:spLocks/>
          </xdr:cNvSpPr>
        </xdr:nvSpPr>
        <xdr:spPr bwMode="auto">
          <a:xfrm>
            <a:off x="274755" y="262738"/>
            <a:ext cx="20760" cy="21236"/>
          </a:xfrm>
          <a:custGeom>
            <a:avLst/>
            <a:gdLst>
              <a:gd name="T0" fmla="*/ 129 w 259"/>
              <a:gd name="T1" fmla="*/ 265 h 265"/>
              <a:gd name="T2" fmla="*/ 176 w 259"/>
              <a:gd name="T3" fmla="*/ 246 h 265"/>
              <a:gd name="T4" fmla="*/ 222 w 259"/>
              <a:gd name="T5" fmla="*/ 219 h 265"/>
              <a:gd name="T6" fmla="*/ 249 w 259"/>
              <a:gd name="T7" fmla="*/ 173 h 265"/>
              <a:gd name="T8" fmla="*/ 259 w 259"/>
              <a:gd name="T9" fmla="*/ 128 h 265"/>
              <a:gd name="T10" fmla="*/ 249 w 259"/>
              <a:gd name="T11" fmla="*/ 73 h 265"/>
              <a:gd name="T12" fmla="*/ 222 w 259"/>
              <a:gd name="T13" fmla="*/ 27 h 265"/>
              <a:gd name="T14" fmla="*/ 176 w 259"/>
              <a:gd name="T15" fmla="*/ 0 h 265"/>
              <a:gd name="T16" fmla="*/ 129 w 259"/>
              <a:gd name="T17" fmla="*/ 0 h 265"/>
              <a:gd name="T18" fmla="*/ 65 w 259"/>
              <a:gd name="T19" fmla="*/ 0 h 265"/>
              <a:gd name="T20" fmla="*/ 28 w 259"/>
              <a:gd name="T21" fmla="*/ 27 h 265"/>
              <a:gd name="T22" fmla="*/ 0 w 259"/>
              <a:gd name="T23" fmla="*/ 73 h 265"/>
              <a:gd name="T24" fmla="*/ 0 w 259"/>
              <a:gd name="T25" fmla="*/ 128 h 265"/>
              <a:gd name="T26" fmla="*/ 0 w 259"/>
              <a:gd name="T27" fmla="*/ 173 h 265"/>
              <a:gd name="T28" fmla="*/ 28 w 259"/>
              <a:gd name="T29" fmla="*/ 219 h 265"/>
              <a:gd name="T30" fmla="*/ 65 w 259"/>
              <a:gd name="T31" fmla="*/ 246 h 265"/>
              <a:gd name="T32" fmla="*/ 129 w 259"/>
              <a:gd name="T33" fmla="*/ 265 h 265"/>
              <a:gd name="T34" fmla="*/ 129 w 259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59" h="265">
                <a:moveTo>
                  <a:pt x="129" y="265"/>
                </a:moveTo>
                <a:lnTo>
                  <a:pt x="176" y="246"/>
                </a:lnTo>
                <a:lnTo>
                  <a:pt x="222" y="219"/>
                </a:lnTo>
                <a:lnTo>
                  <a:pt x="249" y="173"/>
                </a:lnTo>
                <a:lnTo>
                  <a:pt x="259" y="128"/>
                </a:lnTo>
                <a:lnTo>
                  <a:pt x="249" y="73"/>
                </a:lnTo>
                <a:lnTo>
                  <a:pt x="222" y="27"/>
                </a:lnTo>
                <a:lnTo>
                  <a:pt x="176" y="0"/>
                </a:lnTo>
                <a:lnTo>
                  <a:pt x="129" y="0"/>
                </a:lnTo>
                <a:lnTo>
                  <a:pt x="65" y="0"/>
                </a:lnTo>
                <a:lnTo>
                  <a:pt x="28" y="27"/>
                </a:lnTo>
                <a:lnTo>
                  <a:pt x="0" y="73"/>
                </a:lnTo>
                <a:lnTo>
                  <a:pt x="0" y="128"/>
                </a:lnTo>
                <a:lnTo>
                  <a:pt x="0" y="173"/>
                </a:lnTo>
                <a:lnTo>
                  <a:pt x="28" y="219"/>
                </a:lnTo>
                <a:lnTo>
                  <a:pt x="65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2" name="Freeform 104">
            <a:extLst>
              <a:ext uri="{FF2B5EF4-FFF2-40B4-BE49-F238E27FC236}">
                <a16:creationId xmlns="" xmlns:a16="http://schemas.microsoft.com/office/drawing/2014/main" id="{00000000-0008-0000-0700-00002A000000}"/>
              </a:ext>
            </a:extLst>
          </xdr:cNvPr>
          <xdr:cNvSpPr>
            <a:spLocks/>
          </xdr:cNvSpPr>
        </xdr:nvSpPr>
        <xdr:spPr bwMode="auto">
          <a:xfrm>
            <a:off x="313955" y="262738"/>
            <a:ext cx="21355" cy="21236"/>
          </a:xfrm>
          <a:custGeom>
            <a:avLst/>
            <a:gdLst>
              <a:gd name="T0" fmla="*/ 129 w 267"/>
              <a:gd name="T1" fmla="*/ 265 h 265"/>
              <a:gd name="T2" fmla="*/ 184 w 267"/>
              <a:gd name="T3" fmla="*/ 246 h 265"/>
              <a:gd name="T4" fmla="*/ 230 w 267"/>
              <a:gd name="T5" fmla="*/ 219 h 265"/>
              <a:gd name="T6" fmla="*/ 249 w 267"/>
              <a:gd name="T7" fmla="*/ 173 h 265"/>
              <a:gd name="T8" fmla="*/ 267 w 267"/>
              <a:gd name="T9" fmla="*/ 137 h 265"/>
              <a:gd name="T10" fmla="*/ 249 w 267"/>
              <a:gd name="T11" fmla="*/ 73 h 265"/>
              <a:gd name="T12" fmla="*/ 230 w 267"/>
              <a:gd name="T13" fmla="*/ 36 h 265"/>
              <a:gd name="T14" fmla="*/ 184 w 267"/>
              <a:gd name="T15" fmla="*/ 0 h 265"/>
              <a:gd name="T16" fmla="*/ 129 w 267"/>
              <a:gd name="T17" fmla="*/ 0 h 265"/>
              <a:gd name="T18" fmla="*/ 74 w 267"/>
              <a:gd name="T19" fmla="*/ 0 h 265"/>
              <a:gd name="T20" fmla="*/ 37 w 267"/>
              <a:gd name="T21" fmla="*/ 36 h 265"/>
              <a:gd name="T22" fmla="*/ 9 w 267"/>
              <a:gd name="T23" fmla="*/ 73 h 265"/>
              <a:gd name="T24" fmla="*/ 0 w 267"/>
              <a:gd name="T25" fmla="*/ 137 h 265"/>
              <a:gd name="T26" fmla="*/ 9 w 267"/>
              <a:gd name="T27" fmla="*/ 173 h 265"/>
              <a:gd name="T28" fmla="*/ 37 w 267"/>
              <a:gd name="T29" fmla="*/ 219 h 265"/>
              <a:gd name="T30" fmla="*/ 74 w 267"/>
              <a:gd name="T31" fmla="*/ 246 h 265"/>
              <a:gd name="T32" fmla="*/ 129 w 267"/>
              <a:gd name="T33" fmla="*/ 265 h 265"/>
              <a:gd name="T34" fmla="*/ 129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29" y="265"/>
                </a:moveTo>
                <a:lnTo>
                  <a:pt x="184" y="246"/>
                </a:lnTo>
                <a:lnTo>
                  <a:pt x="230" y="219"/>
                </a:lnTo>
                <a:lnTo>
                  <a:pt x="249" y="173"/>
                </a:lnTo>
                <a:lnTo>
                  <a:pt x="267" y="137"/>
                </a:lnTo>
                <a:lnTo>
                  <a:pt x="249" y="73"/>
                </a:lnTo>
                <a:lnTo>
                  <a:pt x="230" y="36"/>
                </a:lnTo>
                <a:lnTo>
                  <a:pt x="184" y="0"/>
                </a:lnTo>
                <a:lnTo>
                  <a:pt x="129" y="0"/>
                </a:lnTo>
                <a:lnTo>
                  <a:pt x="74" y="0"/>
                </a:lnTo>
                <a:lnTo>
                  <a:pt x="37" y="36"/>
                </a:lnTo>
                <a:lnTo>
                  <a:pt x="9" y="73"/>
                </a:lnTo>
                <a:lnTo>
                  <a:pt x="0" y="137"/>
                </a:lnTo>
                <a:lnTo>
                  <a:pt x="9" y="173"/>
                </a:lnTo>
                <a:lnTo>
                  <a:pt x="37" y="219"/>
                </a:lnTo>
                <a:lnTo>
                  <a:pt x="74" y="246"/>
                </a:lnTo>
                <a:lnTo>
                  <a:pt x="129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Freeform 105">
            <a:extLst>
              <a:ext uri="{FF2B5EF4-FFF2-40B4-BE49-F238E27FC236}">
                <a16:creationId xmlns="" xmlns:a16="http://schemas.microsoft.com/office/drawing/2014/main" id="{00000000-0008-0000-0700-00002B000000}"/>
              </a:ext>
            </a:extLst>
          </xdr:cNvPr>
          <xdr:cNvSpPr>
            <a:spLocks/>
          </xdr:cNvSpPr>
        </xdr:nvSpPr>
        <xdr:spPr bwMode="auto">
          <a:xfrm>
            <a:off x="345838" y="267913"/>
            <a:ext cx="21355" cy="21236"/>
          </a:xfrm>
          <a:custGeom>
            <a:avLst/>
            <a:gdLst>
              <a:gd name="T0" fmla="*/ 138 w 267"/>
              <a:gd name="T1" fmla="*/ 265 h 265"/>
              <a:gd name="T2" fmla="*/ 184 w 267"/>
              <a:gd name="T3" fmla="*/ 256 h 265"/>
              <a:gd name="T4" fmla="*/ 230 w 267"/>
              <a:gd name="T5" fmla="*/ 228 h 265"/>
              <a:gd name="T6" fmla="*/ 258 w 267"/>
              <a:gd name="T7" fmla="*/ 182 h 265"/>
              <a:gd name="T8" fmla="*/ 267 w 267"/>
              <a:gd name="T9" fmla="*/ 137 h 265"/>
              <a:gd name="T10" fmla="*/ 258 w 267"/>
              <a:gd name="T11" fmla="*/ 82 h 265"/>
              <a:gd name="T12" fmla="*/ 230 w 267"/>
              <a:gd name="T13" fmla="*/ 45 h 265"/>
              <a:gd name="T14" fmla="*/ 184 w 267"/>
              <a:gd name="T15" fmla="*/ 9 h 265"/>
              <a:gd name="T16" fmla="*/ 138 w 267"/>
              <a:gd name="T17" fmla="*/ 0 h 265"/>
              <a:gd name="T18" fmla="*/ 74 w 267"/>
              <a:gd name="T19" fmla="*/ 9 h 265"/>
              <a:gd name="T20" fmla="*/ 37 w 267"/>
              <a:gd name="T21" fmla="*/ 45 h 265"/>
              <a:gd name="T22" fmla="*/ 9 w 267"/>
              <a:gd name="T23" fmla="*/ 82 h 265"/>
              <a:gd name="T24" fmla="*/ 0 w 267"/>
              <a:gd name="T25" fmla="*/ 137 h 265"/>
              <a:gd name="T26" fmla="*/ 9 w 267"/>
              <a:gd name="T27" fmla="*/ 182 h 265"/>
              <a:gd name="T28" fmla="*/ 37 w 267"/>
              <a:gd name="T29" fmla="*/ 228 h 265"/>
              <a:gd name="T30" fmla="*/ 74 w 267"/>
              <a:gd name="T31" fmla="*/ 256 h 265"/>
              <a:gd name="T32" fmla="*/ 138 w 267"/>
              <a:gd name="T33" fmla="*/ 265 h 265"/>
              <a:gd name="T34" fmla="*/ 138 w 267"/>
              <a:gd name="T35" fmla="*/ 265 h 2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67" h="265">
                <a:moveTo>
                  <a:pt x="138" y="265"/>
                </a:moveTo>
                <a:lnTo>
                  <a:pt x="184" y="256"/>
                </a:lnTo>
                <a:lnTo>
                  <a:pt x="230" y="228"/>
                </a:lnTo>
                <a:lnTo>
                  <a:pt x="258" y="182"/>
                </a:lnTo>
                <a:lnTo>
                  <a:pt x="267" y="137"/>
                </a:lnTo>
                <a:lnTo>
                  <a:pt x="258" y="82"/>
                </a:lnTo>
                <a:lnTo>
                  <a:pt x="230" y="45"/>
                </a:lnTo>
                <a:lnTo>
                  <a:pt x="184" y="9"/>
                </a:lnTo>
                <a:lnTo>
                  <a:pt x="138" y="0"/>
                </a:lnTo>
                <a:lnTo>
                  <a:pt x="74" y="9"/>
                </a:lnTo>
                <a:lnTo>
                  <a:pt x="37" y="45"/>
                </a:lnTo>
                <a:lnTo>
                  <a:pt x="9" y="82"/>
                </a:lnTo>
                <a:lnTo>
                  <a:pt x="0" y="137"/>
                </a:lnTo>
                <a:lnTo>
                  <a:pt x="9" y="182"/>
                </a:lnTo>
                <a:lnTo>
                  <a:pt x="37" y="228"/>
                </a:lnTo>
                <a:lnTo>
                  <a:pt x="74" y="256"/>
                </a:lnTo>
                <a:lnTo>
                  <a:pt x="138" y="265"/>
                </a:lnTo>
                <a:close/>
              </a:path>
            </a:pathLst>
          </a:custGeom>
          <a:solidFill>
            <a:srgbClr val="99E3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4" name="Freeform 106">
            <a:extLst>
              <a:ext uri="{FF2B5EF4-FFF2-40B4-BE49-F238E27FC236}">
                <a16:creationId xmlns="" xmlns:a16="http://schemas.microsoft.com/office/drawing/2014/main" id="{00000000-0008-0000-0700-00002C000000}"/>
              </a:ext>
            </a:extLst>
          </xdr:cNvPr>
          <xdr:cNvSpPr>
            <a:spLocks/>
          </xdr:cNvSpPr>
        </xdr:nvSpPr>
        <xdr:spPr bwMode="auto">
          <a:xfrm>
            <a:off x="278502" y="266307"/>
            <a:ext cx="14038" cy="13919"/>
          </a:xfrm>
          <a:custGeom>
            <a:avLst/>
            <a:gdLst>
              <a:gd name="T0" fmla="*/ 83 w 176"/>
              <a:gd name="T1" fmla="*/ 174 h 174"/>
              <a:gd name="T2" fmla="*/ 148 w 176"/>
              <a:gd name="T3" fmla="*/ 147 h 174"/>
              <a:gd name="T4" fmla="*/ 176 w 176"/>
              <a:gd name="T5" fmla="*/ 92 h 174"/>
              <a:gd name="T6" fmla="*/ 148 w 176"/>
              <a:gd name="T7" fmla="*/ 28 h 174"/>
              <a:gd name="T8" fmla="*/ 83 w 176"/>
              <a:gd name="T9" fmla="*/ 0 h 174"/>
              <a:gd name="T10" fmla="*/ 19 w 176"/>
              <a:gd name="T11" fmla="*/ 28 h 174"/>
              <a:gd name="T12" fmla="*/ 0 w 176"/>
              <a:gd name="T13" fmla="*/ 92 h 174"/>
              <a:gd name="T14" fmla="*/ 19 w 176"/>
              <a:gd name="T15" fmla="*/ 147 h 174"/>
              <a:gd name="T16" fmla="*/ 83 w 176"/>
              <a:gd name="T17" fmla="*/ 174 h 174"/>
              <a:gd name="T18" fmla="*/ 83 w 17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76" h="174">
                <a:moveTo>
                  <a:pt x="83" y="174"/>
                </a:moveTo>
                <a:lnTo>
                  <a:pt x="148" y="147"/>
                </a:lnTo>
                <a:lnTo>
                  <a:pt x="176" y="92"/>
                </a:lnTo>
                <a:lnTo>
                  <a:pt x="148" y="28"/>
                </a:lnTo>
                <a:lnTo>
                  <a:pt x="83" y="0"/>
                </a:lnTo>
                <a:lnTo>
                  <a:pt x="19" y="28"/>
                </a:lnTo>
                <a:lnTo>
                  <a:pt x="0" y="92"/>
                </a:lnTo>
                <a:lnTo>
                  <a:pt x="19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5" name="Freeform 107">
            <a:extLst>
              <a:ext uri="{FF2B5EF4-FFF2-40B4-BE49-F238E27FC236}">
                <a16:creationId xmlns="" xmlns:a16="http://schemas.microsoft.com/office/drawing/2014/main" id="{00000000-0008-0000-0700-00002D000000}"/>
              </a:ext>
            </a:extLst>
          </xdr:cNvPr>
          <xdr:cNvSpPr>
            <a:spLocks/>
          </xdr:cNvSpPr>
        </xdr:nvSpPr>
        <xdr:spPr bwMode="auto">
          <a:xfrm>
            <a:off x="101955" y="15347"/>
            <a:ext cx="629991" cy="494604"/>
          </a:xfrm>
          <a:custGeom>
            <a:avLst/>
            <a:gdLst>
              <a:gd name="T0" fmla="*/ 5393 w 7863"/>
              <a:gd name="T1" fmla="*/ 73 h 6179"/>
              <a:gd name="T2" fmla="*/ 5863 w 7863"/>
              <a:gd name="T3" fmla="*/ 9 h 6179"/>
              <a:gd name="T4" fmla="*/ 6352 w 7863"/>
              <a:gd name="T5" fmla="*/ 9 h 6179"/>
              <a:gd name="T6" fmla="*/ 6794 w 7863"/>
              <a:gd name="T7" fmla="*/ 64 h 6179"/>
              <a:gd name="T8" fmla="*/ 7190 w 7863"/>
              <a:gd name="T9" fmla="*/ 229 h 6179"/>
              <a:gd name="T10" fmla="*/ 7587 w 7863"/>
              <a:gd name="T11" fmla="*/ 567 h 6179"/>
              <a:gd name="T12" fmla="*/ 7854 w 7863"/>
              <a:gd name="T13" fmla="*/ 1243 h 6179"/>
              <a:gd name="T14" fmla="*/ 7799 w 7863"/>
              <a:gd name="T15" fmla="*/ 2020 h 6179"/>
              <a:gd name="T16" fmla="*/ 7522 w 7863"/>
              <a:gd name="T17" fmla="*/ 2834 h 6179"/>
              <a:gd name="T18" fmla="*/ 7080 w 7863"/>
              <a:gd name="T19" fmla="*/ 3574 h 6179"/>
              <a:gd name="T20" fmla="*/ 6573 w 7863"/>
              <a:gd name="T21" fmla="*/ 4196 h 6179"/>
              <a:gd name="T22" fmla="*/ 5752 w 7863"/>
              <a:gd name="T23" fmla="*/ 4872 h 6179"/>
              <a:gd name="T24" fmla="*/ 4914 w 7863"/>
              <a:gd name="T25" fmla="*/ 5393 h 6179"/>
              <a:gd name="T26" fmla="*/ 4029 w 7863"/>
              <a:gd name="T27" fmla="*/ 5759 h 6179"/>
              <a:gd name="T28" fmla="*/ 3098 w 7863"/>
              <a:gd name="T29" fmla="*/ 6015 h 6179"/>
              <a:gd name="T30" fmla="*/ 2047 w 7863"/>
              <a:gd name="T31" fmla="*/ 6152 h 6179"/>
              <a:gd name="T32" fmla="*/ 1438 w 7863"/>
              <a:gd name="T33" fmla="*/ 6179 h 6179"/>
              <a:gd name="T34" fmla="*/ 1079 w 7863"/>
              <a:gd name="T35" fmla="*/ 6170 h 6179"/>
              <a:gd name="T36" fmla="*/ 747 w 7863"/>
              <a:gd name="T37" fmla="*/ 6134 h 6179"/>
              <a:gd name="T38" fmla="*/ 443 w 7863"/>
              <a:gd name="T39" fmla="*/ 6042 h 6179"/>
              <a:gd name="T40" fmla="*/ 203 w 7863"/>
              <a:gd name="T41" fmla="*/ 5923 h 6179"/>
              <a:gd name="T42" fmla="*/ 28 w 7863"/>
              <a:gd name="T43" fmla="*/ 5740 h 6179"/>
              <a:gd name="T44" fmla="*/ 10 w 7863"/>
              <a:gd name="T45" fmla="*/ 5503 h 6179"/>
              <a:gd name="T46" fmla="*/ 102 w 7863"/>
              <a:gd name="T47" fmla="*/ 5229 h 6179"/>
              <a:gd name="T48" fmla="*/ 259 w 7863"/>
              <a:gd name="T49" fmla="*/ 4991 h 6179"/>
              <a:gd name="T50" fmla="*/ 397 w 7863"/>
              <a:gd name="T51" fmla="*/ 4808 h 6179"/>
              <a:gd name="T52" fmla="*/ 471 w 7863"/>
              <a:gd name="T53" fmla="*/ 4753 h 6179"/>
              <a:gd name="T54" fmla="*/ 544 w 7863"/>
              <a:gd name="T55" fmla="*/ 5000 h 6179"/>
              <a:gd name="T56" fmla="*/ 480 w 7863"/>
              <a:gd name="T57" fmla="*/ 5110 h 6179"/>
              <a:gd name="T58" fmla="*/ 415 w 7863"/>
              <a:gd name="T59" fmla="*/ 5265 h 6179"/>
              <a:gd name="T60" fmla="*/ 378 w 7863"/>
              <a:gd name="T61" fmla="*/ 5457 h 6179"/>
              <a:gd name="T62" fmla="*/ 415 w 7863"/>
              <a:gd name="T63" fmla="*/ 5658 h 6179"/>
              <a:gd name="T64" fmla="*/ 821 w 7863"/>
              <a:gd name="T65" fmla="*/ 5914 h 6179"/>
              <a:gd name="T66" fmla="*/ 1448 w 7863"/>
              <a:gd name="T67" fmla="*/ 6024 h 6179"/>
              <a:gd name="T68" fmla="*/ 2213 w 7863"/>
              <a:gd name="T69" fmla="*/ 5978 h 6179"/>
              <a:gd name="T70" fmla="*/ 3033 w 7863"/>
              <a:gd name="T71" fmla="*/ 5823 h 6179"/>
              <a:gd name="T72" fmla="*/ 3807 w 7863"/>
              <a:gd name="T73" fmla="*/ 5567 h 6179"/>
              <a:gd name="T74" fmla="*/ 4683 w 7863"/>
              <a:gd name="T75" fmla="*/ 5091 h 6179"/>
              <a:gd name="T76" fmla="*/ 5669 w 7863"/>
              <a:gd name="T77" fmla="*/ 4324 h 6179"/>
              <a:gd name="T78" fmla="*/ 6554 w 7863"/>
              <a:gd name="T79" fmla="*/ 3382 h 6179"/>
              <a:gd name="T80" fmla="*/ 7181 w 7863"/>
              <a:gd name="T81" fmla="*/ 2331 h 6179"/>
              <a:gd name="T82" fmla="*/ 7402 w 7863"/>
              <a:gd name="T83" fmla="*/ 1271 h 6179"/>
              <a:gd name="T84" fmla="*/ 7209 w 7863"/>
              <a:gd name="T85" fmla="*/ 475 h 6179"/>
              <a:gd name="T86" fmla="*/ 6941 w 7863"/>
              <a:gd name="T87" fmla="*/ 247 h 6179"/>
              <a:gd name="T88" fmla="*/ 6564 w 7863"/>
              <a:gd name="T89" fmla="*/ 119 h 6179"/>
              <a:gd name="T90" fmla="*/ 6140 w 7863"/>
              <a:gd name="T91" fmla="*/ 101 h 6179"/>
              <a:gd name="T92" fmla="*/ 5679 w 7863"/>
              <a:gd name="T93" fmla="*/ 146 h 6179"/>
              <a:gd name="T94" fmla="*/ 5236 w 7863"/>
              <a:gd name="T95" fmla="*/ 229 h 61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7863" h="6179">
                <a:moveTo>
                  <a:pt x="5089" y="137"/>
                </a:moveTo>
                <a:lnTo>
                  <a:pt x="5236" y="101"/>
                </a:lnTo>
                <a:lnTo>
                  <a:pt x="5393" y="73"/>
                </a:lnTo>
                <a:lnTo>
                  <a:pt x="5550" y="46"/>
                </a:lnTo>
                <a:lnTo>
                  <a:pt x="5706" y="28"/>
                </a:lnTo>
                <a:lnTo>
                  <a:pt x="5863" y="9"/>
                </a:lnTo>
                <a:lnTo>
                  <a:pt x="6029" y="0"/>
                </a:lnTo>
                <a:lnTo>
                  <a:pt x="6186" y="0"/>
                </a:lnTo>
                <a:lnTo>
                  <a:pt x="6352" y="9"/>
                </a:lnTo>
                <a:lnTo>
                  <a:pt x="6499" y="9"/>
                </a:lnTo>
                <a:lnTo>
                  <a:pt x="6647" y="37"/>
                </a:lnTo>
                <a:lnTo>
                  <a:pt x="6794" y="64"/>
                </a:lnTo>
                <a:lnTo>
                  <a:pt x="6932" y="110"/>
                </a:lnTo>
                <a:lnTo>
                  <a:pt x="7061" y="165"/>
                </a:lnTo>
                <a:lnTo>
                  <a:pt x="7190" y="229"/>
                </a:lnTo>
                <a:lnTo>
                  <a:pt x="7310" y="293"/>
                </a:lnTo>
                <a:lnTo>
                  <a:pt x="7430" y="384"/>
                </a:lnTo>
                <a:lnTo>
                  <a:pt x="7587" y="567"/>
                </a:lnTo>
                <a:lnTo>
                  <a:pt x="7716" y="768"/>
                </a:lnTo>
                <a:lnTo>
                  <a:pt x="7799" y="996"/>
                </a:lnTo>
                <a:lnTo>
                  <a:pt x="7854" y="1243"/>
                </a:lnTo>
                <a:lnTo>
                  <a:pt x="7863" y="1490"/>
                </a:lnTo>
                <a:lnTo>
                  <a:pt x="7845" y="1755"/>
                </a:lnTo>
                <a:lnTo>
                  <a:pt x="7799" y="2020"/>
                </a:lnTo>
                <a:lnTo>
                  <a:pt x="7734" y="2294"/>
                </a:lnTo>
                <a:lnTo>
                  <a:pt x="7642" y="2559"/>
                </a:lnTo>
                <a:lnTo>
                  <a:pt x="7522" y="2834"/>
                </a:lnTo>
                <a:lnTo>
                  <a:pt x="7384" y="3090"/>
                </a:lnTo>
                <a:lnTo>
                  <a:pt x="7246" y="3346"/>
                </a:lnTo>
                <a:lnTo>
                  <a:pt x="7080" y="3574"/>
                </a:lnTo>
                <a:lnTo>
                  <a:pt x="6914" y="3812"/>
                </a:lnTo>
                <a:lnTo>
                  <a:pt x="6739" y="4004"/>
                </a:lnTo>
                <a:lnTo>
                  <a:pt x="6573" y="4196"/>
                </a:lnTo>
                <a:lnTo>
                  <a:pt x="6296" y="4433"/>
                </a:lnTo>
                <a:lnTo>
                  <a:pt x="6020" y="4662"/>
                </a:lnTo>
                <a:lnTo>
                  <a:pt x="5752" y="4872"/>
                </a:lnTo>
                <a:lnTo>
                  <a:pt x="5476" y="5064"/>
                </a:lnTo>
                <a:lnTo>
                  <a:pt x="5190" y="5238"/>
                </a:lnTo>
                <a:lnTo>
                  <a:pt x="4914" y="5393"/>
                </a:lnTo>
                <a:lnTo>
                  <a:pt x="4619" y="5521"/>
                </a:lnTo>
                <a:lnTo>
                  <a:pt x="4333" y="5658"/>
                </a:lnTo>
                <a:lnTo>
                  <a:pt x="4029" y="5759"/>
                </a:lnTo>
                <a:lnTo>
                  <a:pt x="3724" y="5859"/>
                </a:lnTo>
                <a:lnTo>
                  <a:pt x="3411" y="5932"/>
                </a:lnTo>
                <a:lnTo>
                  <a:pt x="3098" y="6015"/>
                </a:lnTo>
                <a:lnTo>
                  <a:pt x="2757" y="6070"/>
                </a:lnTo>
                <a:lnTo>
                  <a:pt x="2406" y="6115"/>
                </a:lnTo>
                <a:lnTo>
                  <a:pt x="2047" y="6152"/>
                </a:lnTo>
                <a:lnTo>
                  <a:pt x="1678" y="6179"/>
                </a:lnTo>
                <a:lnTo>
                  <a:pt x="1558" y="6179"/>
                </a:lnTo>
                <a:lnTo>
                  <a:pt x="1438" y="6179"/>
                </a:lnTo>
                <a:lnTo>
                  <a:pt x="1309" y="6179"/>
                </a:lnTo>
                <a:lnTo>
                  <a:pt x="1199" y="6179"/>
                </a:lnTo>
                <a:lnTo>
                  <a:pt x="1079" y="6170"/>
                </a:lnTo>
                <a:lnTo>
                  <a:pt x="959" y="6161"/>
                </a:lnTo>
                <a:lnTo>
                  <a:pt x="848" y="6152"/>
                </a:lnTo>
                <a:lnTo>
                  <a:pt x="747" y="6134"/>
                </a:lnTo>
                <a:lnTo>
                  <a:pt x="636" y="6106"/>
                </a:lnTo>
                <a:lnTo>
                  <a:pt x="544" y="6088"/>
                </a:lnTo>
                <a:lnTo>
                  <a:pt x="443" y="6042"/>
                </a:lnTo>
                <a:lnTo>
                  <a:pt x="369" y="6015"/>
                </a:lnTo>
                <a:lnTo>
                  <a:pt x="277" y="5969"/>
                </a:lnTo>
                <a:lnTo>
                  <a:pt x="203" y="5923"/>
                </a:lnTo>
                <a:lnTo>
                  <a:pt x="129" y="5868"/>
                </a:lnTo>
                <a:lnTo>
                  <a:pt x="83" y="5814"/>
                </a:lnTo>
                <a:lnTo>
                  <a:pt x="28" y="5740"/>
                </a:lnTo>
                <a:lnTo>
                  <a:pt x="0" y="5667"/>
                </a:lnTo>
                <a:lnTo>
                  <a:pt x="0" y="5585"/>
                </a:lnTo>
                <a:lnTo>
                  <a:pt x="10" y="5503"/>
                </a:lnTo>
                <a:lnTo>
                  <a:pt x="19" y="5411"/>
                </a:lnTo>
                <a:lnTo>
                  <a:pt x="65" y="5320"/>
                </a:lnTo>
                <a:lnTo>
                  <a:pt x="102" y="5229"/>
                </a:lnTo>
                <a:lnTo>
                  <a:pt x="157" y="5155"/>
                </a:lnTo>
                <a:lnTo>
                  <a:pt x="203" y="5064"/>
                </a:lnTo>
                <a:lnTo>
                  <a:pt x="259" y="4991"/>
                </a:lnTo>
                <a:lnTo>
                  <a:pt x="305" y="4918"/>
                </a:lnTo>
                <a:lnTo>
                  <a:pt x="360" y="4863"/>
                </a:lnTo>
                <a:lnTo>
                  <a:pt x="397" y="4808"/>
                </a:lnTo>
                <a:lnTo>
                  <a:pt x="434" y="4781"/>
                </a:lnTo>
                <a:lnTo>
                  <a:pt x="461" y="4753"/>
                </a:lnTo>
                <a:lnTo>
                  <a:pt x="471" y="4753"/>
                </a:lnTo>
                <a:lnTo>
                  <a:pt x="600" y="4936"/>
                </a:lnTo>
                <a:lnTo>
                  <a:pt x="581" y="4954"/>
                </a:lnTo>
                <a:lnTo>
                  <a:pt x="544" y="5000"/>
                </a:lnTo>
                <a:lnTo>
                  <a:pt x="526" y="5027"/>
                </a:lnTo>
                <a:lnTo>
                  <a:pt x="507" y="5064"/>
                </a:lnTo>
                <a:lnTo>
                  <a:pt x="480" y="5110"/>
                </a:lnTo>
                <a:lnTo>
                  <a:pt x="461" y="5165"/>
                </a:lnTo>
                <a:lnTo>
                  <a:pt x="434" y="5210"/>
                </a:lnTo>
                <a:lnTo>
                  <a:pt x="415" y="5265"/>
                </a:lnTo>
                <a:lnTo>
                  <a:pt x="397" y="5329"/>
                </a:lnTo>
                <a:lnTo>
                  <a:pt x="397" y="5393"/>
                </a:lnTo>
                <a:lnTo>
                  <a:pt x="378" y="5457"/>
                </a:lnTo>
                <a:lnTo>
                  <a:pt x="388" y="5521"/>
                </a:lnTo>
                <a:lnTo>
                  <a:pt x="397" y="5585"/>
                </a:lnTo>
                <a:lnTo>
                  <a:pt x="415" y="5658"/>
                </a:lnTo>
                <a:lnTo>
                  <a:pt x="517" y="5759"/>
                </a:lnTo>
                <a:lnTo>
                  <a:pt x="655" y="5850"/>
                </a:lnTo>
                <a:lnTo>
                  <a:pt x="821" y="5914"/>
                </a:lnTo>
                <a:lnTo>
                  <a:pt x="1014" y="5978"/>
                </a:lnTo>
                <a:lnTo>
                  <a:pt x="1226" y="6006"/>
                </a:lnTo>
                <a:lnTo>
                  <a:pt x="1448" y="6024"/>
                </a:lnTo>
                <a:lnTo>
                  <a:pt x="1697" y="6024"/>
                </a:lnTo>
                <a:lnTo>
                  <a:pt x="1955" y="6015"/>
                </a:lnTo>
                <a:lnTo>
                  <a:pt x="2213" y="5978"/>
                </a:lnTo>
                <a:lnTo>
                  <a:pt x="2480" y="5942"/>
                </a:lnTo>
                <a:lnTo>
                  <a:pt x="2747" y="5887"/>
                </a:lnTo>
                <a:lnTo>
                  <a:pt x="3033" y="5823"/>
                </a:lnTo>
                <a:lnTo>
                  <a:pt x="3291" y="5740"/>
                </a:lnTo>
                <a:lnTo>
                  <a:pt x="3549" y="5658"/>
                </a:lnTo>
                <a:lnTo>
                  <a:pt x="3807" y="5567"/>
                </a:lnTo>
                <a:lnTo>
                  <a:pt x="4047" y="5466"/>
                </a:lnTo>
                <a:lnTo>
                  <a:pt x="4360" y="5293"/>
                </a:lnTo>
                <a:lnTo>
                  <a:pt x="4683" y="5091"/>
                </a:lnTo>
                <a:lnTo>
                  <a:pt x="5015" y="4854"/>
                </a:lnTo>
                <a:lnTo>
                  <a:pt x="5347" y="4607"/>
                </a:lnTo>
                <a:lnTo>
                  <a:pt x="5669" y="4324"/>
                </a:lnTo>
                <a:lnTo>
                  <a:pt x="5983" y="4022"/>
                </a:lnTo>
                <a:lnTo>
                  <a:pt x="6278" y="3711"/>
                </a:lnTo>
                <a:lnTo>
                  <a:pt x="6554" y="3382"/>
                </a:lnTo>
                <a:lnTo>
                  <a:pt x="6794" y="3035"/>
                </a:lnTo>
                <a:lnTo>
                  <a:pt x="7015" y="2687"/>
                </a:lnTo>
                <a:lnTo>
                  <a:pt x="7181" y="2331"/>
                </a:lnTo>
                <a:lnTo>
                  <a:pt x="7310" y="1974"/>
                </a:lnTo>
                <a:lnTo>
                  <a:pt x="7384" y="1618"/>
                </a:lnTo>
                <a:lnTo>
                  <a:pt x="7402" y="1271"/>
                </a:lnTo>
                <a:lnTo>
                  <a:pt x="7366" y="923"/>
                </a:lnTo>
                <a:lnTo>
                  <a:pt x="7273" y="594"/>
                </a:lnTo>
                <a:lnTo>
                  <a:pt x="7209" y="475"/>
                </a:lnTo>
                <a:lnTo>
                  <a:pt x="7135" y="384"/>
                </a:lnTo>
                <a:lnTo>
                  <a:pt x="7034" y="302"/>
                </a:lnTo>
                <a:lnTo>
                  <a:pt x="6941" y="247"/>
                </a:lnTo>
                <a:lnTo>
                  <a:pt x="6822" y="183"/>
                </a:lnTo>
                <a:lnTo>
                  <a:pt x="6702" y="146"/>
                </a:lnTo>
                <a:lnTo>
                  <a:pt x="6564" y="119"/>
                </a:lnTo>
                <a:lnTo>
                  <a:pt x="6435" y="110"/>
                </a:lnTo>
                <a:lnTo>
                  <a:pt x="6287" y="101"/>
                </a:lnTo>
                <a:lnTo>
                  <a:pt x="6140" y="101"/>
                </a:lnTo>
                <a:lnTo>
                  <a:pt x="5983" y="101"/>
                </a:lnTo>
                <a:lnTo>
                  <a:pt x="5835" y="119"/>
                </a:lnTo>
                <a:lnTo>
                  <a:pt x="5679" y="146"/>
                </a:lnTo>
                <a:lnTo>
                  <a:pt x="5531" y="165"/>
                </a:lnTo>
                <a:lnTo>
                  <a:pt x="5374" y="192"/>
                </a:lnTo>
                <a:lnTo>
                  <a:pt x="5236" y="229"/>
                </a:lnTo>
                <a:lnTo>
                  <a:pt x="5089" y="137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6" name="Freeform 108">
            <a:extLst>
              <a:ext uri="{FF2B5EF4-FFF2-40B4-BE49-F238E27FC236}">
                <a16:creationId xmlns="" xmlns:a16="http://schemas.microsoft.com/office/drawing/2014/main" id="{00000000-0008-0000-0700-00002E000000}"/>
              </a:ext>
            </a:extLst>
          </xdr:cNvPr>
          <xdr:cNvSpPr>
            <a:spLocks/>
          </xdr:cNvSpPr>
        </xdr:nvSpPr>
        <xdr:spPr bwMode="auto">
          <a:xfrm>
            <a:off x="113019" y="334297"/>
            <a:ext cx="143296" cy="110639"/>
          </a:xfrm>
          <a:custGeom>
            <a:avLst/>
            <a:gdLst>
              <a:gd name="T0" fmla="*/ 92 w 1788"/>
              <a:gd name="T1" fmla="*/ 1079 h 1381"/>
              <a:gd name="T2" fmla="*/ 129 w 1788"/>
              <a:gd name="T3" fmla="*/ 997 h 1381"/>
              <a:gd name="T4" fmla="*/ 175 w 1788"/>
              <a:gd name="T5" fmla="*/ 942 h 1381"/>
              <a:gd name="T6" fmla="*/ 221 w 1788"/>
              <a:gd name="T7" fmla="*/ 878 h 1381"/>
              <a:gd name="T8" fmla="*/ 267 w 1788"/>
              <a:gd name="T9" fmla="*/ 823 h 1381"/>
              <a:gd name="T10" fmla="*/ 304 w 1788"/>
              <a:gd name="T11" fmla="*/ 768 h 1381"/>
              <a:gd name="T12" fmla="*/ 359 w 1788"/>
              <a:gd name="T13" fmla="*/ 713 h 1381"/>
              <a:gd name="T14" fmla="*/ 405 w 1788"/>
              <a:gd name="T15" fmla="*/ 659 h 1381"/>
              <a:gd name="T16" fmla="*/ 451 w 1788"/>
              <a:gd name="T17" fmla="*/ 613 h 1381"/>
              <a:gd name="T18" fmla="*/ 497 w 1788"/>
              <a:gd name="T19" fmla="*/ 558 h 1381"/>
              <a:gd name="T20" fmla="*/ 553 w 1788"/>
              <a:gd name="T21" fmla="*/ 521 h 1381"/>
              <a:gd name="T22" fmla="*/ 599 w 1788"/>
              <a:gd name="T23" fmla="*/ 467 h 1381"/>
              <a:gd name="T24" fmla="*/ 663 w 1788"/>
              <a:gd name="T25" fmla="*/ 430 h 1381"/>
              <a:gd name="T26" fmla="*/ 709 w 1788"/>
              <a:gd name="T27" fmla="*/ 375 h 1381"/>
              <a:gd name="T28" fmla="*/ 774 w 1788"/>
              <a:gd name="T29" fmla="*/ 330 h 1381"/>
              <a:gd name="T30" fmla="*/ 839 w 1788"/>
              <a:gd name="T31" fmla="*/ 284 h 1381"/>
              <a:gd name="T32" fmla="*/ 912 w 1788"/>
              <a:gd name="T33" fmla="*/ 247 h 1381"/>
              <a:gd name="T34" fmla="*/ 958 w 1788"/>
              <a:gd name="T35" fmla="*/ 211 h 1381"/>
              <a:gd name="T36" fmla="*/ 1014 w 1788"/>
              <a:gd name="T37" fmla="*/ 174 h 1381"/>
              <a:gd name="T38" fmla="*/ 1060 w 1788"/>
              <a:gd name="T39" fmla="*/ 147 h 1381"/>
              <a:gd name="T40" fmla="*/ 1115 w 1788"/>
              <a:gd name="T41" fmla="*/ 128 h 1381"/>
              <a:gd name="T42" fmla="*/ 1170 w 1788"/>
              <a:gd name="T43" fmla="*/ 101 h 1381"/>
              <a:gd name="T44" fmla="*/ 1216 w 1788"/>
              <a:gd name="T45" fmla="*/ 83 h 1381"/>
              <a:gd name="T46" fmla="*/ 1272 w 1788"/>
              <a:gd name="T47" fmla="*/ 64 h 1381"/>
              <a:gd name="T48" fmla="*/ 1318 w 1788"/>
              <a:gd name="T49" fmla="*/ 46 h 1381"/>
              <a:gd name="T50" fmla="*/ 1364 w 1788"/>
              <a:gd name="T51" fmla="*/ 28 h 1381"/>
              <a:gd name="T52" fmla="*/ 1410 w 1788"/>
              <a:gd name="T53" fmla="*/ 19 h 1381"/>
              <a:gd name="T54" fmla="*/ 1456 w 1788"/>
              <a:gd name="T55" fmla="*/ 10 h 1381"/>
              <a:gd name="T56" fmla="*/ 1493 w 1788"/>
              <a:gd name="T57" fmla="*/ 10 h 1381"/>
              <a:gd name="T58" fmla="*/ 1530 w 1788"/>
              <a:gd name="T59" fmla="*/ 0 h 1381"/>
              <a:gd name="T60" fmla="*/ 1567 w 1788"/>
              <a:gd name="T61" fmla="*/ 0 h 1381"/>
              <a:gd name="T62" fmla="*/ 1594 w 1788"/>
              <a:gd name="T63" fmla="*/ 0 h 1381"/>
              <a:gd name="T64" fmla="*/ 1631 w 1788"/>
              <a:gd name="T65" fmla="*/ 10 h 1381"/>
              <a:gd name="T66" fmla="*/ 1788 w 1788"/>
              <a:gd name="T67" fmla="*/ 302 h 1381"/>
              <a:gd name="T68" fmla="*/ 1770 w 1788"/>
              <a:gd name="T69" fmla="*/ 302 h 1381"/>
              <a:gd name="T70" fmla="*/ 1733 w 1788"/>
              <a:gd name="T71" fmla="*/ 311 h 1381"/>
              <a:gd name="T72" fmla="*/ 1677 w 1788"/>
              <a:gd name="T73" fmla="*/ 330 h 1381"/>
              <a:gd name="T74" fmla="*/ 1604 w 1788"/>
              <a:gd name="T75" fmla="*/ 357 h 1381"/>
              <a:gd name="T76" fmla="*/ 1511 w 1788"/>
              <a:gd name="T77" fmla="*/ 384 h 1381"/>
              <a:gd name="T78" fmla="*/ 1410 w 1788"/>
              <a:gd name="T79" fmla="*/ 421 h 1381"/>
              <a:gd name="T80" fmla="*/ 1299 w 1788"/>
              <a:gd name="T81" fmla="*/ 467 h 1381"/>
              <a:gd name="T82" fmla="*/ 1180 w 1788"/>
              <a:gd name="T83" fmla="*/ 521 h 1381"/>
              <a:gd name="T84" fmla="*/ 1051 w 1788"/>
              <a:gd name="T85" fmla="*/ 585 h 1381"/>
              <a:gd name="T86" fmla="*/ 921 w 1788"/>
              <a:gd name="T87" fmla="*/ 659 h 1381"/>
              <a:gd name="T88" fmla="*/ 792 w 1788"/>
              <a:gd name="T89" fmla="*/ 732 h 1381"/>
              <a:gd name="T90" fmla="*/ 673 w 1788"/>
              <a:gd name="T91" fmla="*/ 832 h 1381"/>
              <a:gd name="T92" fmla="*/ 544 w 1788"/>
              <a:gd name="T93" fmla="*/ 933 h 1381"/>
              <a:gd name="T94" fmla="*/ 433 w 1788"/>
              <a:gd name="T95" fmla="*/ 1042 h 1381"/>
              <a:gd name="T96" fmla="*/ 332 w 1788"/>
              <a:gd name="T97" fmla="*/ 1170 h 1381"/>
              <a:gd name="T98" fmla="*/ 249 w 1788"/>
              <a:gd name="T99" fmla="*/ 1308 h 1381"/>
              <a:gd name="T100" fmla="*/ 202 w 1788"/>
              <a:gd name="T101" fmla="*/ 1344 h 1381"/>
              <a:gd name="T102" fmla="*/ 156 w 1788"/>
              <a:gd name="T103" fmla="*/ 1362 h 1381"/>
              <a:gd name="T104" fmla="*/ 101 w 1788"/>
              <a:gd name="T105" fmla="*/ 1381 h 1381"/>
              <a:gd name="T106" fmla="*/ 55 w 1788"/>
              <a:gd name="T107" fmla="*/ 1372 h 1381"/>
              <a:gd name="T108" fmla="*/ 9 w 1788"/>
              <a:gd name="T109" fmla="*/ 1335 h 1381"/>
              <a:gd name="T110" fmla="*/ 0 w 1788"/>
              <a:gd name="T111" fmla="*/ 1280 h 1381"/>
              <a:gd name="T112" fmla="*/ 0 w 1788"/>
              <a:gd name="T113" fmla="*/ 1234 h 1381"/>
              <a:gd name="T114" fmla="*/ 18 w 1788"/>
              <a:gd name="T115" fmla="*/ 1189 h 1381"/>
              <a:gd name="T116" fmla="*/ 46 w 1788"/>
              <a:gd name="T117" fmla="*/ 1134 h 1381"/>
              <a:gd name="T118" fmla="*/ 92 w 1788"/>
              <a:gd name="T119" fmla="*/ 1079 h 1381"/>
              <a:gd name="T120" fmla="*/ 92 w 1788"/>
              <a:gd name="T121" fmla="*/ 1079 h 1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88" h="1381">
                <a:moveTo>
                  <a:pt x="92" y="1079"/>
                </a:moveTo>
                <a:lnTo>
                  <a:pt x="129" y="997"/>
                </a:lnTo>
                <a:lnTo>
                  <a:pt x="175" y="942"/>
                </a:lnTo>
                <a:lnTo>
                  <a:pt x="221" y="878"/>
                </a:lnTo>
                <a:lnTo>
                  <a:pt x="267" y="823"/>
                </a:lnTo>
                <a:lnTo>
                  <a:pt x="304" y="768"/>
                </a:lnTo>
                <a:lnTo>
                  <a:pt x="359" y="713"/>
                </a:lnTo>
                <a:lnTo>
                  <a:pt x="405" y="659"/>
                </a:lnTo>
                <a:lnTo>
                  <a:pt x="451" y="613"/>
                </a:lnTo>
                <a:lnTo>
                  <a:pt x="497" y="558"/>
                </a:lnTo>
                <a:lnTo>
                  <a:pt x="553" y="521"/>
                </a:lnTo>
                <a:lnTo>
                  <a:pt x="599" y="467"/>
                </a:lnTo>
                <a:lnTo>
                  <a:pt x="663" y="430"/>
                </a:lnTo>
                <a:lnTo>
                  <a:pt x="709" y="375"/>
                </a:lnTo>
                <a:lnTo>
                  <a:pt x="774" y="330"/>
                </a:lnTo>
                <a:lnTo>
                  <a:pt x="839" y="284"/>
                </a:lnTo>
                <a:lnTo>
                  <a:pt x="912" y="247"/>
                </a:lnTo>
                <a:lnTo>
                  <a:pt x="958" y="211"/>
                </a:lnTo>
                <a:lnTo>
                  <a:pt x="1014" y="174"/>
                </a:lnTo>
                <a:lnTo>
                  <a:pt x="1060" y="147"/>
                </a:lnTo>
                <a:lnTo>
                  <a:pt x="1115" y="128"/>
                </a:lnTo>
                <a:lnTo>
                  <a:pt x="1170" y="101"/>
                </a:lnTo>
                <a:lnTo>
                  <a:pt x="1216" y="83"/>
                </a:lnTo>
                <a:lnTo>
                  <a:pt x="1272" y="64"/>
                </a:lnTo>
                <a:lnTo>
                  <a:pt x="1318" y="46"/>
                </a:lnTo>
                <a:lnTo>
                  <a:pt x="1364" y="28"/>
                </a:lnTo>
                <a:lnTo>
                  <a:pt x="1410" y="19"/>
                </a:lnTo>
                <a:lnTo>
                  <a:pt x="1456" y="10"/>
                </a:lnTo>
                <a:lnTo>
                  <a:pt x="1493" y="10"/>
                </a:lnTo>
                <a:lnTo>
                  <a:pt x="1530" y="0"/>
                </a:lnTo>
                <a:lnTo>
                  <a:pt x="1567" y="0"/>
                </a:lnTo>
                <a:lnTo>
                  <a:pt x="1594" y="0"/>
                </a:lnTo>
                <a:lnTo>
                  <a:pt x="1631" y="10"/>
                </a:lnTo>
                <a:lnTo>
                  <a:pt x="1788" y="302"/>
                </a:lnTo>
                <a:lnTo>
                  <a:pt x="1770" y="302"/>
                </a:lnTo>
                <a:lnTo>
                  <a:pt x="1733" y="311"/>
                </a:lnTo>
                <a:lnTo>
                  <a:pt x="1677" y="330"/>
                </a:lnTo>
                <a:lnTo>
                  <a:pt x="1604" y="357"/>
                </a:lnTo>
                <a:lnTo>
                  <a:pt x="1511" y="384"/>
                </a:lnTo>
                <a:lnTo>
                  <a:pt x="1410" y="421"/>
                </a:lnTo>
                <a:lnTo>
                  <a:pt x="1299" y="467"/>
                </a:lnTo>
                <a:lnTo>
                  <a:pt x="1180" y="521"/>
                </a:lnTo>
                <a:lnTo>
                  <a:pt x="1051" y="585"/>
                </a:lnTo>
                <a:lnTo>
                  <a:pt x="921" y="659"/>
                </a:lnTo>
                <a:lnTo>
                  <a:pt x="792" y="732"/>
                </a:lnTo>
                <a:lnTo>
                  <a:pt x="673" y="832"/>
                </a:lnTo>
                <a:lnTo>
                  <a:pt x="544" y="933"/>
                </a:lnTo>
                <a:lnTo>
                  <a:pt x="433" y="1042"/>
                </a:lnTo>
                <a:lnTo>
                  <a:pt x="332" y="1170"/>
                </a:lnTo>
                <a:lnTo>
                  <a:pt x="249" y="1308"/>
                </a:lnTo>
                <a:lnTo>
                  <a:pt x="202" y="1344"/>
                </a:lnTo>
                <a:lnTo>
                  <a:pt x="156" y="1362"/>
                </a:lnTo>
                <a:lnTo>
                  <a:pt x="101" y="1381"/>
                </a:lnTo>
                <a:lnTo>
                  <a:pt x="55" y="1372"/>
                </a:lnTo>
                <a:lnTo>
                  <a:pt x="9" y="1335"/>
                </a:lnTo>
                <a:lnTo>
                  <a:pt x="0" y="1280"/>
                </a:lnTo>
                <a:lnTo>
                  <a:pt x="0" y="1234"/>
                </a:lnTo>
                <a:lnTo>
                  <a:pt x="18" y="1189"/>
                </a:lnTo>
                <a:lnTo>
                  <a:pt x="46" y="1134"/>
                </a:lnTo>
                <a:lnTo>
                  <a:pt x="92" y="1079"/>
                </a:lnTo>
                <a:close/>
              </a:path>
            </a:pathLst>
          </a:cu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7" name="Freeform 109">
            <a:extLst>
              <a:ext uri="{FF2B5EF4-FFF2-40B4-BE49-F238E27FC236}">
                <a16:creationId xmlns="" xmlns:a16="http://schemas.microsoft.com/office/drawing/2014/main" id="{00000000-0008-0000-0700-00002F000000}"/>
              </a:ext>
            </a:extLst>
          </xdr:cNvPr>
          <xdr:cNvSpPr>
            <a:spLocks/>
          </xdr:cNvSpPr>
        </xdr:nvSpPr>
        <xdr:spPr bwMode="auto">
          <a:xfrm>
            <a:off x="67930" y="269995"/>
            <a:ext cx="308066" cy="129495"/>
          </a:xfrm>
          <a:custGeom>
            <a:avLst/>
            <a:gdLst>
              <a:gd name="T0" fmla="*/ 0 w 3844"/>
              <a:gd name="T1" fmla="*/ 1618 h 1618"/>
              <a:gd name="T2" fmla="*/ 461 w 3844"/>
              <a:gd name="T3" fmla="*/ 932 h 1618"/>
              <a:gd name="T4" fmla="*/ 2747 w 3844"/>
              <a:gd name="T5" fmla="*/ 932 h 1618"/>
              <a:gd name="T6" fmla="*/ 3669 w 3844"/>
              <a:gd name="T7" fmla="*/ 18 h 1618"/>
              <a:gd name="T8" fmla="*/ 3844 w 3844"/>
              <a:gd name="T9" fmla="*/ 0 h 1618"/>
              <a:gd name="T10" fmla="*/ 2793 w 3844"/>
              <a:gd name="T11" fmla="*/ 1042 h 1618"/>
              <a:gd name="T12" fmla="*/ 535 w 3844"/>
              <a:gd name="T13" fmla="*/ 1042 h 1618"/>
              <a:gd name="T14" fmla="*/ 166 w 3844"/>
              <a:gd name="T15" fmla="*/ 1618 h 1618"/>
              <a:gd name="T16" fmla="*/ 0 w 3844"/>
              <a:gd name="T17" fmla="*/ 1618 h 1618"/>
              <a:gd name="T18" fmla="*/ 0 w 3844"/>
              <a:gd name="T19" fmla="*/ 1618 h 16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844" h="1618">
                <a:moveTo>
                  <a:pt x="0" y="1618"/>
                </a:moveTo>
                <a:lnTo>
                  <a:pt x="461" y="932"/>
                </a:lnTo>
                <a:lnTo>
                  <a:pt x="2747" y="932"/>
                </a:lnTo>
                <a:lnTo>
                  <a:pt x="3669" y="18"/>
                </a:lnTo>
                <a:lnTo>
                  <a:pt x="3844" y="0"/>
                </a:lnTo>
                <a:lnTo>
                  <a:pt x="2793" y="1042"/>
                </a:lnTo>
                <a:lnTo>
                  <a:pt x="535" y="1042"/>
                </a:lnTo>
                <a:lnTo>
                  <a:pt x="166" y="1618"/>
                </a:lnTo>
                <a:lnTo>
                  <a:pt x="0" y="1618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Freeform 110">
            <a:extLst>
              <a:ext uri="{FF2B5EF4-FFF2-40B4-BE49-F238E27FC236}">
                <a16:creationId xmlns="" xmlns:a16="http://schemas.microsoft.com/office/drawing/2014/main" id="{00000000-0008-0000-0700-000030000000}"/>
              </a:ext>
            </a:extLst>
          </xdr:cNvPr>
          <xdr:cNvSpPr>
            <a:spLocks/>
          </xdr:cNvSpPr>
        </xdr:nvSpPr>
        <xdr:spPr bwMode="auto">
          <a:xfrm>
            <a:off x="33251" y="271423"/>
            <a:ext cx="301404" cy="128068"/>
          </a:xfrm>
          <a:custGeom>
            <a:avLst/>
            <a:gdLst>
              <a:gd name="T0" fmla="*/ 0 w 3761"/>
              <a:gd name="T1" fmla="*/ 1600 h 1600"/>
              <a:gd name="T2" fmla="*/ 553 w 3761"/>
              <a:gd name="T3" fmla="*/ 759 h 1600"/>
              <a:gd name="T4" fmla="*/ 2839 w 3761"/>
              <a:gd name="T5" fmla="*/ 759 h 1600"/>
              <a:gd name="T6" fmla="*/ 3604 w 3761"/>
              <a:gd name="T7" fmla="*/ 0 h 1600"/>
              <a:gd name="T8" fmla="*/ 3761 w 3761"/>
              <a:gd name="T9" fmla="*/ 0 h 1600"/>
              <a:gd name="T10" fmla="*/ 2885 w 3761"/>
              <a:gd name="T11" fmla="*/ 869 h 1600"/>
              <a:gd name="T12" fmla="*/ 655 w 3761"/>
              <a:gd name="T13" fmla="*/ 869 h 1600"/>
              <a:gd name="T14" fmla="*/ 157 w 3761"/>
              <a:gd name="T15" fmla="*/ 1600 h 1600"/>
              <a:gd name="T16" fmla="*/ 0 w 3761"/>
              <a:gd name="T17" fmla="*/ 1600 h 1600"/>
              <a:gd name="T18" fmla="*/ 0 w 3761"/>
              <a:gd name="T19" fmla="*/ 1600 h 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761" h="1600">
                <a:moveTo>
                  <a:pt x="0" y="1600"/>
                </a:moveTo>
                <a:lnTo>
                  <a:pt x="553" y="759"/>
                </a:lnTo>
                <a:lnTo>
                  <a:pt x="2839" y="759"/>
                </a:lnTo>
                <a:lnTo>
                  <a:pt x="3604" y="0"/>
                </a:lnTo>
                <a:lnTo>
                  <a:pt x="3761" y="0"/>
                </a:lnTo>
                <a:lnTo>
                  <a:pt x="2885" y="869"/>
                </a:lnTo>
                <a:lnTo>
                  <a:pt x="655" y="869"/>
                </a:lnTo>
                <a:lnTo>
                  <a:pt x="157" y="1600"/>
                </a:lnTo>
                <a:lnTo>
                  <a:pt x="0" y="1600"/>
                </a:lnTo>
                <a:close/>
              </a:path>
            </a:pathLst>
          </a:custGeom>
          <a:solidFill>
            <a:srgbClr val="00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Freeform 111">
            <a:extLst>
              <a:ext uri="{FF2B5EF4-FFF2-40B4-BE49-F238E27FC236}">
                <a16:creationId xmlns="" xmlns:a16="http://schemas.microsoft.com/office/drawing/2014/main" id="{00000000-0008-0000-0700-000031000000}"/>
              </a:ext>
            </a:extLst>
          </xdr:cNvPr>
          <xdr:cNvSpPr>
            <a:spLocks/>
          </xdr:cNvSpPr>
        </xdr:nvSpPr>
        <xdr:spPr bwMode="auto">
          <a:xfrm>
            <a:off x="317583" y="266307"/>
            <a:ext cx="13324" cy="13919"/>
          </a:xfrm>
          <a:custGeom>
            <a:avLst/>
            <a:gdLst>
              <a:gd name="T0" fmla="*/ 83 w 166"/>
              <a:gd name="T1" fmla="*/ 174 h 174"/>
              <a:gd name="T2" fmla="*/ 138 w 166"/>
              <a:gd name="T3" fmla="*/ 147 h 174"/>
              <a:gd name="T4" fmla="*/ 166 w 166"/>
              <a:gd name="T5" fmla="*/ 92 h 174"/>
              <a:gd name="T6" fmla="*/ 138 w 166"/>
              <a:gd name="T7" fmla="*/ 28 h 174"/>
              <a:gd name="T8" fmla="*/ 83 w 166"/>
              <a:gd name="T9" fmla="*/ 0 h 174"/>
              <a:gd name="T10" fmla="*/ 18 w 166"/>
              <a:gd name="T11" fmla="*/ 28 h 174"/>
              <a:gd name="T12" fmla="*/ 0 w 166"/>
              <a:gd name="T13" fmla="*/ 92 h 174"/>
              <a:gd name="T14" fmla="*/ 18 w 166"/>
              <a:gd name="T15" fmla="*/ 147 h 174"/>
              <a:gd name="T16" fmla="*/ 83 w 166"/>
              <a:gd name="T17" fmla="*/ 174 h 174"/>
              <a:gd name="T18" fmla="*/ 83 w 166"/>
              <a:gd name="T19" fmla="*/ 174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66" h="174">
                <a:moveTo>
                  <a:pt x="83" y="174"/>
                </a:moveTo>
                <a:lnTo>
                  <a:pt x="138" y="147"/>
                </a:lnTo>
                <a:lnTo>
                  <a:pt x="166" y="92"/>
                </a:lnTo>
                <a:lnTo>
                  <a:pt x="138" y="28"/>
                </a:lnTo>
                <a:lnTo>
                  <a:pt x="83" y="0"/>
                </a:lnTo>
                <a:lnTo>
                  <a:pt x="18" y="28"/>
                </a:lnTo>
                <a:lnTo>
                  <a:pt x="0" y="92"/>
                </a:lnTo>
                <a:lnTo>
                  <a:pt x="18" y="147"/>
                </a:lnTo>
                <a:lnTo>
                  <a:pt x="83" y="174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0" name="Freeform 112">
            <a:extLst>
              <a:ext uri="{FF2B5EF4-FFF2-40B4-BE49-F238E27FC236}">
                <a16:creationId xmlns="" xmlns:a16="http://schemas.microsoft.com/office/drawing/2014/main" id="{00000000-0008-0000-0700-000032000000}"/>
              </a:ext>
            </a:extLst>
          </xdr:cNvPr>
          <xdr:cNvSpPr>
            <a:spLocks/>
          </xdr:cNvSpPr>
        </xdr:nvSpPr>
        <xdr:spPr bwMode="auto">
          <a:xfrm>
            <a:off x="358924" y="267080"/>
            <a:ext cx="13324" cy="13146"/>
          </a:xfrm>
          <a:custGeom>
            <a:avLst/>
            <a:gdLst>
              <a:gd name="T0" fmla="*/ 83 w 166"/>
              <a:gd name="T1" fmla="*/ 165 h 165"/>
              <a:gd name="T2" fmla="*/ 111 w 166"/>
              <a:gd name="T3" fmla="*/ 156 h 165"/>
              <a:gd name="T4" fmla="*/ 139 w 166"/>
              <a:gd name="T5" fmla="*/ 147 h 165"/>
              <a:gd name="T6" fmla="*/ 148 w 166"/>
              <a:gd name="T7" fmla="*/ 110 h 165"/>
              <a:gd name="T8" fmla="*/ 166 w 166"/>
              <a:gd name="T9" fmla="*/ 83 h 165"/>
              <a:gd name="T10" fmla="*/ 148 w 166"/>
              <a:gd name="T11" fmla="*/ 46 h 165"/>
              <a:gd name="T12" fmla="*/ 139 w 166"/>
              <a:gd name="T13" fmla="*/ 19 h 165"/>
              <a:gd name="T14" fmla="*/ 111 w 166"/>
              <a:gd name="T15" fmla="*/ 0 h 165"/>
              <a:gd name="T16" fmla="*/ 83 w 166"/>
              <a:gd name="T17" fmla="*/ 0 h 165"/>
              <a:gd name="T18" fmla="*/ 37 w 166"/>
              <a:gd name="T19" fmla="*/ 0 h 165"/>
              <a:gd name="T20" fmla="*/ 19 w 166"/>
              <a:gd name="T21" fmla="*/ 19 h 165"/>
              <a:gd name="T22" fmla="*/ 0 w 166"/>
              <a:gd name="T23" fmla="*/ 46 h 165"/>
              <a:gd name="T24" fmla="*/ 0 w 166"/>
              <a:gd name="T25" fmla="*/ 83 h 165"/>
              <a:gd name="T26" fmla="*/ 19 w 166"/>
              <a:gd name="T27" fmla="*/ 147 h 165"/>
              <a:gd name="T28" fmla="*/ 83 w 166"/>
              <a:gd name="T29" fmla="*/ 165 h 165"/>
              <a:gd name="T30" fmla="*/ 83 w 166"/>
              <a:gd name="T31" fmla="*/ 165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66" h="165">
                <a:moveTo>
                  <a:pt x="83" y="165"/>
                </a:moveTo>
                <a:lnTo>
                  <a:pt x="111" y="156"/>
                </a:lnTo>
                <a:lnTo>
                  <a:pt x="139" y="147"/>
                </a:lnTo>
                <a:lnTo>
                  <a:pt x="148" y="110"/>
                </a:lnTo>
                <a:lnTo>
                  <a:pt x="166" y="83"/>
                </a:lnTo>
                <a:lnTo>
                  <a:pt x="148" y="46"/>
                </a:lnTo>
                <a:lnTo>
                  <a:pt x="139" y="19"/>
                </a:lnTo>
                <a:lnTo>
                  <a:pt x="111" y="0"/>
                </a:lnTo>
                <a:lnTo>
                  <a:pt x="83" y="0"/>
                </a:lnTo>
                <a:lnTo>
                  <a:pt x="37" y="0"/>
                </a:lnTo>
                <a:lnTo>
                  <a:pt x="19" y="19"/>
                </a:lnTo>
                <a:lnTo>
                  <a:pt x="0" y="46"/>
                </a:lnTo>
                <a:lnTo>
                  <a:pt x="0" y="83"/>
                </a:lnTo>
                <a:lnTo>
                  <a:pt x="19" y="147"/>
                </a:lnTo>
                <a:lnTo>
                  <a:pt x="83" y="165"/>
                </a:lnTo>
                <a:close/>
              </a:path>
            </a:pathLst>
          </a:custGeom>
          <a:solidFill>
            <a:srgbClr val="FF00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51" name="Line 157">
            <a:extLst>
              <a:ext uri="{FF2B5EF4-FFF2-40B4-BE49-F238E27FC236}">
                <a16:creationId xmlns="" xmlns:a16="http://schemas.microsoft.com/office/drawing/2014/main" id="{00000000-0008-0000-0700-000033000000}"/>
              </a:ext>
            </a:extLst>
          </xdr:cNvPr>
          <xdr:cNvCxnSpPr/>
        </xdr:nvCxnSpPr>
        <xdr:spPr bwMode="auto">
          <a:xfrm flipV="1">
            <a:off x="492524" y="139191"/>
            <a:ext cx="149720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2" name="Line 156">
            <a:extLst>
              <a:ext uri="{FF2B5EF4-FFF2-40B4-BE49-F238E27FC236}">
                <a16:creationId xmlns="" xmlns:a16="http://schemas.microsoft.com/office/drawing/2014/main" id="{00000000-0008-0000-0700-000034000000}"/>
              </a:ext>
            </a:extLst>
          </xdr:cNvPr>
          <xdr:cNvCxnSpPr/>
        </xdr:nvCxnSpPr>
        <xdr:spPr bwMode="auto">
          <a:xfrm flipH="1" flipV="1">
            <a:off x="385454" y="235554"/>
            <a:ext cx="107189" cy="28908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3" name="Line 158">
            <a:extLst>
              <a:ext uri="{FF2B5EF4-FFF2-40B4-BE49-F238E27FC236}">
                <a16:creationId xmlns="" xmlns:a16="http://schemas.microsoft.com/office/drawing/2014/main" id="{00000000-0008-0000-0700-000035000000}"/>
              </a:ext>
            </a:extLst>
          </xdr:cNvPr>
          <xdr:cNvCxnSpPr/>
        </xdr:nvCxnSpPr>
        <xdr:spPr bwMode="auto">
          <a:xfrm flipV="1">
            <a:off x="278383" y="235554"/>
            <a:ext cx="107011" cy="28914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4" name="Line 154">
            <a:extLst>
              <a:ext uri="{FF2B5EF4-FFF2-40B4-BE49-F238E27FC236}">
                <a16:creationId xmlns="" xmlns:a16="http://schemas.microsoft.com/office/drawing/2014/main" id="{00000000-0008-0000-0700-000036000000}"/>
              </a:ext>
            </a:extLst>
          </xdr:cNvPr>
          <xdr:cNvCxnSpPr/>
        </xdr:nvCxnSpPr>
        <xdr:spPr bwMode="auto">
          <a:xfrm flipH="1" flipV="1">
            <a:off x="139192" y="139191"/>
            <a:ext cx="139192" cy="385452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5" name="Line 160">
            <a:extLst>
              <a:ext uri="{FF2B5EF4-FFF2-40B4-BE49-F238E27FC236}">
                <a16:creationId xmlns="" xmlns:a16="http://schemas.microsoft.com/office/drawing/2014/main" id="{00000000-0008-0000-0700-000037000000}"/>
              </a:ext>
            </a:extLst>
          </xdr:cNvPr>
          <xdr:cNvCxnSpPr/>
        </xdr:nvCxnSpPr>
        <xdr:spPr bwMode="auto">
          <a:xfrm flipV="1">
            <a:off x="278383" y="139191"/>
            <a:ext cx="10707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" name="Line 159">
            <a:extLst>
              <a:ext uri="{FF2B5EF4-FFF2-40B4-BE49-F238E27FC236}">
                <a16:creationId xmlns="" xmlns:a16="http://schemas.microsoft.com/office/drawing/2014/main" id="{00000000-0008-0000-0700-000038000000}"/>
              </a:ext>
            </a:extLst>
          </xdr:cNvPr>
          <xdr:cNvCxnSpPr/>
        </xdr:nvCxnSpPr>
        <xdr:spPr bwMode="auto">
          <a:xfrm flipH="1" flipV="1">
            <a:off x="171313" y="139191"/>
            <a:ext cx="107011" cy="289030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161">
            <a:extLst>
              <a:ext uri="{FF2B5EF4-FFF2-40B4-BE49-F238E27FC236}">
                <a16:creationId xmlns="" xmlns:a16="http://schemas.microsoft.com/office/drawing/2014/main" id="{00000000-0008-0000-0700-000039000000}"/>
              </a:ext>
            </a:extLst>
          </xdr:cNvPr>
          <xdr:cNvCxnSpPr/>
        </xdr:nvCxnSpPr>
        <xdr:spPr bwMode="auto">
          <a:xfrm>
            <a:off x="139192" y="139191"/>
            <a:ext cx="32121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8" name="Line 142">
            <a:extLst>
              <a:ext uri="{FF2B5EF4-FFF2-40B4-BE49-F238E27FC236}">
                <a16:creationId xmlns="" xmlns:a16="http://schemas.microsoft.com/office/drawing/2014/main" id="{00000000-0008-0000-0700-00003A000000}"/>
              </a:ext>
            </a:extLst>
          </xdr:cNvPr>
          <xdr:cNvCxnSpPr/>
        </xdr:nvCxnSpPr>
        <xdr:spPr bwMode="auto">
          <a:xfrm>
            <a:off x="385454" y="139191"/>
            <a:ext cx="256910" cy="59"/>
          </a:xfrm>
          <a:prstGeom prst="line">
            <a:avLst/>
          </a:prstGeom>
          <a:noFill/>
          <a:ln w="9525">
            <a:solidFill>
              <a:srgbClr val="99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</xdr:col>
      <xdr:colOff>1003300</xdr:colOff>
      <xdr:row>1</xdr:row>
      <xdr:rowOff>419100</xdr:rowOff>
    </xdr:from>
    <xdr:to>
      <xdr:col>2</xdr:col>
      <xdr:colOff>107950</xdr:colOff>
      <xdr:row>1</xdr:row>
      <xdr:rowOff>445135</xdr:rowOff>
    </xdr:to>
    <xdr:cxnSp macro="">
      <xdr:nvCxnSpPr>
        <xdr:cNvPr id="59" name="Straight Connector 58">
          <a:extLst>
            <a:ext uri="{FF2B5EF4-FFF2-40B4-BE49-F238E27FC236}">
              <a16:creationId xmlns="" xmlns:a16="http://schemas.microsoft.com/office/drawing/2014/main" id="{00000000-0008-0000-0700-00003B000000}"/>
            </a:ext>
          </a:extLst>
        </xdr:cNvPr>
        <xdr:cNvCxnSpPr/>
      </xdr:nvCxnSpPr>
      <xdr:spPr>
        <a:xfrm flipV="1">
          <a:off x="1612900" y="863600"/>
          <a:ext cx="819150" cy="2603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1006475</xdr:colOff>
      <xdr:row>1</xdr:row>
      <xdr:rowOff>473075</xdr:rowOff>
    </xdr:from>
    <xdr:to>
      <xdr:col>2</xdr:col>
      <xdr:colOff>171450</xdr:colOff>
      <xdr:row>1</xdr:row>
      <xdr:rowOff>508000</xdr:rowOff>
    </xdr:to>
    <xdr:cxnSp macro="">
      <xdr:nvCxnSpPr>
        <xdr:cNvPr id="60" name="Straight Connector 59">
          <a:extLst>
            <a:ext uri="{FF2B5EF4-FFF2-40B4-BE49-F238E27FC236}">
              <a16:creationId xmlns="" xmlns:a16="http://schemas.microsoft.com/office/drawing/2014/main" id="{00000000-0008-0000-0700-00003C000000}"/>
            </a:ext>
          </a:extLst>
        </xdr:cNvPr>
        <xdr:cNvCxnSpPr/>
      </xdr:nvCxnSpPr>
      <xdr:spPr>
        <a:xfrm flipV="1">
          <a:off x="1616075" y="917575"/>
          <a:ext cx="879475" cy="3492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1044575</xdr:colOff>
      <xdr:row>1</xdr:row>
      <xdr:rowOff>549275</xdr:rowOff>
    </xdr:from>
    <xdr:to>
      <xdr:col>2</xdr:col>
      <xdr:colOff>196850</xdr:colOff>
      <xdr:row>1</xdr:row>
      <xdr:rowOff>562610</xdr:rowOff>
    </xdr:to>
    <xdr:cxnSp macro="">
      <xdr:nvCxnSpPr>
        <xdr:cNvPr id="61" name="Straight Connector 60">
          <a:extLst>
            <a:ext uri="{FF2B5EF4-FFF2-40B4-BE49-F238E27FC236}">
              <a16:creationId xmlns="" xmlns:a16="http://schemas.microsoft.com/office/drawing/2014/main" id="{00000000-0008-0000-0700-00003D000000}"/>
            </a:ext>
          </a:extLst>
        </xdr:cNvPr>
        <xdr:cNvCxnSpPr/>
      </xdr:nvCxnSpPr>
      <xdr:spPr>
        <a:xfrm flipV="1">
          <a:off x="1654175" y="993775"/>
          <a:ext cx="866775" cy="13335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908050</xdr:colOff>
      <xdr:row>1</xdr:row>
      <xdr:rowOff>374650</xdr:rowOff>
    </xdr:from>
    <xdr:to>
      <xdr:col>2</xdr:col>
      <xdr:colOff>53975</xdr:colOff>
      <xdr:row>1</xdr:row>
      <xdr:rowOff>393700</xdr:rowOff>
    </xdr:to>
    <xdr:cxnSp macro="">
      <xdr:nvCxnSpPr>
        <xdr:cNvPr id="64" name="Straight Connector 63">
          <a:extLst>
            <a:ext uri="{FF2B5EF4-FFF2-40B4-BE49-F238E27FC236}">
              <a16:creationId xmlns="" xmlns:a16="http://schemas.microsoft.com/office/drawing/2014/main" id="{00000000-0008-0000-0700-000040000000}"/>
            </a:ext>
          </a:extLst>
        </xdr:cNvPr>
        <xdr:cNvCxnSpPr/>
      </xdr:nvCxnSpPr>
      <xdr:spPr>
        <a:xfrm flipV="1">
          <a:off x="1517650" y="819150"/>
          <a:ext cx="860425" cy="1905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990600</xdr:colOff>
      <xdr:row>1</xdr:row>
      <xdr:rowOff>292100</xdr:rowOff>
    </xdr:from>
    <xdr:to>
      <xdr:col>2</xdr:col>
      <xdr:colOff>57150</xdr:colOff>
      <xdr:row>1</xdr:row>
      <xdr:rowOff>317500</xdr:rowOff>
    </xdr:to>
    <xdr:cxnSp macro="">
      <xdr:nvCxnSpPr>
        <xdr:cNvPr id="65" name="Straight Connector 64">
          <a:extLst>
            <a:ext uri="{FF2B5EF4-FFF2-40B4-BE49-F238E27FC236}">
              <a16:creationId xmlns="" xmlns:a16="http://schemas.microsoft.com/office/drawing/2014/main" id="{00000000-0008-0000-0700-000041000000}"/>
            </a:ext>
          </a:extLst>
        </xdr:cNvPr>
        <xdr:cNvCxnSpPr/>
      </xdr:nvCxnSpPr>
      <xdr:spPr>
        <a:xfrm flipV="1">
          <a:off x="1600200" y="736600"/>
          <a:ext cx="781050" cy="2540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203200</xdr:colOff>
      <xdr:row>32</xdr:row>
      <xdr:rowOff>50800</xdr:rowOff>
    </xdr:from>
    <xdr:to>
      <xdr:col>5</xdr:col>
      <xdr:colOff>860425</xdr:colOff>
      <xdr:row>32</xdr:row>
      <xdr:rowOff>73660</xdr:rowOff>
    </xdr:to>
    <xdr:cxnSp macro="">
      <xdr:nvCxnSpPr>
        <xdr:cNvPr id="66" name="Straight Connector 65">
          <a:extLst>
            <a:ext uri="{FF2B5EF4-FFF2-40B4-BE49-F238E27FC236}">
              <a16:creationId xmlns="" xmlns:a16="http://schemas.microsoft.com/office/drawing/2014/main" id="{00000000-0008-0000-0700-000042000000}"/>
            </a:ext>
          </a:extLst>
        </xdr:cNvPr>
        <xdr:cNvCxnSpPr/>
      </xdr:nvCxnSpPr>
      <xdr:spPr>
        <a:xfrm flipV="1">
          <a:off x="5032375" y="7013575"/>
          <a:ext cx="657225" cy="2286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1003300</xdr:colOff>
      <xdr:row>1</xdr:row>
      <xdr:rowOff>146050</xdr:rowOff>
    </xdr:from>
    <xdr:to>
      <xdr:col>2</xdr:col>
      <xdr:colOff>69850</xdr:colOff>
      <xdr:row>1</xdr:row>
      <xdr:rowOff>171450</xdr:rowOff>
    </xdr:to>
    <xdr:cxnSp macro="">
      <xdr:nvCxnSpPr>
        <xdr:cNvPr id="63" name="Straight Connector 62">
          <a:extLst>
            <a:ext uri="{FF2B5EF4-FFF2-40B4-BE49-F238E27FC236}">
              <a16:creationId xmlns="" xmlns:a16="http://schemas.microsoft.com/office/drawing/2014/main" id="{00000000-0008-0000-0700-00003F000000}"/>
            </a:ext>
          </a:extLst>
        </xdr:cNvPr>
        <xdr:cNvCxnSpPr/>
      </xdr:nvCxnSpPr>
      <xdr:spPr>
        <a:xfrm flipV="1">
          <a:off x="1612900" y="590550"/>
          <a:ext cx="781050" cy="2540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990600</xdr:colOff>
      <xdr:row>1</xdr:row>
      <xdr:rowOff>222250</xdr:rowOff>
    </xdr:from>
    <xdr:to>
      <xdr:col>2</xdr:col>
      <xdr:colOff>57150</xdr:colOff>
      <xdr:row>1</xdr:row>
      <xdr:rowOff>247650</xdr:rowOff>
    </xdr:to>
    <xdr:cxnSp macro="">
      <xdr:nvCxnSpPr>
        <xdr:cNvPr id="67" name="Straight Connector 66">
          <a:extLst>
            <a:ext uri="{FF2B5EF4-FFF2-40B4-BE49-F238E27FC236}">
              <a16:creationId xmlns="" xmlns:a16="http://schemas.microsoft.com/office/drawing/2014/main" id="{00000000-0008-0000-0700-000043000000}"/>
            </a:ext>
          </a:extLst>
        </xdr:cNvPr>
        <xdr:cNvCxnSpPr/>
      </xdr:nvCxnSpPr>
      <xdr:spPr>
        <a:xfrm flipV="1">
          <a:off x="1600200" y="666750"/>
          <a:ext cx="781050" cy="2540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6</xdr:col>
      <xdr:colOff>1276350</xdr:colOff>
      <xdr:row>9</xdr:row>
      <xdr:rowOff>15875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"/>
          <a:ext cx="5791200" cy="137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oel Mkulichi" id="{067F4376-4D7C-4457-AE25-7FEE67F1BD57}" userId="S::nmkulichi@fdh.co.mw::bb4d5421-cb80-4bda-9d1d-a19e07d41fd4" providerId="AD"/>
</personList>
</file>

<file path=xl/theme/theme1.xml><?xml version="1.0" encoding="utf-8"?>
<a:theme xmlns:a="http://schemas.openxmlformats.org/drawingml/2006/main" name="Office Theme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62" dT="2025-03-03T17:58:09.61" personId="{067F4376-4D7C-4457-AE25-7FEE67F1BD57}" id="{578F5E0A-F26F-45C5-A2F9-B23006562B12}">
    <text>Actual start date is 3 March 2025. When in April, change the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V80"/>
  <sheetViews>
    <sheetView topLeftCell="B58" workbookViewId="0">
      <pane xSplit="1" topLeftCell="C1" activePane="topRight" state="frozen"/>
      <selection activeCell="B13" sqref="B13"/>
      <selection pane="topRight" activeCell="A47" sqref="A47"/>
    </sheetView>
  </sheetViews>
  <sheetFormatPr defaultRowHeight="12.75" x14ac:dyDescent="0.2"/>
  <cols>
    <col min="2" max="3" width="19.85546875" customWidth="1"/>
    <col min="4" max="6" width="19.85546875" style="112" customWidth="1"/>
    <col min="7" max="7" width="18" style="204" customWidth="1"/>
    <col min="8" max="8" width="18" style="116" customWidth="1"/>
    <col min="9" max="9" width="18.28515625" style="178" customWidth="1"/>
    <col min="10" max="10" width="20.28515625" style="178" customWidth="1"/>
    <col min="11" max="11" width="18.42578125" style="116" customWidth="1"/>
    <col min="12" max="12" width="18.140625" style="204" customWidth="1"/>
    <col min="13" max="13" width="18" style="440" customWidth="1"/>
    <col min="14" max="14" width="22.5703125" style="155" customWidth="1"/>
    <col min="15" max="15" width="10" bestFit="1" customWidth="1"/>
    <col min="16" max="16" width="17.28515625" customWidth="1"/>
    <col min="19" max="20" width="18.42578125" customWidth="1"/>
  </cols>
  <sheetData>
    <row r="1" spans="1:21" ht="35.25" x14ac:dyDescent="0.5">
      <c r="A1" s="652"/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</row>
    <row r="2" spans="1:21" ht="59.25" x14ac:dyDescent="0.45">
      <c r="A2" s="216" t="s">
        <v>166</v>
      </c>
      <c r="B2" s="114"/>
      <c r="C2" s="114"/>
      <c r="D2" s="114"/>
      <c r="E2" s="289"/>
      <c r="F2" s="114"/>
      <c r="G2" s="199"/>
      <c r="H2" s="114"/>
      <c r="I2" s="175"/>
      <c r="J2" s="175"/>
      <c r="K2" s="420"/>
      <c r="L2" s="421"/>
      <c r="M2" s="439"/>
      <c r="N2" s="154"/>
      <c r="O2" s="114"/>
      <c r="P2" s="114"/>
      <c r="Q2" s="114"/>
      <c r="R2" s="114"/>
      <c r="S2" s="114"/>
      <c r="T2" s="114"/>
      <c r="U2" s="114"/>
    </row>
    <row r="3" spans="1:21" ht="35.25" x14ac:dyDescent="0.5">
      <c r="A3" s="113"/>
      <c r="B3" s="114"/>
      <c r="C3" s="114"/>
      <c r="D3" s="114"/>
      <c r="E3" s="289"/>
      <c r="F3" s="114"/>
      <c r="G3" s="199"/>
      <c r="H3" s="114"/>
      <c r="I3" s="175"/>
      <c r="J3" s="175"/>
      <c r="K3" s="420"/>
      <c r="L3" s="421"/>
      <c r="M3" s="439"/>
      <c r="N3" s="154"/>
      <c r="O3" s="114"/>
      <c r="P3" s="114"/>
      <c r="Q3" s="114"/>
      <c r="R3" s="114"/>
      <c r="S3" s="114"/>
      <c r="T3" s="114"/>
      <c r="U3" s="114"/>
    </row>
    <row r="4" spans="1:21" ht="20.25" customHeight="1" x14ac:dyDescent="0.45">
      <c r="A4" s="122" t="s">
        <v>108</v>
      </c>
      <c r="B4" s="114"/>
      <c r="C4" s="114"/>
      <c r="D4" s="114"/>
      <c r="E4" s="289"/>
      <c r="F4" s="114"/>
      <c r="G4" s="199"/>
      <c r="H4" s="114"/>
      <c r="I4" s="175"/>
      <c r="J4" s="175"/>
      <c r="K4" s="420"/>
      <c r="L4" s="421"/>
      <c r="M4" s="439"/>
      <c r="N4" s="154"/>
      <c r="O4" s="114"/>
      <c r="P4" s="114"/>
      <c r="Q4" s="114"/>
      <c r="R4" s="114"/>
      <c r="S4" s="114"/>
      <c r="T4" s="114"/>
      <c r="U4" s="114"/>
    </row>
    <row r="5" spans="1:21" ht="20.25" customHeight="1" thickBot="1" x14ac:dyDescent="0.5">
      <c r="A5" s="122"/>
      <c r="B5" s="114"/>
      <c r="C5" s="114"/>
      <c r="D5" s="114"/>
      <c r="E5" s="289"/>
      <c r="F5" s="114"/>
      <c r="G5" s="199"/>
      <c r="H5" s="114"/>
      <c r="I5" s="175"/>
      <c r="J5" s="175"/>
      <c r="K5" s="420"/>
      <c r="L5" s="421"/>
      <c r="M5" s="439"/>
      <c r="N5" s="154"/>
      <c r="O5" s="114"/>
      <c r="P5" s="114"/>
      <c r="Q5" s="114"/>
      <c r="R5" s="114"/>
      <c r="S5" s="114"/>
      <c r="T5" s="114"/>
      <c r="U5" s="114"/>
    </row>
    <row r="6" spans="1:21" ht="20.25" customHeight="1" thickBot="1" x14ac:dyDescent="0.5">
      <c r="A6" s="515" t="s">
        <v>315</v>
      </c>
      <c r="B6" s="516"/>
      <c r="C6" s="517"/>
      <c r="D6" s="485"/>
      <c r="E6" s="486"/>
      <c r="F6" s="485"/>
      <c r="G6" s="530"/>
      <c r="H6" s="485"/>
      <c r="I6" s="531"/>
      <c r="J6" s="531"/>
      <c r="K6" s="532"/>
      <c r="L6" s="421"/>
      <c r="M6" s="439"/>
      <c r="N6" s="154"/>
      <c r="O6" s="114"/>
      <c r="P6" s="114"/>
      <c r="Q6" s="114"/>
      <c r="R6" s="114"/>
      <c r="S6" s="114"/>
      <c r="T6" s="114"/>
      <c r="U6" s="114"/>
    </row>
    <row r="7" spans="1:21" ht="20.25" customHeight="1" x14ac:dyDescent="0.45">
      <c r="A7" s="518" t="s">
        <v>323</v>
      </c>
      <c r="B7" s="519"/>
      <c r="C7" s="526">
        <v>0</v>
      </c>
      <c r="D7" s="485"/>
      <c r="E7" s="486"/>
      <c r="F7" s="485"/>
      <c r="G7" s="485"/>
      <c r="H7" s="485"/>
      <c r="I7" s="531"/>
      <c r="J7" s="531"/>
      <c r="K7" s="532"/>
      <c r="L7" s="421"/>
      <c r="M7" s="439"/>
      <c r="N7" s="154"/>
      <c r="O7" s="114"/>
      <c r="P7" s="114"/>
      <c r="Q7" s="114"/>
      <c r="R7" s="114"/>
      <c r="S7" s="114"/>
      <c r="T7" s="114"/>
      <c r="U7" s="114"/>
    </row>
    <row r="8" spans="1:21" ht="20.25" customHeight="1" x14ac:dyDescent="0.45">
      <c r="A8" s="520" t="s">
        <v>321</v>
      </c>
      <c r="B8" s="521"/>
      <c r="C8" s="527">
        <v>0</v>
      </c>
      <c r="D8" s="485"/>
      <c r="E8" s="486"/>
      <c r="F8" s="485"/>
      <c r="G8" s="485"/>
      <c r="H8" s="485"/>
      <c r="I8" s="531"/>
      <c r="J8" s="531"/>
      <c r="K8" s="532"/>
      <c r="L8" s="421"/>
      <c r="M8" s="439"/>
      <c r="N8" s="154"/>
      <c r="O8" s="114"/>
      <c r="P8" s="114"/>
      <c r="Q8" s="114"/>
      <c r="R8" s="114"/>
      <c r="S8" s="114"/>
      <c r="T8" s="114"/>
      <c r="U8" s="114"/>
    </row>
    <row r="9" spans="1:21" ht="20.25" customHeight="1" x14ac:dyDescent="0.45">
      <c r="A9" s="522" t="s">
        <v>322</v>
      </c>
      <c r="B9" s="523"/>
      <c r="C9" s="528">
        <v>0</v>
      </c>
      <c r="D9" s="485"/>
      <c r="E9" s="486"/>
      <c r="F9" s="485"/>
      <c r="G9" s="485"/>
      <c r="H9" s="485"/>
      <c r="I9" s="531"/>
      <c r="J9" s="531"/>
      <c r="K9" s="532"/>
      <c r="L9" s="421"/>
      <c r="M9" s="439"/>
      <c r="N9" s="154"/>
      <c r="O9" s="114"/>
      <c r="P9" s="114"/>
      <c r="Q9" s="114"/>
      <c r="R9" s="114"/>
      <c r="S9" s="114"/>
      <c r="T9" s="114"/>
      <c r="U9" s="114"/>
    </row>
    <row r="10" spans="1:21" ht="20.25" customHeight="1" thickBot="1" x14ac:dyDescent="0.5">
      <c r="A10" s="524" t="s">
        <v>316</v>
      </c>
      <c r="B10" s="525"/>
      <c r="C10" s="529">
        <v>0</v>
      </c>
      <c r="D10" s="485"/>
      <c r="E10" s="486"/>
      <c r="F10" s="485"/>
      <c r="G10" s="485"/>
      <c r="H10" s="485"/>
      <c r="I10" s="531"/>
      <c r="J10" s="531"/>
      <c r="K10" s="532"/>
      <c r="L10" s="421"/>
      <c r="M10" s="439"/>
      <c r="N10" s="154"/>
      <c r="O10" s="114"/>
      <c r="P10" s="114"/>
      <c r="Q10" s="114"/>
      <c r="R10" s="114"/>
      <c r="S10" s="114"/>
      <c r="T10" s="114"/>
      <c r="U10" s="114"/>
    </row>
    <row r="11" spans="1:21" ht="20.25" customHeight="1" x14ac:dyDescent="0.45">
      <c r="A11" s="122"/>
      <c r="B11" s="114"/>
      <c r="C11" s="114"/>
      <c r="D11" s="485"/>
      <c r="E11" s="486"/>
      <c r="F11" s="485"/>
      <c r="G11" s="485"/>
      <c r="H11" s="485"/>
      <c r="I11" s="531"/>
      <c r="J11" s="531"/>
      <c r="K11" s="532"/>
      <c r="L11" s="421"/>
      <c r="M11" s="439"/>
      <c r="N11" s="154"/>
      <c r="O11" s="114"/>
      <c r="P11" s="114"/>
      <c r="Q11" s="114"/>
      <c r="R11" s="114"/>
      <c r="S11" s="114"/>
      <c r="T11" s="114"/>
      <c r="U11" s="114"/>
    </row>
    <row r="12" spans="1:21" ht="18" customHeight="1" x14ac:dyDescent="0.45">
      <c r="A12" s="127" t="s">
        <v>110</v>
      </c>
      <c r="B12" s="114"/>
      <c r="C12" s="485"/>
      <c r="D12" s="485"/>
      <c r="E12" s="486"/>
      <c r="F12" s="485"/>
      <c r="G12" s="485"/>
      <c r="H12" s="485"/>
      <c r="I12" s="531"/>
      <c r="J12" s="531"/>
      <c r="K12" s="532"/>
      <c r="L12" s="421"/>
      <c r="M12" s="439"/>
      <c r="N12" s="154"/>
      <c r="O12" s="114"/>
      <c r="P12" s="114"/>
      <c r="Q12" s="114"/>
      <c r="R12" s="114"/>
      <c r="S12" s="114"/>
      <c r="T12" s="114"/>
      <c r="U12" s="114"/>
    </row>
    <row r="14" spans="1:21" s="72" customFormat="1" ht="24.95" customHeight="1" x14ac:dyDescent="0.2">
      <c r="A14" s="72" t="s">
        <v>52</v>
      </c>
      <c r="B14" s="71" t="s">
        <v>43</v>
      </c>
      <c r="C14" s="71" t="s">
        <v>44</v>
      </c>
      <c r="D14" s="117" t="s">
        <v>67</v>
      </c>
      <c r="E14" s="117" t="s">
        <v>317</v>
      </c>
      <c r="F14" s="117" t="s">
        <v>318</v>
      </c>
      <c r="G14" s="200" t="s">
        <v>45</v>
      </c>
      <c r="H14" s="488" t="s">
        <v>46</v>
      </c>
      <c r="I14" s="491" t="s">
        <v>47</v>
      </c>
      <c r="J14" s="491" t="s">
        <v>48</v>
      </c>
      <c r="K14" s="488" t="s">
        <v>49</v>
      </c>
      <c r="L14" s="200" t="s">
        <v>50</v>
      </c>
      <c r="M14" s="494" t="s">
        <v>51</v>
      </c>
      <c r="N14" s="495" t="s">
        <v>143</v>
      </c>
      <c r="P14">
        <v>1</v>
      </c>
      <c r="Q14" t="s">
        <v>362</v>
      </c>
      <c r="R14"/>
      <c r="S14" s="112">
        <v>60000</v>
      </c>
    </row>
    <row r="15" spans="1:21" ht="24.95" customHeight="1" x14ac:dyDescent="0.2">
      <c r="A15" s="73" t="s">
        <v>86</v>
      </c>
      <c r="B15" s="144" t="s">
        <v>331</v>
      </c>
      <c r="C15" s="144" t="s">
        <v>332</v>
      </c>
      <c r="D15" s="145">
        <v>0</v>
      </c>
      <c r="E15" s="145">
        <f>IF(Wages!R162="vacant",0,IF(Wages!R162/30&lt;6,0,IF(Wages!R162/30&lt;12,D15*$C$8/100,IF(Wages!R162/30&lt;60,D15*$C$9/100,IF(Wages!R162/30&gt;59,D15*$C$10/100,"")))))</f>
        <v>0</v>
      </c>
      <c r="F15" s="145">
        <f>IF(B15="vacant",0,D15+E15)</f>
        <v>0</v>
      </c>
      <c r="G15" s="201">
        <v>24438</v>
      </c>
      <c r="H15" s="146" t="s">
        <v>118</v>
      </c>
      <c r="I15" s="176" t="s">
        <v>119</v>
      </c>
      <c r="J15" s="496" t="s">
        <v>238</v>
      </c>
      <c r="K15" s="497" t="s">
        <v>334</v>
      </c>
      <c r="L15" s="498">
        <v>44892</v>
      </c>
      <c r="M15" s="499">
        <v>35799</v>
      </c>
      <c r="N15" s="500" t="s">
        <v>333</v>
      </c>
      <c r="P15">
        <f>+P14+1</f>
        <v>2</v>
      </c>
      <c r="Q15" t="s">
        <v>393</v>
      </c>
      <c r="S15" s="112">
        <v>70000</v>
      </c>
    </row>
    <row r="16" spans="1:21" ht="24.95" customHeight="1" x14ac:dyDescent="0.2">
      <c r="A16" s="73" t="s">
        <v>87</v>
      </c>
      <c r="B16" s="144" t="s">
        <v>106</v>
      </c>
      <c r="C16" s="144" t="s">
        <v>107</v>
      </c>
      <c r="D16" s="145">
        <v>120000</v>
      </c>
      <c r="E16" s="145">
        <f>IF(Wages!R163="vacant",0,IF(Wages!R163/30&lt;6,0,IF(Wages!R163/30&lt;12,D16*$C$8/100,IF(Wages!R163/30&lt;60,D16*$C$9/100,IF(Wages!R163/30&gt;59,D16*$C$10/100,"")))))</f>
        <v>0</v>
      </c>
      <c r="F16" s="145">
        <f>IF(B16="vacant",0,D16+E16)</f>
        <v>120000</v>
      </c>
      <c r="G16" s="201">
        <v>32946</v>
      </c>
      <c r="H16" s="146" t="s">
        <v>118</v>
      </c>
      <c r="I16" s="176" t="s">
        <v>119</v>
      </c>
      <c r="J16" s="496" t="s">
        <v>238</v>
      </c>
      <c r="K16" s="497" t="s">
        <v>149</v>
      </c>
      <c r="L16" s="498">
        <v>45730</v>
      </c>
      <c r="M16" s="499">
        <v>41630</v>
      </c>
      <c r="N16" s="500" t="s">
        <v>239</v>
      </c>
      <c r="P16">
        <f>+P15+1</f>
        <v>3</v>
      </c>
      <c r="Q16" t="s">
        <v>394</v>
      </c>
      <c r="S16" s="112">
        <v>30000</v>
      </c>
    </row>
    <row r="17" spans="1:22" ht="24.95" customHeight="1" x14ac:dyDescent="0.2">
      <c r="A17" s="73" t="s">
        <v>88</v>
      </c>
      <c r="B17" s="144" t="s">
        <v>42</v>
      </c>
      <c r="C17" s="144" t="s">
        <v>22</v>
      </c>
      <c r="D17" s="219">
        <v>100000</v>
      </c>
      <c r="E17" s="145">
        <f>IF(Wages!R164="vacant",0,IF(Wages!R164/30&lt;6,0,IF(Wages!R164/30&lt;12,D17*$C$8/100,IF(Wages!R164/30&lt;60,D17*$C$9/100,IF(Wages!R164/30&gt;59,D17*$C$10/100,"")))))</f>
        <v>0</v>
      </c>
      <c r="F17" s="145">
        <f>IF(B17="vacant",0,D17+E17)</f>
        <v>0</v>
      </c>
      <c r="G17" s="203" t="s">
        <v>240</v>
      </c>
      <c r="H17" s="149" t="s">
        <v>196</v>
      </c>
      <c r="I17" s="174" t="s">
        <v>197</v>
      </c>
      <c r="J17" s="501" t="s">
        <v>198</v>
      </c>
      <c r="K17" s="502" t="s">
        <v>241</v>
      </c>
      <c r="L17" s="498" t="s">
        <v>242</v>
      </c>
      <c r="M17" s="503">
        <v>45386</v>
      </c>
      <c r="N17" s="504" t="s">
        <v>201</v>
      </c>
      <c r="O17" s="73"/>
      <c r="P17">
        <f>+P16+1</f>
        <v>4</v>
      </c>
      <c r="Q17" t="s">
        <v>363</v>
      </c>
      <c r="S17" s="112">
        <v>150000</v>
      </c>
      <c r="T17" s="73"/>
      <c r="U17" s="73"/>
      <c r="V17" s="73"/>
    </row>
    <row r="18" spans="1:22" ht="24.95" customHeight="1" x14ac:dyDescent="0.2">
      <c r="A18" s="73"/>
      <c r="B18" s="73"/>
      <c r="C18" s="73"/>
      <c r="D18" s="73"/>
      <c r="E18" s="73"/>
      <c r="F18" s="73"/>
      <c r="G18" s="202"/>
      <c r="H18" s="73"/>
      <c r="I18" s="492"/>
      <c r="J18" s="492"/>
      <c r="K18" s="505"/>
      <c r="L18" s="507"/>
      <c r="M18" s="506"/>
      <c r="N18" s="508"/>
      <c r="O18" s="73"/>
      <c r="P18">
        <f>+P17+1</f>
        <v>5</v>
      </c>
      <c r="Q18" t="s">
        <v>364</v>
      </c>
      <c r="S18" s="112">
        <v>100000</v>
      </c>
      <c r="T18" s="73"/>
      <c r="U18" s="73"/>
      <c r="V18" s="73"/>
    </row>
    <row r="19" spans="1:22" ht="24.95" customHeight="1" x14ac:dyDescent="0.25">
      <c r="A19" s="126" t="s">
        <v>324</v>
      </c>
      <c r="B19" s="73"/>
      <c r="C19" s="73"/>
      <c r="D19" s="73"/>
      <c r="E19" s="73"/>
      <c r="F19" s="73"/>
      <c r="G19" s="202"/>
      <c r="H19" s="73"/>
      <c r="I19" s="492"/>
      <c r="J19" s="492"/>
      <c r="K19" s="505"/>
      <c r="L19" s="507"/>
      <c r="M19" s="506"/>
      <c r="N19" s="508"/>
      <c r="O19" s="73"/>
      <c r="P19">
        <f>+P18+1</f>
        <v>6</v>
      </c>
      <c r="Q19" t="s">
        <v>365</v>
      </c>
      <c r="S19" s="112">
        <v>100000</v>
      </c>
      <c r="T19" s="73"/>
      <c r="U19" s="73"/>
      <c r="V19" s="73"/>
    </row>
    <row r="20" spans="1:22" ht="24.95" customHeight="1" x14ac:dyDescent="0.35">
      <c r="A20" s="126"/>
      <c r="B20" s="73"/>
      <c r="C20" s="73"/>
      <c r="D20" s="73"/>
      <c r="E20" s="303" t="s">
        <v>22</v>
      </c>
      <c r="F20" s="73"/>
      <c r="G20" s="202"/>
      <c r="H20" s="73"/>
      <c r="I20" s="492"/>
      <c r="J20" s="492"/>
      <c r="K20" s="505"/>
      <c r="L20" s="507"/>
      <c r="M20" s="506"/>
      <c r="N20" s="508"/>
      <c r="O20" s="73"/>
      <c r="P20" t="s">
        <v>22</v>
      </c>
      <c r="Q20" t="s">
        <v>163</v>
      </c>
      <c r="S20" s="614">
        <f>SUM(S14:S19)</f>
        <v>510000</v>
      </c>
      <c r="T20" s="73"/>
      <c r="U20" s="73"/>
      <c r="V20" s="73"/>
    </row>
    <row r="21" spans="1:22" ht="24.95" customHeight="1" x14ac:dyDescent="0.2">
      <c r="A21" s="72" t="s">
        <v>52</v>
      </c>
      <c r="B21" s="71" t="s">
        <v>43</v>
      </c>
      <c r="C21" s="71" t="s">
        <v>44</v>
      </c>
      <c r="D21" s="117" t="s">
        <v>67</v>
      </c>
      <c r="E21" s="117" t="s">
        <v>317</v>
      </c>
      <c r="F21" s="117" t="s">
        <v>318</v>
      </c>
      <c r="G21" s="200" t="s">
        <v>45</v>
      </c>
      <c r="H21" s="488" t="s">
        <v>46</v>
      </c>
      <c r="I21" s="491" t="s">
        <v>47</v>
      </c>
      <c r="J21" s="491" t="s">
        <v>48</v>
      </c>
      <c r="K21" s="488" t="s">
        <v>49</v>
      </c>
      <c r="L21" s="200" t="s">
        <v>50</v>
      </c>
      <c r="M21" s="494" t="s">
        <v>51</v>
      </c>
      <c r="N21" s="495" t="str">
        <f>N14</f>
        <v>Contact Number</v>
      </c>
      <c r="O21" s="73"/>
      <c r="P21" t="s">
        <v>22</v>
      </c>
      <c r="S21" s="112"/>
      <c r="T21" s="73"/>
      <c r="U21" s="73"/>
      <c r="V21" s="73"/>
    </row>
    <row r="22" spans="1:22" ht="24.95" customHeight="1" x14ac:dyDescent="0.2">
      <c r="A22" s="73" t="s">
        <v>89</v>
      </c>
      <c r="B22" s="144" t="s">
        <v>151</v>
      </c>
      <c r="C22" s="144" t="s">
        <v>152</v>
      </c>
      <c r="D22" s="220">
        <v>80000</v>
      </c>
      <c r="E22" s="145">
        <f>IF(Wages!R165="vacant",0,IF(Wages!R165/30&lt;6,0,IF(Wages!R165/30&lt;12,D22*$C$8/100,IF(Wages!R165/30&lt;60,D22*$C$9/100,IF(Wages!R165/30&gt;59,D22*$C$10/100,"")))))</f>
        <v>0</v>
      </c>
      <c r="F22" s="145">
        <f>IF(B22="vacant",0,D22+E22)</f>
        <v>80000</v>
      </c>
      <c r="G22" s="201">
        <v>44139</v>
      </c>
      <c r="H22" s="146" t="s">
        <v>118</v>
      </c>
      <c r="I22" s="174" t="s">
        <v>243</v>
      </c>
      <c r="J22" s="501" t="s">
        <v>142</v>
      </c>
      <c r="K22" s="509" t="s">
        <v>244</v>
      </c>
      <c r="L22" s="498" t="s">
        <v>245</v>
      </c>
      <c r="M22" s="499">
        <v>44854</v>
      </c>
      <c r="N22" s="500" t="s">
        <v>246</v>
      </c>
      <c r="Q22" s="613" t="s">
        <v>339</v>
      </c>
      <c r="S22" s="112"/>
    </row>
    <row r="23" spans="1:22" ht="24.95" customHeight="1" x14ac:dyDescent="0.2">
      <c r="A23" s="73" t="s">
        <v>90</v>
      </c>
      <c r="B23" s="144" t="s">
        <v>168</v>
      </c>
      <c r="C23" s="144" t="s">
        <v>169</v>
      </c>
      <c r="D23" s="220">
        <v>80000</v>
      </c>
      <c r="E23" s="145">
        <f>IF(Wages!R166="vacant",0,IF(Wages!R166/30&lt;6,0,IF(Wages!R166/30&lt;12,D23*$C$8/100,IF(Wages!R166/30&lt;60,D23*$C$9/100,IF(Wages!R166/30&gt;59,D23*$C$10/100,"")))))</f>
        <v>0</v>
      </c>
      <c r="F23" s="145">
        <f t="shared" ref="F23:F28" si="0">IF(B23="vacant",0,D23+E23)</f>
        <v>80000</v>
      </c>
      <c r="G23" s="203" t="s">
        <v>247</v>
      </c>
      <c r="H23" s="149" t="s">
        <v>196</v>
      </c>
      <c r="I23" s="174" t="s">
        <v>248</v>
      </c>
      <c r="J23" s="501" t="s">
        <v>249</v>
      </c>
      <c r="K23" s="509"/>
      <c r="L23" s="498"/>
      <c r="M23" s="503">
        <v>45204</v>
      </c>
      <c r="N23" s="500"/>
      <c r="P23">
        <v>1</v>
      </c>
      <c r="Q23" t="s">
        <v>366</v>
      </c>
      <c r="S23" s="112">
        <v>140000</v>
      </c>
    </row>
    <row r="24" spans="1:22" ht="24.95" customHeight="1" x14ac:dyDescent="0.2">
      <c r="A24" s="73" t="s">
        <v>91</v>
      </c>
      <c r="B24" s="144" t="s">
        <v>42</v>
      </c>
      <c r="C24" s="144" t="s">
        <v>22</v>
      </c>
      <c r="D24" s="220">
        <v>0</v>
      </c>
      <c r="E24" s="145">
        <f>IF(Wages!R167="vacant",0,IF(Wages!R167/30&lt;6,0,IF(Wages!R167/30&lt;12,D24*$C$8/100,IF(Wages!R167/30&lt;60,D24*$C$9/100,IF(Wages!R167/30&gt;59,D24*$C$10/100,"")))))</f>
        <v>0</v>
      </c>
      <c r="F24" s="145">
        <f t="shared" si="0"/>
        <v>0</v>
      </c>
      <c r="G24" s="203" t="s">
        <v>250</v>
      </c>
      <c r="H24" s="149" t="s">
        <v>251</v>
      </c>
      <c r="I24" s="174" t="s">
        <v>252</v>
      </c>
      <c r="J24" s="501" t="s">
        <v>253</v>
      </c>
      <c r="K24" s="509" t="s">
        <v>254</v>
      </c>
      <c r="L24" s="498" t="s">
        <v>255</v>
      </c>
      <c r="M24" s="503">
        <v>45488</v>
      </c>
      <c r="N24" s="500" t="s">
        <v>256</v>
      </c>
      <c r="P24">
        <f>P23+1</f>
        <v>2</v>
      </c>
      <c r="Q24" s="73" t="s">
        <v>379</v>
      </c>
      <c r="S24" s="112">
        <v>0</v>
      </c>
    </row>
    <row r="25" spans="1:22" ht="24.95" customHeight="1" x14ac:dyDescent="0.2">
      <c r="A25" s="73" t="s">
        <v>92</v>
      </c>
      <c r="B25" s="552" t="s">
        <v>356</v>
      </c>
      <c r="C25" s="552" t="s">
        <v>357</v>
      </c>
      <c r="D25" s="548">
        <f>+S38</f>
        <v>80000</v>
      </c>
      <c r="E25" s="548">
        <f>IF(Wages!R159="vacant",0,IF(Wages!R159/30&lt;6,0,IF(Wages!R159/30&lt;12,D25*$C$8/100,IF(Wages!R159/30&lt;60,D25*$C$9/100,IF(Wages!R159/30&gt;59,D25*$C$10/100,"")))))</f>
        <v>0</v>
      </c>
      <c r="F25" s="145">
        <f t="shared" si="0"/>
        <v>80000</v>
      </c>
      <c r="G25" s="549" t="s">
        <v>22</v>
      </c>
      <c r="H25" s="547" t="s">
        <v>22</v>
      </c>
      <c r="I25" s="512" t="s">
        <v>22</v>
      </c>
      <c r="J25" s="512" t="s">
        <v>22</v>
      </c>
      <c r="K25" s="513" t="s">
        <v>22</v>
      </c>
      <c r="L25" s="498" t="s">
        <v>22</v>
      </c>
      <c r="M25" s="550">
        <v>45809</v>
      </c>
      <c r="N25" s="500" t="s">
        <v>358</v>
      </c>
      <c r="P25">
        <f t="shared" ref="P25:P40" si="1">P24+1</f>
        <v>3</v>
      </c>
      <c r="Q25" s="73" t="s">
        <v>380</v>
      </c>
      <c r="S25" s="112">
        <v>0</v>
      </c>
    </row>
    <row r="26" spans="1:22" ht="24.95" customHeight="1" x14ac:dyDescent="0.2">
      <c r="A26" s="73" t="s">
        <v>93</v>
      </c>
      <c r="B26" s="144" t="s">
        <v>170</v>
      </c>
      <c r="C26" s="144" t="s">
        <v>171</v>
      </c>
      <c r="D26" s="219">
        <v>70000</v>
      </c>
      <c r="E26" s="145">
        <f>IF(Wages!R169="vacant",0,IF(Wages!R169/30&lt;6,0,IF(Wages!R169/30&lt;12,D26*$C$8/100,IF(Wages!R169/30&lt;60,D26*$C$9/100,IF(Wages!R169/30&gt;59,D26*$C$10/100,"")))))</f>
        <v>0</v>
      </c>
      <c r="F26" s="145">
        <f t="shared" si="0"/>
        <v>70000</v>
      </c>
      <c r="G26" s="201">
        <v>32972</v>
      </c>
      <c r="H26" s="146" t="s">
        <v>118</v>
      </c>
      <c r="I26" s="176" t="s">
        <v>257</v>
      </c>
      <c r="J26" s="496" t="s">
        <v>142</v>
      </c>
      <c r="K26" s="497" t="s">
        <v>258</v>
      </c>
      <c r="L26" s="498">
        <v>46121</v>
      </c>
      <c r="M26" s="499">
        <v>45241</v>
      </c>
      <c r="N26" s="500"/>
      <c r="P26">
        <f t="shared" si="1"/>
        <v>4</v>
      </c>
      <c r="Q26" t="s">
        <v>367</v>
      </c>
      <c r="S26" s="112">
        <v>70000</v>
      </c>
    </row>
    <row r="27" spans="1:22" ht="24.95" customHeight="1" x14ac:dyDescent="0.2">
      <c r="A27" s="73" t="s">
        <v>94</v>
      </c>
      <c r="B27" s="144" t="s">
        <v>209</v>
      </c>
      <c r="C27" s="144" t="s">
        <v>167</v>
      </c>
      <c r="D27" s="219">
        <v>70000</v>
      </c>
      <c r="E27" s="145">
        <f>IF(Wages!R170="vacant",0,IF(Wages!R170/30&lt;6,0,IF(Wages!R170/30&lt;12,D27*$C$8/100,IF(Wages!R170/30&lt;60,D27*$C$9/100,IF(Wages!R170/30&gt;59,D27*$C$10/100,"")))))</f>
        <v>0</v>
      </c>
      <c r="F27" s="145">
        <f t="shared" si="0"/>
        <v>70000</v>
      </c>
      <c r="G27" s="203" t="s">
        <v>259</v>
      </c>
      <c r="H27" s="149" t="s">
        <v>260</v>
      </c>
      <c r="I27" s="174" t="s">
        <v>261</v>
      </c>
      <c r="J27" s="501" t="s">
        <v>262</v>
      </c>
      <c r="K27" s="509" t="s">
        <v>263</v>
      </c>
      <c r="L27" s="498" t="s">
        <v>264</v>
      </c>
      <c r="M27" s="503">
        <v>45533</v>
      </c>
      <c r="N27" s="510" t="s">
        <v>205</v>
      </c>
      <c r="P27">
        <f t="shared" si="1"/>
        <v>5</v>
      </c>
      <c r="Q27" t="s">
        <v>368</v>
      </c>
      <c r="S27" s="112">
        <v>60000</v>
      </c>
    </row>
    <row r="28" spans="1:22" ht="24.95" customHeight="1" x14ac:dyDescent="0.2">
      <c r="A28" s="73" t="s">
        <v>95</v>
      </c>
      <c r="B28" s="144" t="s">
        <v>351</v>
      </c>
      <c r="C28" s="144" t="s">
        <v>211</v>
      </c>
      <c r="D28" s="219">
        <v>70000</v>
      </c>
      <c r="E28" s="145">
        <f>IF(Wages!R171="vacant",0,IF(Wages!R171/30&lt;6,0,IF(Wages!R171/30&lt;12,D28*$C$8/100,IF(Wages!R171/30&lt;60,D28*$C$9/100,IF(Wages!R171/30&gt;59,D28*$C$10/100,"")))))</f>
        <v>0</v>
      </c>
      <c r="F28" s="145">
        <f t="shared" si="0"/>
        <v>70000</v>
      </c>
      <c r="G28" s="222"/>
      <c r="H28" s="489"/>
      <c r="I28" s="493"/>
      <c r="J28" s="493"/>
      <c r="K28" s="489"/>
      <c r="L28" s="222"/>
      <c r="M28" s="511">
        <v>45163</v>
      </c>
      <c r="N28" s="504" t="s">
        <v>22</v>
      </c>
      <c r="P28">
        <f t="shared" si="1"/>
        <v>6</v>
      </c>
      <c r="Q28" t="s">
        <v>369</v>
      </c>
      <c r="S28" s="112">
        <v>60000</v>
      </c>
    </row>
    <row r="29" spans="1:22" ht="24.95" customHeight="1" x14ac:dyDescent="0.2">
      <c r="A29" s="73" t="s">
        <v>96</v>
      </c>
      <c r="B29" s="552" t="s">
        <v>419</v>
      </c>
      <c r="C29" s="552" t="s">
        <v>420</v>
      </c>
      <c r="D29" s="219">
        <v>70000</v>
      </c>
      <c r="E29" s="145">
        <f>IF(Wages!R172="vacant",0,IF(Wages!R172/30&lt;6,0,IF(Wages!R172/30&lt;12,D29*$C$8/100,IF(Wages!R172/30&lt;60,D29*$C$9/100,IF(Wages!R172/30&gt;59,D29*$C$10/100,"")))))</f>
        <v>0</v>
      </c>
      <c r="F29" s="145">
        <f>IF(B29="vacant",0,D29+E29)</f>
        <v>70000</v>
      </c>
      <c r="G29" s="203"/>
      <c r="H29" s="123"/>
      <c r="I29" s="177"/>
      <c r="J29" s="512"/>
      <c r="K29" s="513"/>
      <c r="L29" s="498"/>
      <c r="M29" s="643">
        <v>45838</v>
      </c>
      <c r="N29" s="504" t="s">
        <v>22</v>
      </c>
      <c r="P29">
        <f t="shared" si="1"/>
        <v>7</v>
      </c>
      <c r="Q29" t="s">
        <v>370</v>
      </c>
      <c r="S29" s="112">
        <v>60000</v>
      </c>
    </row>
    <row r="30" spans="1:22" ht="24.95" customHeight="1" x14ac:dyDescent="0.2">
      <c r="A30" s="73"/>
      <c r="B30" s="73"/>
      <c r="C30" s="73"/>
      <c r="D30" s="364"/>
      <c r="E30" s="303"/>
      <c r="F30" s="364"/>
      <c r="G30" s="202"/>
      <c r="H30" s="73"/>
      <c r="I30" s="492"/>
      <c r="J30" s="492"/>
      <c r="K30" s="505"/>
      <c r="L30" s="507"/>
      <c r="M30" s="506"/>
      <c r="N30" s="508"/>
      <c r="O30" s="73"/>
      <c r="P30">
        <f t="shared" si="1"/>
        <v>8</v>
      </c>
      <c r="Q30" t="s">
        <v>371</v>
      </c>
      <c r="S30" s="112">
        <v>120000</v>
      </c>
    </row>
    <row r="31" spans="1:22" ht="24.95" customHeight="1" x14ac:dyDescent="0.2">
      <c r="A31" s="73"/>
      <c r="B31" s="73"/>
      <c r="C31" s="73"/>
      <c r="D31" s="73"/>
      <c r="E31" s="303"/>
      <c r="F31" s="73"/>
      <c r="G31" s="202"/>
      <c r="H31" s="73"/>
      <c r="I31" s="492"/>
      <c r="J31" s="492"/>
      <c r="K31" s="505"/>
      <c r="L31" s="507"/>
      <c r="M31" s="506"/>
      <c r="N31" s="508"/>
      <c r="O31" s="73"/>
      <c r="P31">
        <f t="shared" si="1"/>
        <v>9</v>
      </c>
      <c r="Q31" t="s">
        <v>372</v>
      </c>
      <c r="S31" s="112">
        <v>80000</v>
      </c>
    </row>
    <row r="32" spans="1:22" ht="24.95" customHeight="1" x14ac:dyDescent="0.25">
      <c r="A32" s="125" t="s">
        <v>111</v>
      </c>
      <c r="B32" s="73"/>
      <c r="C32" s="73"/>
      <c r="D32" s="73"/>
      <c r="E32" s="303"/>
      <c r="F32" s="73"/>
      <c r="G32" s="202"/>
      <c r="H32" s="73"/>
      <c r="I32" s="492"/>
      <c r="J32" s="492"/>
      <c r="K32" s="505"/>
      <c r="L32" s="507"/>
      <c r="M32" s="506"/>
      <c r="N32" s="508"/>
      <c r="O32" s="73"/>
      <c r="P32">
        <f t="shared" si="1"/>
        <v>10</v>
      </c>
      <c r="Q32" t="s">
        <v>392</v>
      </c>
      <c r="S32" s="112">
        <v>90000</v>
      </c>
    </row>
    <row r="33" spans="1:19" ht="24.95" customHeight="1" x14ac:dyDescent="0.25">
      <c r="A33" s="125"/>
      <c r="B33" s="73"/>
      <c r="C33" s="73"/>
      <c r="D33" s="73"/>
      <c r="E33" s="303"/>
      <c r="F33" s="73"/>
      <c r="G33" s="202"/>
      <c r="H33" s="73"/>
      <c r="I33" s="492"/>
      <c r="J33" s="492"/>
      <c r="K33" s="505"/>
      <c r="L33" s="507"/>
      <c r="M33" s="506"/>
      <c r="N33" s="508"/>
      <c r="O33" s="73"/>
      <c r="P33">
        <f t="shared" si="1"/>
        <v>11</v>
      </c>
      <c r="Q33" t="s">
        <v>373</v>
      </c>
      <c r="S33" s="112">
        <v>60000</v>
      </c>
    </row>
    <row r="34" spans="1:19" ht="24.95" customHeight="1" x14ac:dyDescent="0.2">
      <c r="A34" s="72" t="s">
        <v>52</v>
      </c>
      <c r="B34" s="71" t="s">
        <v>43</v>
      </c>
      <c r="C34" s="71" t="s">
        <v>44</v>
      </c>
      <c r="D34" s="117" t="s">
        <v>67</v>
      </c>
      <c r="E34" s="117" t="s">
        <v>317</v>
      </c>
      <c r="F34" s="117" t="s">
        <v>318</v>
      </c>
      <c r="G34" s="200" t="s">
        <v>45</v>
      </c>
      <c r="H34" s="488" t="s">
        <v>46</v>
      </c>
      <c r="I34" s="491" t="s">
        <v>47</v>
      </c>
      <c r="J34" s="491" t="s">
        <v>48</v>
      </c>
      <c r="K34" s="488" t="s">
        <v>49</v>
      </c>
      <c r="L34" s="200" t="s">
        <v>50</v>
      </c>
      <c r="M34" s="494" t="s">
        <v>51</v>
      </c>
      <c r="N34" s="495" t="str">
        <f>N21</f>
        <v>Contact Number</v>
      </c>
      <c r="O34" s="73"/>
      <c r="P34">
        <f t="shared" si="1"/>
        <v>12</v>
      </c>
      <c r="Q34" t="s">
        <v>374</v>
      </c>
      <c r="S34" s="112">
        <v>60000</v>
      </c>
    </row>
    <row r="35" spans="1:19" ht="24.95" customHeight="1" x14ac:dyDescent="0.2">
      <c r="A35" s="73" t="s">
        <v>97</v>
      </c>
      <c r="B35" s="221" t="s">
        <v>208</v>
      </c>
      <c r="C35" s="221" t="s">
        <v>280</v>
      </c>
      <c r="D35" s="487">
        <f>+S30</f>
        <v>120000</v>
      </c>
      <c r="E35" s="145">
        <f>IF(Wages!R173="vacant",0,IF(Wages!R173/30&lt;6,0,IF(Wages!R173/30&lt;12,D35*$C$8/100,IF(Wages!R173/30&lt;60,D35*$C$9/100,IF(Wages!R173/30&gt;59,D35*$C$10/100,"")))))</f>
        <v>0</v>
      </c>
      <c r="F35" s="145">
        <f>IF(B35="vacant",0,D35+E35)</f>
        <v>120000</v>
      </c>
      <c r="G35" s="222" t="s">
        <v>259</v>
      </c>
      <c r="H35" s="489" t="s">
        <v>260</v>
      </c>
      <c r="I35" s="493" t="s">
        <v>261</v>
      </c>
      <c r="J35" s="493" t="s">
        <v>262</v>
      </c>
      <c r="K35" s="489" t="s">
        <v>263</v>
      </c>
      <c r="L35" s="222" t="s">
        <v>264</v>
      </c>
      <c r="M35" s="503">
        <v>45533</v>
      </c>
      <c r="N35" s="510" t="s">
        <v>205</v>
      </c>
      <c r="O35" s="73"/>
      <c r="P35">
        <f t="shared" si="1"/>
        <v>13</v>
      </c>
      <c r="Q35" t="s">
        <v>395</v>
      </c>
      <c r="S35" s="112">
        <v>60000</v>
      </c>
    </row>
    <row r="36" spans="1:19" ht="24.95" customHeight="1" x14ac:dyDescent="0.2">
      <c r="A36" s="73" t="s">
        <v>98</v>
      </c>
      <c r="B36" s="221" t="s">
        <v>195</v>
      </c>
      <c r="C36" s="221" t="s">
        <v>106</v>
      </c>
      <c r="D36" s="487">
        <f>+S31</f>
        <v>80000</v>
      </c>
      <c r="E36" s="145">
        <f>IF(Wages!R174="vacant",0,IF(Wages!R174/30&lt;6,0,IF(Wages!R174/30&lt;12,D36*$C$8/100,IF(Wages!R174/30&lt;60,D36*$C$9/100,IF(Wages!R174/30&gt;59,D36*$C$10/100,"")))))</f>
        <v>0</v>
      </c>
      <c r="F36" s="145">
        <f>IF(B36="vacant",0,D36+E36)</f>
        <v>80000</v>
      </c>
      <c r="G36" s="222" t="s">
        <v>277</v>
      </c>
      <c r="H36" s="489" t="s">
        <v>260</v>
      </c>
      <c r="I36" s="493" t="s">
        <v>278</v>
      </c>
      <c r="J36" s="493" t="s">
        <v>279</v>
      </c>
      <c r="K36" s="489"/>
      <c r="L36" s="222"/>
      <c r="M36" s="511">
        <v>45385</v>
      </c>
      <c r="N36" s="510" t="s">
        <v>206</v>
      </c>
      <c r="P36">
        <f t="shared" si="1"/>
        <v>14</v>
      </c>
      <c r="Q36" t="s">
        <v>375</v>
      </c>
      <c r="S36" s="112">
        <f>Biodata!S70</f>
        <v>0</v>
      </c>
    </row>
    <row r="37" spans="1:19" ht="24.95" customHeight="1" x14ac:dyDescent="0.2">
      <c r="A37" s="73" t="s">
        <v>99</v>
      </c>
      <c r="B37" s="221" t="s">
        <v>390</v>
      </c>
      <c r="C37" s="221" t="s">
        <v>391</v>
      </c>
      <c r="D37" s="487">
        <f>+S32</f>
        <v>90000</v>
      </c>
      <c r="E37" s="145">
        <f>IF(Wages!R175="vacant",0,IF(Wages!R175/30&lt;6,0,IF(Wages!R175/30&lt;12,D37*$C$8/100,IF(Wages!R175/30&lt;60,D37*$C$9/100,IF(Wages!R175/30&gt;59,D37*$C$10/100,"")))))</f>
        <v>0</v>
      </c>
      <c r="F37" s="145">
        <f>IF(B37="vacant",0,D37+E37)</f>
        <v>90000</v>
      </c>
      <c r="G37" s="222" t="s">
        <v>269</v>
      </c>
      <c r="H37" s="489" t="s">
        <v>118</v>
      </c>
      <c r="I37" s="493" t="s">
        <v>270</v>
      </c>
      <c r="J37" s="493" t="s">
        <v>270</v>
      </c>
      <c r="K37" s="489"/>
      <c r="L37" s="222"/>
      <c r="M37" s="503">
        <v>45663</v>
      </c>
      <c r="N37" s="510" t="s">
        <v>22</v>
      </c>
      <c r="P37">
        <f t="shared" si="1"/>
        <v>15</v>
      </c>
      <c r="Q37" t="s">
        <v>398</v>
      </c>
      <c r="S37" s="112">
        <v>100000</v>
      </c>
    </row>
    <row r="38" spans="1:19" ht="24.95" customHeight="1" x14ac:dyDescent="0.2">
      <c r="A38" s="73"/>
      <c r="B38" s="73"/>
      <c r="C38" s="73"/>
      <c r="D38" s="364"/>
      <c r="E38" s="303"/>
      <c r="F38" s="364"/>
      <c r="G38" s="202"/>
      <c r="H38" s="73"/>
      <c r="I38" s="492"/>
      <c r="J38" s="492"/>
      <c r="K38" s="505"/>
      <c r="L38" s="507"/>
      <c r="M38" s="506"/>
      <c r="N38" s="508"/>
      <c r="O38" s="73"/>
      <c r="P38">
        <f t="shared" si="1"/>
        <v>16</v>
      </c>
      <c r="Q38" t="s">
        <v>376</v>
      </c>
      <c r="S38" s="112">
        <v>80000</v>
      </c>
    </row>
    <row r="39" spans="1:19" ht="24.95" customHeight="1" x14ac:dyDescent="0.2">
      <c r="A39" s="73"/>
      <c r="B39" s="73"/>
      <c r="C39" s="73"/>
      <c r="D39" s="73"/>
      <c r="E39" s="303"/>
      <c r="F39" s="73"/>
      <c r="G39" s="202"/>
      <c r="H39" s="73"/>
      <c r="I39" s="492"/>
      <c r="J39" s="492"/>
      <c r="K39" s="505"/>
      <c r="L39" s="507"/>
      <c r="M39" s="506"/>
      <c r="N39" s="508"/>
      <c r="O39" s="73"/>
      <c r="P39">
        <f t="shared" si="1"/>
        <v>17</v>
      </c>
      <c r="Q39" t="s">
        <v>377</v>
      </c>
      <c r="S39" s="112">
        <f>Biodata!S72</f>
        <v>0</v>
      </c>
    </row>
    <row r="40" spans="1:19" ht="24.95" customHeight="1" x14ac:dyDescent="0.25">
      <c r="A40" s="124" t="s">
        <v>112</v>
      </c>
      <c r="B40" s="73"/>
      <c r="C40" s="73"/>
      <c r="D40" s="73"/>
      <c r="E40" s="303"/>
      <c r="F40" s="73"/>
      <c r="G40" s="202"/>
      <c r="H40" s="73"/>
      <c r="I40" s="492"/>
      <c r="J40" s="492"/>
      <c r="K40" s="505"/>
      <c r="L40" s="507"/>
      <c r="M40" s="506"/>
      <c r="N40" s="508"/>
      <c r="O40" s="73"/>
      <c r="P40">
        <f t="shared" si="1"/>
        <v>18</v>
      </c>
      <c r="Q40" t="s">
        <v>378</v>
      </c>
      <c r="S40" s="112">
        <v>80000</v>
      </c>
    </row>
    <row r="41" spans="1:19" ht="24.95" customHeight="1" x14ac:dyDescent="0.25">
      <c r="A41" s="124"/>
      <c r="B41" s="73"/>
      <c r="C41" s="73"/>
      <c r="D41" s="73"/>
      <c r="E41" s="303"/>
      <c r="F41" s="73"/>
      <c r="G41" s="202"/>
      <c r="H41" s="73"/>
      <c r="I41" s="492"/>
      <c r="J41" s="492"/>
      <c r="K41" s="505"/>
      <c r="L41" s="507"/>
      <c r="M41" s="506"/>
      <c r="N41" s="508"/>
      <c r="O41" s="73"/>
      <c r="P41" s="73"/>
    </row>
    <row r="42" spans="1:19" ht="24.95" customHeight="1" x14ac:dyDescent="0.2">
      <c r="A42" s="72" t="s">
        <v>52</v>
      </c>
      <c r="B42" s="71" t="s">
        <v>43</v>
      </c>
      <c r="C42" s="71" t="s">
        <v>44</v>
      </c>
      <c r="D42" s="117" t="s">
        <v>67</v>
      </c>
      <c r="E42" s="117" t="s">
        <v>317</v>
      </c>
      <c r="F42" s="117" t="s">
        <v>318</v>
      </c>
      <c r="G42" s="200" t="s">
        <v>45</v>
      </c>
      <c r="H42" s="488" t="s">
        <v>46</v>
      </c>
      <c r="I42" s="491" t="s">
        <v>47</v>
      </c>
      <c r="J42" s="491" t="s">
        <v>48</v>
      </c>
      <c r="K42" s="488" t="s">
        <v>49</v>
      </c>
      <c r="L42" s="200" t="s">
        <v>50</v>
      </c>
      <c r="M42" s="494" t="s">
        <v>51</v>
      </c>
      <c r="N42" s="495" t="str">
        <f>N34</f>
        <v>Contact Number</v>
      </c>
      <c r="O42" s="73"/>
      <c r="P42" s="73"/>
    </row>
    <row r="43" spans="1:19" ht="24.95" customHeight="1" x14ac:dyDescent="0.2">
      <c r="A43" s="73" t="s">
        <v>100</v>
      </c>
      <c r="B43" s="144" t="s">
        <v>349</v>
      </c>
      <c r="C43" s="144" t="s">
        <v>152</v>
      </c>
      <c r="D43" s="220">
        <f>+S33</f>
        <v>60000</v>
      </c>
      <c r="E43" s="145">
        <f>IF(Wages!R176="vacant",0,IF(Wages!R176/30&lt;6,0,IF(Wages!R176/30&lt;12,D43*$C$8/100,IF(Wages!R176/30&lt;60,D43*$C$9/100,IF(Wages!R176/30&gt;59,D43*$C$10/100,"")))))</f>
        <v>0</v>
      </c>
      <c r="F43" s="145">
        <f>IF(B43="vacant",0,D43+E43)</f>
        <v>60000</v>
      </c>
      <c r="G43" s="203" t="s">
        <v>273</v>
      </c>
      <c r="H43" s="123" t="s">
        <v>118</v>
      </c>
      <c r="I43" s="177" t="s">
        <v>274</v>
      </c>
      <c r="J43" s="512" t="s">
        <v>138</v>
      </c>
      <c r="K43" s="513"/>
      <c r="L43" s="498"/>
      <c r="M43" s="503">
        <v>45558</v>
      </c>
      <c r="N43" s="504"/>
    </row>
    <row r="44" spans="1:19" ht="24.95" customHeight="1" x14ac:dyDescent="0.2">
      <c r="A44" s="73" t="s">
        <v>101</v>
      </c>
      <c r="B44" s="144" t="s">
        <v>350</v>
      </c>
      <c r="C44" s="144" t="s">
        <v>210</v>
      </c>
      <c r="D44" s="220">
        <v>80000</v>
      </c>
      <c r="E44" s="145">
        <f>IF(Wages!R177="vacant",0,IF(Wages!R177/30&lt;6,0,IF(Wages!R177/30&lt;12,D44*$C$8/100,IF(Wages!R177/30&lt;60,D44*$C$9/100,IF(Wages!R177/30&gt;59,D44*$C$10/100,"")))))</f>
        <v>0</v>
      </c>
      <c r="F44" s="145">
        <f>IF(B44="vacant",0,D44+E44)</f>
        <v>80000</v>
      </c>
      <c r="G44" s="203" t="s">
        <v>271</v>
      </c>
      <c r="H44" s="123" t="s">
        <v>118</v>
      </c>
      <c r="I44" s="177" t="s">
        <v>272</v>
      </c>
      <c r="J44" s="512" t="s">
        <v>227</v>
      </c>
      <c r="K44" s="513"/>
      <c r="L44" s="498"/>
      <c r="M44" s="503">
        <v>45421</v>
      </c>
      <c r="N44" s="504"/>
    </row>
    <row r="45" spans="1:19" ht="24.95" customHeight="1" x14ac:dyDescent="0.2">
      <c r="A45" s="73" t="s">
        <v>102</v>
      </c>
      <c r="B45" s="144" t="s">
        <v>42</v>
      </c>
      <c r="C45" s="144" t="s">
        <v>22</v>
      </c>
      <c r="D45" s="487" t="s">
        <v>22</v>
      </c>
      <c r="E45" s="145">
        <f>IF(Wages!R178="vacant",0,IF(Wages!R178/30&lt;6,0,IF(Wages!R178/30&lt;12,D45*$C$8/100,IF(Wages!R178/30&lt;60,D45*$C$9/100,IF(Wages!R178/30&gt;59,D45*$C$10/100,"")))))</f>
        <v>0</v>
      </c>
      <c r="F45" s="145">
        <f>IF(B45="vacant",0,D45+E45)</f>
        <v>0</v>
      </c>
      <c r="G45" s="203"/>
      <c r="H45" s="123"/>
      <c r="I45" s="177"/>
      <c r="J45" s="512"/>
      <c r="K45" s="513"/>
      <c r="L45" s="498"/>
      <c r="M45" s="503">
        <v>43665</v>
      </c>
      <c r="N45" s="504"/>
    </row>
    <row r="46" spans="1:19" ht="24.95" customHeight="1" x14ac:dyDescent="0.2">
      <c r="A46" s="73" t="s">
        <v>103</v>
      </c>
      <c r="B46" s="144" t="s">
        <v>425</v>
      </c>
      <c r="C46" s="144" t="s">
        <v>426</v>
      </c>
      <c r="D46" s="145">
        <v>80000</v>
      </c>
      <c r="E46" s="145">
        <f>IF(Wages!R179="vacant",0,IF(Wages!R179/30&lt;6,0,IF(Wages!R179/30&lt;12,D46*$C$8/100,IF(Wages!R179/30&lt;60,D46*$C$9/100,IF(Wages!R179/30&gt;59,D46*$C$10/100,"")))))</f>
        <v>0</v>
      </c>
      <c r="F46" s="145">
        <f>IF(B46="vacant",0,D46+E46)</f>
        <v>80000</v>
      </c>
      <c r="G46" s="203">
        <v>36157</v>
      </c>
      <c r="H46" s="123" t="s">
        <v>118</v>
      </c>
      <c r="I46" s="177" t="s">
        <v>428</v>
      </c>
      <c r="J46" s="512" t="s">
        <v>429</v>
      </c>
      <c r="K46" s="513" t="s">
        <v>427</v>
      </c>
      <c r="L46" s="498">
        <v>12781</v>
      </c>
      <c r="M46" s="503">
        <v>45901</v>
      </c>
      <c r="N46" s="504" t="s">
        <v>430</v>
      </c>
    </row>
    <row r="47" spans="1:19" x14ac:dyDescent="0.2">
      <c r="N47" s="514"/>
    </row>
    <row r="48" spans="1:19" x14ac:dyDescent="0.2">
      <c r="A48" s="73"/>
      <c r="N48" s="514"/>
    </row>
    <row r="49" spans="1:20" x14ac:dyDescent="0.2">
      <c r="A49" s="73"/>
      <c r="N49" s="514"/>
    </row>
    <row r="50" spans="1:20" ht="28.5" customHeight="1" x14ac:dyDescent="0.25">
      <c r="A50" s="124" t="s">
        <v>120</v>
      </c>
      <c r="D50" s="153"/>
      <c r="F50" s="153"/>
      <c r="G50" s="205"/>
      <c r="N50" s="514"/>
    </row>
    <row r="51" spans="1:20" ht="28.5" customHeight="1" x14ac:dyDescent="0.25">
      <c r="A51" s="124"/>
      <c r="D51"/>
      <c r="F51"/>
      <c r="G51" s="205"/>
      <c r="N51" s="514"/>
    </row>
    <row r="52" spans="1:20" ht="25.5" x14ac:dyDescent="0.2">
      <c r="A52" s="72" t="s">
        <v>52</v>
      </c>
      <c r="B52" s="71" t="s">
        <v>43</v>
      </c>
      <c r="C52" s="71" t="s">
        <v>44</v>
      </c>
      <c r="D52" s="117" t="s">
        <v>67</v>
      </c>
      <c r="E52" s="117" t="s">
        <v>317</v>
      </c>
      <c r="F52" s="117" t="s">
        <v>318</v>
      </c>
      <c r="G52" s="200" t="s">
        <v>45</v>
      </c>
      <c r="H52" s="488" t="s">
        <v>46</v>
      </c>
      <c r="I52" s="491" t="s">
        <v>47</v>
      </c>
      <c r="J52" s="491" t="s">
        <v>48</v>
      </c>
      <c r="K52" s="488" t="s">
        <v>49</v>
      </c>
      <c r="L52" s="200" t="s">
        <v>50</v>
      </c>
      <c r="M52" s="494" t="s">
        <v>51</v>
      </c>
      <c r="N52" s="495" t="str">
        <f>N42</f>
        <v>Contact Number</v>
      </c>
    </row>
    <row r="53" spans="1:20" ht="24.95" customHeight="1" x14ac:dyDescent="0.2">
      <c r="A53" s="73" t="s">
        <v>104</v>
      </c>
      <c r="B53" s="73" t="s">
        <v>417</v>
      </c>
      <c r="C53" s="73" t="s">
        <v>416</v>
      </c>
      <c r="D53" s="220">
        <f>+S15</f>
        <v>70000</v>
      </c>
      <c r="E53" s="145">
        <f>IF(Wages!R180="vacant",0,IF(Wages!R180/30&lt;6,0,IF(Wages!R180/30&lt;12,D53*$C$8/100,IF(Wages!R180/30&lt;60,D53*$C$9/100,IF(Wages!R180/30&gt;59,D53*$C$10/100,"")))))</f>
        <v>0</v>
      </c>
      <c r="F53" s="145">
        <f>IF(B53="vacant",0,D53+E53)</f>
        <v>70000</v>
      </c>
      <c r="G53" s="203" t="s">
        <v>275</v>
      </c>
      <c r="H53" s="146" t="s">
        <v>118</v>
      </c>
      <c r="I53" s="176" t="s">
        <v>276</v>
      </c>
      <c r="J53" s="496" t="s">
        <v>138</v>
      </c>
      <c r="K53" s="513" t="s">
        <v>139</v>
      </c>
      <c r="L53" s="498">
        <v>45195</v>
      </c>
      <c r="M53" s="639">
        <v>45870</v>
      </c>
      <c r="N53" s="504" t="s">
        <v>22</v>
      </c>
    </row>
    <row r="54" spans="1:20" ht="24.95" customHeight="1" x14ac:dyDescent="0.2">
      <c r="A54" s="73" t="s">
        <v>105</v>
      </c>
      <c r="B54" s="144" t="s">
        <v>348</v>
      </c>
      <c r="C54" s="144" t="s">
        <v>167</v>
      </c>
      <c r="D54" s="223">
        <v>70000</v>
      </c>
      <c r="E54" s="145">
        <f>IF(Wages!R181="vacant",0,IF(Wages!R181/30&lt;6,0,IF(Wages!R181/30&lt;12,D54*$C$8/100,IF(Wages!R181/30&lt;60,D54*$C$9/100,IF(Wages!R181/30&gt;59,D54*$C$10/100,"")))))</f>
        <v>0</v>
      </c>
      <c r="F54" s="145">
        <f>IF(B54="vacant",0,D54+E54)</f>
        <v>70000</v>
      </c>
      <c r="G54" s="203" t="s">
        <v>265</v>
      </c>
      <c r="H54" s="123" t="s">
        <v>118</v>
      </c>
      <c r="I54" s="177" t="s">
        <v>266</v>
      </c>
      <c r="J54" s="512" t="s">
        <v>227</v>
      </c>
      <c r="K54" s="513" t="s">
        <v>267</v>
      </c>
      <c r="L54" s="498" t="s">
        <v>268</v>
      </c>
      <c r="M54" s="639">
        <v>45658</v>
      </c>
      <c r="N54" s="504"/>
    </row>
    <row r="55" spans="1:20" ht="24.95" customHeight="1" x14ac:dyDescent="0.2">
      <c r="A55" s="73" t="s">
        <v>121</v>
      </c>
      <c r="B55" s="73" t="s">
        <v>396</v>
      </c>
      <c r="C55" s="73" t="s">
        <v>418</v>
      </c>
      <c r="D55" s="145">
        <v>20000</v>
      </c>
      <c r="E55" s="145">
        <f>IF(Wages!R182="vacant",0,IF(Wages!R182/30&lt;6,0,IF(Wages!R182/30&lt;12,D55*$C$8/100,IF(Wages!R182/30&lt;60,D55*$C$9/100,IF(Wages!R182/30&gt;59,D55*$C$10/100,"")))))</f>
        <v>0</v>
      </c>
      <c r="F55" s="145">
        <f>IF(B55="vacant",0,D55+E55)</f>
        <v>20000</v>
      </c>
      <c r="G55" s="203"/>
      <c r="H55" s="149"/>
      <c r="I55" s="174"/>
      <c r="J55" s="501"/>
      <c r="K55" s="502"/>
      <c r="L55" s="498"/>
      <c r="M55" s="639">
        <v>45870</v>
      </c>
      <c r="N55" s="504"/>
    </row>
    <row r="56" spans="1:20" ht="24.95" customHeight="1" x14ac:dyDescent="0.2">
      <c r="A56" s="73" t="s">
        <v>122</v>
      </c>
      <c r="B56" s="144" t="s">
        <v>42</v>
      </c>
      <c r="C56" s="174" t="s">
        <v>22</v>
      </c>
      <c r="D56" s="223">
        <v>0</v>
      </c>
      <c r="E56" s="145">
        <f>IF(Wages!R183="vacant",0,IF(Wages!R183/30&lt;6,0,IF(Wages!R183/30&lt;12,D56*$C$8/100,IF(Wages!R183/30&lt;60,D56*$C$9/100,IF(Wages!R183/30&gt;59,D56*$C$10/100,"")))))</f>
        <v>0</v>
      </c>
      <c r="F56" s="145">
        <f>IF(B56="vacant",0,D56+E56)</f>
        <v>0</v>
      </c>
      <c r="G56" s="203"/>
      <c r="H56" s="149"/>
      <c r="I56" s="174"/>
      <c r="J56" s="501"/>
      <c r="K56" s="502"/>
      <c r="L56" s="498"/>
      <c r="M56" s="503"/>
      <c r="N56" s="504"/>
    </row>
    <row r="57" spans="1:20" x14ac:dyDescent="0.2">
      <c r="N57" s="514"/>
    </row>
    <row r="58" spans="1:20" x14ac:dyDescent="0.2">
      <c r="N58" s="514"/>
    </row>
    <row r="59" spans="1:20" ht="28.5" customHeight="1" x14ac:dyDescent="0.25">
      <c r="A59" s="124" t="s">
        <v>126</v>
      </c>
      <c r="D59" s="153"/>
      <c r="F59" s="153"/>
      <c r="G59" s="205"/>
      <c r="N59" s="514"/>
    </row>
    <row r="60" spans="1:20" ht="28.5" customHeight="1" x14ac:dyDescent="0.25">
      <c r="A60" s="124"/>
      <c r="D60"/>
      <c r="F60"/>
      <c r="G60" s="206"/>
      <c r="H60" s="490"/>
      <c r="N60" s="514"/>
    </row>
    <row r="61" spans="1:20" ht="25.5" x14ac:dyDescent="0.2">
      <c r="A61" s="72" t="s">
        <v>52</v>
      </c>
      <c r="B61" s="71" t="s">
        <v>43</v>
      </c>
      <c r="C61" s="71" t="s">
        <v>44</v>
      </c>
      <c r="D61" s="117" t="s">
        <v>67</v>
      </c>
      <c r="E61" s="117" t="s">
        <v>317</v>
      </c>
      <c r="F61" s="117" t="s">
        <v>318</v>
      </c>
      <c r="G61" s="200" t="s">
        <v>45</v>
      </c>
      <c r="H61" s="488" t="s">
        <v>46</v>
      </c>
      <c r="I61" s="491" t="s">
        <v>47</v>
      </c>
      <c r="J61" s="491" t="s">
        <v>48</v>
      </c>
      <c r="K61" s="488" t="s">
        <v>49</v>
      </c>
      <c r="L61" s="200" t="s">
        <v>50</v>
      </c>
      <c r="M61" s="494" t="s">
        <v>51</v>
      </c>
      <c r="N61" s="495" t="str">
        <f>N52</f>
        <v>Contact Number</v>
      </c>
    </row>
    <row r="62" spans="1:20" ht="24.95" customHeight="1" x14ac:dyDescent="0.2">
      <c r="A62" s="73" t="s">
        <v>123</v>
      </c>
      <c r="B62" s="144" t="s">
        <v>441</v>
      </c>
      <c r="C62" s="144" t="s">
        <v>442</v>
      </c>
      <c r="D62" s="219">
        <v>150000</v>
      </c>
      <c r="E62" s="145">
        <f>IF(Wages!R184="vacant",0,IF(Wages!R184/30&lt;6,0,IF(Wages!R184/30&lt;12,D62*$C$8/100,IF(Wages!R184/30&lt;60,D62*$C$9/100,IF(Wages!R184/30&gt;59,D62*$C$10/100,"")))))</f>
        <v>0</v>
      </c>
      <c r="F62" s="145">
        <f>IF(B62="vacant",0,D62+E62)</f>
        <v>150000</v>
      </c>
      <c r="G62" s="203" t="s">
        <v>22</v>
      </c>
      <c r="H62" s="497" t="s">
        <v>435</v>
      </c>
      <c r="I62" s="497" t="s">
        <v>436</v>
      </c>
      <c r="J62" s="497" t="s">
        <v>437</v>
      </c>
      <c r="K62" s="497" t="s">
        <v>22</v>
      </c>
      <c r="L62" s="498"/>
      <c r="M62" s="499">
        <v>45962</v>
      </c>
      <c r="N62" s="500" t="s">
        <v>438</v>
      </c>
      <c r="O62">
        <v>987138556</v>
      </c>
      <c r="P62" t="s">
        <v>439</v>
      </c>
      <c r="T62" t="s">
        <v>440</v>
      </c>
    </row>
    <row r="63" spans="1:20" ht="24.95" customHeight="1" x14ac:dyDescent="0.2">
      <c r="A63" s="73" t="s">
        <v>124</v>
      </c>
      <c r="B63" s="144" t="s">
        <v>42</v>
      </c>
      <c r="C63" s="535" t="s">
        <v>22</v>
      </c>
      <c r="D63" s="224">
        <v>0</v>
      </c>
      <c r="E63" s="145">
        <f>IF(Wages!R185="vacant",0,IF(Wages!R185/30&lt;6,0,IF(Wages!R185/30&lt;12,D63*$C$8/100,IF(Wages!R185/30&lt;60,D63*$C$9/100,IF(Wages!R185/30&gt;59,D63*$C$10/100,"")))))</f>
        <v>0</v>
      </c>
      <c r="F63" s="145">
        <f>IF(B63="vacant",0,D63+E63)</f>
        <v>0</v>
      </c>
      <c r="G63" s="203">
        <v>36949</v>
      </c>
      <c r="H63" s="203" t="s">
        <v>223</v>
      </c>
      <c r="I63" s="203" t="s">
        <v>341</v>
      </c>
      <c r="J63" s="203" t="s">
        <v>346</v>
      </c>
      <c r="K63" s="203" t="s">
        <v>22</v>
      </c>
      <c r="L63" s="203" t="s">
        <v>22</v>
      </c>
      <c r="M63" s="203">
        <v>45715</v>
      </c>
      <c r="N63" s="203" t="s">
        <v>342</v>
      </c>
    </row>
    <row r="64" spans="1:20" ht="24.95" customHeight="1" x14ac:dyDescent="0.2">
      <c r="A64" s="73" t="s">
        <v>137</v>
      </c>
      <c r="B64" s="144"/>
      <c r="C64" s="144" t="s">
        <v>22</v>
      </c>
      <c r="D64" s="219">
        <v>0</v>
      </c>
      <c r="E64" s="145">
        <f>IF(Wages!R186="vacant",0,IF(Wages!R186/30&lt;6,0,IF(Wages!R186/30&lt;12,D64*$C$8/100,IF(Wages!R186/30&lt;60,D64*$C$9/100,IF(Wages!R186/30&gt;59,D64*$C$10/100,"")))))</f>
        <v>0</v>
      </c>
      <c r="F64" s="145">
        <f>IF(B64="vacant",0,D64+E64)</f>
        <v>0</v>
      </c>
      <c r="G64" s="203" t="s">
        <v>22</v>
      </c>
      <c r="H64" s="149" t="s">
        <v>196</v>
      </c>
      <c r="I64" s="174" t="s">
        <v>197</v>
      </c>
      <c r="J64" s="501" t="s">
        <v>198</v>
      </c>
      <c r="K64" s="502" t="s">
        <v>199</v>
      </c>
      <c r="L64" s="498"/>
      <c r="M64" s="503">
        <v>45386</v>
      </c>
      <c r="N64" s="504" t="s">
        <v>200</v>
      </c>
    </row>
    <row r="65" spans="1:14" ht="24.95" customHeight="1" x14ac:dyDescent="0.2">
      <c r="A65" s="73" t="s">
        <v>150</v>
      </c>
      <c r="B65" s="144" t="s">
        <v>42</v>
      </c>
      <c r="C65" s="535" t="s">
        <v>22</v>
      </c>
      <c r="D65" s="223">
        <v>0</v>
      </c>
      <c r="E65" s="145">
        <f>IF(Wages!R187="vacant",0,IF(Wages!R187/30&lt;6,0,IF(Wages!R187/30&lt;12,D65*$C$8/100,IF(Wages!R187/30&lt;60,D65*$C$9/100,IF(Wages!R187/30&gt;59,D65*$C$10/100,"")))))</f>
        <v>0</v>
      </c>
      <c r="F65" s="145">
        <f>IF(B65="vacant",0,D65+E65)</f>
        <v>0</v>
      </c>
      <c r="G65" s="203">
        <v>31711</v>
      </c>
      <c r="H65" s="149" t="s">
        <v>223</v>
      </c>
      <c r="I65" s="174" t="s">
        <v>343</v>
      </c>
      <c r="J65" s="501" t="s">
        <v>344</v>
      </c>
      <c r="K65" s="502" t="s">
        <v>345</v>
      </c>
      <c r="L65" s="498">
        <v>44859</v>
      </c>
      <c r="M65" s="503">
        <v>45694</v>
      </c>
      <c r="N65" s="504" t="s">
        <v>220</v>
      </c>
    </row>
    <row r="66" spans="1:14" ht="24.95" customHeight="1" x14ac:dyDescent="0.2">
      <c r="A66" s="73" t="s">
        <v>326</v>
      </c>
      <c r="B66" s="144" t="s">
        <v>347</v>
      </c>
      <c r="C66" s="144" t="s">
        <v>222</v>
      </c>
      <c r="D66" s="219">
        <v>120000</v>
      </c>
      <c r="E66" s="145">
        <f>IF(Wages!R200="vacant",0,IF(Wages!R200/30&lt;6,0,IF(Wages!R200/30&lt;12,D66*$C$8/100,IF(Wages!R200/30&lt;60,D66*$C$9/100,IF(Wages!R200/30&gt;59,D66*$C$10/100,"")))))</f>
        <v>0</v>
      </c>
      <c r="F66" s="145">
        <f>IF(B66="vacant",0,D66+E66)</f>
        <v>120000</v>
      </c>
      <c r="G66" s="203">
        <v>1993</v>
      </c>
      <c r="H66" s="149" t="s">
        <v>223</v>
      </c>
      <c r="I66" s="174" t="s">
        <v>224</v>
      </c>
      <c r="J66" s="501" t="s">
        <v>225</v>
      </c>
      <c r="K66" s="502"/>
      <c r="L66" s="498"/>
      <c r="M66" s="503">
        <v>45481</v>
      </c>
      <c r="N66" s="504" t="s">
        <v>221</v>
      </c>
    </row>
    <row r="68" spans="1:14" x14ac:dyDescent="0.2">
      <c r="D68"/>
      <c r="F68"/>
      <c r="G68"/>
      <c r="H68"/>
      <c r="I68"/>
      <c r="J68"/>
      <c r="L68" s="116"/>
      <c r="M68" s="441"/>
      <c r="N68"/>
    </row>
    <row r="70" spans="1:14" ht="24.95" customHeight="1" x14ac:dyDescent="0.25">
      <c r="A70" s="126" t="s">
        <v>325</v>
      </c>
      <c r="D70"/>
      <c r="F70"/>
      <c r="G70" s="205"/>
      <c r="H70"/>
      <c r="M70" s="441"/>
      <c r="N70"/>
    </row>
    <row r="71" spans="1:14" ht="24.95" customHeight="1" x14ac:dyDescent="0.2">
      <c r="D71"/>
      <c r="F71"/>
      <c r="G71" s="205"/>
      <c r="H71"/>
      <c r="M71" s="441"/>
      <c r="N71"/>
    </row>
    <row r="72" spans="1:14" s="456" customFormat="1" ht="24.95" customHeight="1" x14ac:dyDescent="0.2">
      <c r="A72" s="72" t="s">
        <v>52</v>
      </c>
      <c r="B72" s="72" t="s">
        <v>43</v>
      </c>
      <c r="C72" s="72" t="s">
        <v>44</v>
      </c>
      <c r="D72" s="72" t="s">
        <v>67</v>
      </c>
      <c r="E72" s="540" t="s">
        <v>317</v>
      </c>
      <c r="F72" s="72" t="s">
        <v>318</v>
      </c>
      <c r="G72" s="541" t="s">
        <v>45</v>
      </c>
      <c r="H72" s="72" t="s">
        <v>46</v>
      </c>
      <c r="I72" s="542" t="s">
        <v>47</v>
      </c>
      <c r="J72" s="542" t="s">
        <v>48</v>
      </c>
      <c r="K72" s="543" t="s">
        <v>49</v>
      </c>
      <c r="L72" s="544" t="s">
        <v>50</v>
      </c>
      <c r="M72" s="545" t="s">
        <v>51</v>
      </c>
      <c r="N72" s="546" t="s">
        <v>143</v>
      </c>
    </row>
    <row r="73" spans="1:14" ht="24.95" customHeight="1" x14ac:dyDescent="0.2">
      <c r="A73" t="s">
        <v>327</v>
      </c>
      <c r="B73" s="552" t="s">
        <v>352</v>
      </c>
      <c r="C73" s="552" t="s">
        <v>167</v>
      </c>
      <c r="D73" s="548">
        <v>80000</v>
      </c>
      <c r="E73" s="548">
        <f>IF(Wages!R207="vacant",0,IF(Wages!R207/30&lt;6,0,IF(Wages!R207/30&lt;12,D73*$C$8/100,IF(Wages!R207/30&lt;60,D73*$C$9/100,IF(Wages!R207/30&gt;59,D73*$C$10/100,"")))))</f>
        <v>0</v>
      </c>
      <c r="F73" s="145">
        <f>IF(B73="vacant",0,D73+E73)</f>
        <v>80000</v>
      </c>
      <c r="G73" s="549">
        <v>37475</v>
      </c>
      <c r="H73" s="547" t="s">
        <v>223</v>
      </c>
      <c r="I73" s="512" t="s">
        <v>353</v>
      </c>
      <c r="J73" s="512" t="s">
        <v>22</v>
      </c>
      <c r="K73" s="513" t="s">
        <v>354</v>
      </c>
      <c r="L73" s="498">
        <v>46972</v>
      </c>
      <c r="M73" s="550">
        <v>45853</v>
      </c>
      <c r="N73" s="500" t="s">
        <v>355</v>
      </c>
    </row>
    <row r="74" spans="1:14" ht="24.95" customHeight="1" x14ac:dyDescent="0.2">
      <c r="A74" t="s">
        <v>328</v>
      </c>
      <c r="B74" s="552" t="s">
        <v>396</v>
      </c>
      <c r="C74" s="552" t="s">
        <v>397</v>
      </c>
      <c r="D74" s="548">
        <v>100000</v>
      </c>
      <c r="E74" s="548">
        <f>IF(Wages!R208="vacant",0,IF(Wages!R208/30&lt;6,0,IF(Wages!R208/30&lt;12,D74*$C$8/100,IF(Wages!R208/30&lt;60,D74*$C$9/100,IF(Wages!R208/30&gt;59,D74*$C$10/100,"")))))</f>
        <v>0</v>
      </c>
      <c r="F74" s="145">
        <f>IF(B74="vacant",0,D74+E74)</f>
        <v>100000</v>
      </c>
      <c r="G74" s="549" t="s">
        <v>22</v>
      </c>
      <c r="H74" s="547" t="s">
        <v>22</v>
      </c>
      <c r="I74" s="512" t="s">
        <v>22</v>
      </c>
      <c r="J74" s="512" t="s">
        <v>22</v>
      </c>
      <c r="K74" s="513" t="s">
        <v>22</v>
      </c>
      <c r="L74" s="498" t="s">
        <v>22</v>
      </c>
      <c r="M74" s="550">
        <v>45890</v>
      </c>
      <c r="N74" s="500" t="s">
        <v>358</v>
      </c>
    </row>
    <row r="75" spans="1:14" ht="24.95" customHeight="1" x14ac:dyDescent="0.2">
      <c r="A75" t="s">
        <v>329</v>
      </c>
      <c r="B75" s="552" t="s">
        <v>42</v>
      </c>
      <c r="C75" s="552" t="s">
        <v>22</v>
      </c>
      <c r="D75" s="640" t="s">
        <v>22</v>
      </c>
      <c r="E75" s="548">
        <f>IF(Wages!R209="vacant",0,IF(Wages!R209/30&lt;6,0,IF(Wages!R209/30&lt;12,D75*$C$8/100,IF(Wages!R209/30&lt;60,D75*$C$9/100,IF(Wages!R209/30&gt;59,D75*$C$10/100,"")))))</f>
        <v>0</v>
      </c>
      <c r="F75" s="145">
        <f>IF(B75="vacant",0,D75+E75)</f>
        <v>0</v>
      </c>
      <c r="G75" s="507" t="s">
        <v>22</v>
      </c>
      <c r="H75" s="547" t="s">
        <v>22</v>
      </c>
      <c r="I75" s="512" t="s">
        <v>22</v>
      </c>
      <c r="J75" s="512" t="s">
        <v>22</v>
      </c>
      <c r="K75" s="641" t="s">
        <v>22</v>
      </c>
      <c r="L75" s="641" t="s">
        <v>22</v>
      </c>
      <c r="M75" s="642" t="s">
        <v>22</v>
      </c>
      <c r="N75" s="500" t="s">
        <v>22</v>
      </c>
    </row>
    <row r="76" spans="1:14" ht="24.95" customHeight="1" x14ac:dyDescent="0.2">
      <c r="A76" t="s">
        <v>329</v>
      </c>
      <c r="B76" s="552" t="s">
        <v>431</v>
      </c>
      <c r="C76" s="552" t="s">
        <v>432</v>
      </c>
      <c r="D76" s="548">
        <v>94000</v>
      </c>
      <c r="E76" s="548">
        <f>IF(Wages!R210="vacant",0,IF(Wages!R210/30&lt;6,0,IF(Wages!R210/30&lt;12,D76*$C$8/100,IF(Wages!R210/30&lt;60,D76*$C$9/100,IF(Wages!R210/30&gt;59,D76*$C$10/100,"")))))</f>
        <v>0</v>
      </c>
      <c r="F76" s="145">
        <f>IF(B76="vacant",0,D76+E76)</f>
        <v>94000</v>
      </c>
      <c r="G76" s="204">
        <v>26063</v>
      </c>
      <c r="H76" s="547" t="s">
        <v>22</v>
      </c>
      <c r="I76" s="512" t="s">
        <v>22</v>
      </c>
      <c r="J76" s="512" t="s">
        <v>22</v>
      </c>
      <c r="K76" s="498" t="s">
        <v>434</v>
      </c>
      <c r="L76" s="498">
        <v>47391</v>
      </c>
      <c r="M76" s="550">
        <v>45901</v>
      </c>
      <c r="N76" s="504" t="s">
        <v>433</v>
      </c>
    </row>
    <row r="77" spans="1:14" ht="24.95" customHeight="1" x14ac:dyDescent="0.2">
      <c r="A77" t="s">
        <v>330</v>
      </c>
      <c r="B77" s="552" t="s">
        <v>359</v>
      </c>
      <c r="C77" s="552" t="s">
        <v>360</v>
      </c>
      <c r="D77" s="548">
        <v>80000</v>
      </c>
      <c r="E77" s="548">
        <f>IF(Wages!R211="vacant",0,IF(Wages!R211/30&lt;6,0,IF(Wages!R211/30&lt;12,D77*$C$8/100,IF(Wages!R211/30&lt;60,D77*$C$9/100,IF(Wages!R211/30&gt;59,D77*$C$10/100,"")))))</f>
        <v>0</v>
      </c>
      <c r="F77" s="145">
        <f>IF(B77="vacant",0,D77+E77)</f>
        <v>80000</v>
      </c>
      <c r="G77" s="549">
        <v>29809</v>
      </c>
      <c r="H77" s="547" t="s">
        <v>22</v>
      </c>
      <c r="I77" s="512" t="s">
        <v>22</v>
      </c>
      <c r="J77" s="512" t="s">
        <v>22</v>
      </c>
      <c r="K77" s="513" t="s">
        <v>361</v>
      </c>
      <c r="L77" s="498">
        <v>46610</v>
      </c>
      <c r="M77" s="550">
        <v>45839</v>
      </c>
      <c r="N77" s="504" t="s">
        <v>220</v>
      </c>
    </row>
    <row r="78" spans="1:14" ht="24.95" customHeight="1" x14ac:dyDescent="0.2">
      <c r="D78"/>
      <c r="F78"/>
      <c r="G78" s="205"/>
      <c r="H78"/>
      <c r="M78" s="441"/>
    </row>
    <row r="79" spans="1:14" x14ac:dyDescent="0.2">
      <c r="D79"/>
      <c r="F79"/>
      <c r="G79" s="205"/>
      <c r="H79"/>
      <c r="M79" s="441"/>
      <c r="N79"/>
    </row>
    <row r="80" spans="1:14" x14ac:dyDescent="0.2">
      <c r="D80"/>
      <c r="F80"/>
      <c r="G80" s="205"/>
      <c r="H80"/>
      <c r="M80" s="441"/>
      <c r="N80"/>
    </row>
  </sheetData>
  <mergeCells count="1">
    <mergeCell ref="A1:U1"/>
  </mergeCells>
  <pageMargins left="0.7" right="0.7" top="0.75" bottom="0.75" header="0.3" footer="0.3"/>
  <pageSetup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selection activeCell="C17" sqref="C17"/>
    </sheetView>
  </sheetViews>
  <sheetFormatPr defaultRowHeight="12.75" x14ac:dyDescent="0.2"/>
  <cols>
    <col min="1" max="1" width="6.5703125" customWidth="1"/>
    <col min="2" max="2" width="41.140625" customWidth="1"/>
    <col min="3" max="3" width="6.42578125" customWidth="1"/>
    <col min="4" max="4" width="19.140625" customWidth="1"/>
    <col min="5" max="5" width="13" customWidth="1"/>
  </cols>
  <sheetData>
    <row r="1" spans="1:4" ht="59.25" x14ac:dyDescent="0.45">
      <c r="A1" s="216" t="s">
        <v>166</v>
      </c>
      <c r="D1" s="114"/>
    </row>
    <row r="2" spans="1:4" ht="30" customHeight="1" x14ac:dyDescent="0.25">
      <c r="A2" s="216"/>
      <c r="B2" s="483" t="s">
        <v>313</v>
      </c>
      <c r="C2" s="480">
        <v>1</v>
      </c>
      <c r="D2" s="481"/>
    </row>
    <row r="3" spans="1:4" ht="30" customHeight="1" x14ac:dyDescent="0.25">
      <c r="A3" s="216"/>
      <c r="B3" s="484" t="s">
        <v>312</v>
      </c>
      <c r="C3" s="482">
        <v>1</v>
      </c>
      <c r="D3" s="481" t="s">
        <v>314</v>
      </c>
    </row>
    <row r="4" spans="1:4" ht="18" customHeight="1" thickBot="1" x14ac:dyDescent="0.3">
      <c r="B4" s="481"/>
    </row>
    <row r="5" spans="1:4" ht="56.25" customHeight="1" thickBot="1" x14ac:dyDescent="0.4">
      <c r="A5" s="654" t="s">
        <v>187</v>
      </c>
      <c r="B5" s="655"/>
      <c r="C5" s="655"/>
      <c r="D5" s="656"/>
    </row>
    <row r="7" spans="1:4" ht="20.25" x14ac:dyDescent="0.3">
      <c r="A7" s="338"/>
      <c r="B7" s="422" t="str">
        <f>'Combined Pay'!B6</f>
        <v>Month for Payment of Wages:</v>
      </c>
      <c r="C7" s="429" t="str">
        <f>'Combined Pay'!C6</f>
        <v>Mid</v>
      </c>
      <c r="D7" s="429" t="str">
        <f>'Combined Pay'!D6</f>
        <v>January 2026</v>
      </c>
    </row>
    <row r="8" spans="1:4" ht="13.5" thickBot="1" x14ac:dyDescent="0.25">
      <c r="A8" s="338"/>
      <c r="B8" s="338"/>
      <c r="C8" s="29"/>
      <c r="D8" s="29"/>
    </row>
    <row r="9" spans="1:4" ht="21" thickBot="1" x14ac:dyDescent="0.35">
      <c r="A9" s="657" t="s">
        <v>165</v>
      </c>
      <c r="B9" s="657"/>
      <c r="C9" s="657"/>
      <c r="D9" s="591">
        <f>D21+D48</f>
        <v>967000</v>
      </c>
    </row>
    <row r="11" spans="1:4" ht="15" x14ac:dyDescent="0.25">
      <c r="A11" s="278" t="s">
        <v>186</v>
      </c>
      <c r="B11" s="423" t="s">
        <v>164</v>
      </c>
    </row>
    <row r="12" spans="1:4" x14ac:dyDescent="0.2">
      <c r="A12">
        <f>'Combined Pay'!A13</f>
        <v>1</v>
      </c>
      <c r="B12" s="339" t="str">
        <f>'Combined Pay'!B13</f>
        <v>Martin Kandalama</v>
      </c>
      <c r="C12" s="64"/>
      <c r="D12" s="425">
        <f>'Combined Pay'!D13</f>
        <v>35000</v>
      </c>
    </row>
    <row r="13" spans="1:4" x14ac:dyDescent="0.2">
      <c r="A13">
        <f>SUM(A12+1)</f>
        <v>2</v>
      </c>
      <c r="B13" s="339" t="str">
        <f>'Combined Pay'!B14</f>
        <v>Daniel Mponda</v>
      </c>
      <c r="C13" s="64"/>
      <c r="D13" s="425">
        <f>'Combined Pay'!D14</f>
        <v>35000</v>
      </c>
    </row>
    <row r="14" spans="1:4" x14ac:dyDescent="0.2">
      <c r="A14">
        <f t="shared" ref="A14:A46" si="0">SUM(A13+1)</f>
        <v>3</v>
      </c>
      <c r="B14" s="339" t="str">
        <f>'Combined Pay'!B15</f>
        <v>Elizabeth Kabudula</v>
      </c>
      <c r="C14" s="64"/>
      <c r="D14" s="425">
        <f>'Combined Pay'!D15</f>
        <v>10000</v>
      </c>
    </row>
    <row r="15" spans="1:4" x14ac:dyDescent="0.2">
      <c r="A15">
        <f t="shared" ref="A15:A20" si="1">A14+1</f>
        <v>4</v>
      </c>
      <c r="B15" s="339" t="str">
        <f>'Combined Pay'!B16</f>
        <v xml:space="preserve">vacant  </v>
      </c>
      <c r="C15" s="64"/>
      <c r="D15" s="425">
        <f>'Combined Pay'!D16</f>
        <v>0</v>
      </c>
    </row>
    <row r="16" spans="1:4" x14ac:dyDescent="0.2">
      <c r="A16">
        <f t="shared" si="1"/>
        <v>5</v>
      </c>
      <c r="B16" s="339" t="str">
        <f>'Combined Pay'!B17</f>
        <v>William Mahinya</v>
      </c>
      <c r="C16" s="64"/>
      <c r="D16" s="425">
        <f>'Combined Pay'!D17</f>
        <v>75000</v>
      </c>
    </row>
    <row r="17" spans="1:4" x14ac:dyDescent="0.2">
      <c r="A17">
        <f t="shared" si="1"/>
        <v>6</v>
      </c>
      <c r="B17" s="339" t="str">
        <f>'Combined Pay'!B18</f>
        <v xml:space="preserve">vacant  </v>
      </c>
      <c r="C17" s="64"/>
      <c r="D17" s="425">
        <f>'Combined Pay'!D18</f>
        <v>0</v>
      </c>
    </row>
    <row r="18" spans="1:4" x14ac:dyDescent="0.2">
      <c r="A18">
        <f t="shared" si="1"/>
        <v>7</v>
      </c>
      <c r="B18" s="339" t="str">
        <f>'Combined Pay'!B19</f>
        <v xml:space="preserve">  </v>
      </c>
      <c r="C18" s="64"/>
      <c r="D18" s="425">
        <f>'Combined Pay'!D19</f>
        <v>0</v>
      </c>
    </row>
    <row r="19" spans="1:4" x14ac:dyDescent="0.2">
      <c r="A19">
        <f t="shared" si="1"/>
        <v>8</v>
      </c>
      <c r="B19" s="339" t="str">
        <f>'Combined Pay'!B20</f>
        <v xml:space="preserve">vacant  </v>
      </c>
      <c r="C19" s="64"/>
      <c r="D19" s="425">
        <f>'Combined Pay'!D20</f>
        <v>0</v>
      </c>
    </row>
    <row r="20" spans="1:4" x14ac:dyDescent="0.2">
      <c r="A20">
        <f t="shared" si="1"/>
        <v>9</v>
      </c>
      <c r="B20" s="339" t="str">
        <f>'Combined Pay'!B21</f>
        <v>Yankho Gulani</v>
      </c>
      <c r="C20" s="64"/>
      <c r="D20" s="425">
        <f>'Combined Pay'!D21</f>
        <v>60000</v>
      </c>
    </row>
    <row r="21" spans="1:4" ht="16.5" thickBot="1" x14ac:dyDescent="0.3">
      <c r="A21" s="73" t="s">
        <v>22</v>
      </c>
      <c r="B21" s="428" t="str">
        <f>'Combined Pay'!B22</f>
        <v>Sub-Total</v>
      </c>
      <c r="C21" s="341"/>
      <c r="D21" s="426">
        <f>SUM(D12:D20)</f>
        <v>215000</v>
      </c>
    </row>
    <row r="22" spans="1:4" ht="13.5" thickTop="1" x14ac:dyDescent="0.2">
      <c r="A22" s="73" t="s">
        <v>22</v>
      </c>
    </row>
    <row r="23" spans="1:4" ht="15" x14ac:dyDescent="0.25">
      <c r="A23" s="278" t="s">
        <v>186</v>
      </c>
      <c r="B23" s="424" t="str">
        <f>'Combined Pay'!B24</f>
        <v>Citi-Nati Supermarkets, Resturant and Stop Over</v>
      </c>
    </row>
    <row r="24" spans="1:4" x14ac:dyDescent="0.2">
      <c r="A24">
        <v>1</v>
      </c>
      <c r="B24" s="339" t="str">
        <f>'Combined Pay'!B25</f>
        <v>Sapulene Mkulichi</v>
      </c>
      <c r="C24" s="339"/>
      <c r="D24" s="343">
        <f>'Combined Pay'!D25</f>
        <v>0</v>
      </c>
    </row>
    <row r="25" spans="1:4" x14ac:dyDescent="0.2">
      <c r="A25">
        <f t="shared" si="0"/>
        <v>2</v>
      </c>
      <c r="B25" s="339" t="str">
        <f>'Combined Pay'!B26</f>
        <v>George Matemba</v>
      </c>
      <c r="C25" s="339"/>
      <c r="D25" s="343">
        <f>'Combined Pay'!D26</f>
        <v>60000</v>
      </c>
    </row>
    <row r="26" spans="1:4" x14ac:dyDescent="0.2">
      <c r="A26">
        <f t="shared" si="0"/>
        <v>3</v>
      </c>
      <c r="B26" s="339" t="str">
        <f>'Combined Pay'!B27</f>
        <v xml:space="preserve">vacant  </v>
      </c>
      <c r="C26" s="339"/>
      <c r="D26" s="343">
        <f>'Combined Pay'!D27</f>
        <v>0</v>
      </c>
    </row>
    <row r="27" spans="1:4" x14ac:dyDescent="0.2">
      <c r="A27">
        <f t="shared" si="0"/>
        <v>4</v>
      </c>
      <c r="B27" s="339" t="str">
        <f>'Combined Pay'!B28</f>
        <v>Alinafe James</v>
      </c>
      <c r="C27" s="339"/>
      <c r="D27" s="343">
        <f>'Combined Pay'!D28</f>
        <v>40000</v>
      </c>
    </row>
    <row r="28" spans="1:4" x14ac:dyDescent="0.2">
      <c r="A28">
        <f t="shared" si="0"/>
        <v>5</v>
      </c>
      <c r="B28" s="339" t="str">
        <f>'Combined Pay'!B29</f>
        <v>Chimwemwe Banda</v>
      </c>
      <c r="C28" s="339"/>
      <c r="D28" s="343">
        <f>'Combined Pay'!D29</f>
        <v>40000</v>
      </c>
    </row>
    <row r="29" spans="1:4" x14ac:dyDescent="0.2">
      <c r="A29">
        <f t="shared" si="0"/>
        <v>6</v>
      </c>
      <c r="B29" s="339" t="str">
        <f>'Combined Pay'!B30</f>
        <v xml:space="preserve">vacant  </v>
      </c>
      <c r="C29" s="339"/>
      <c r="D29" s="343">
        <f>'Combined Pay'!D30</f>
        <v>0</v>
      </c>
    </row>
    <row r="30" spans="1:4" x14ac:dyDescent="0.2">
      <c r="A30">
        <f t="shared" si="0"/>
        <v>7</v>
      </c>
      <c r="B30" s="339" t="str">
        <f>'Combined Pay'!B31</f>
        <v>Maureen Ulaya</v>
      </c>
      <c r="C30" s="339"/>
      <c r="D30" s="343">
        <f>'Combined Pay'!D31</f>
        <v>40000</v>
      </c>
    </row>
    <row r="31" spans="1:4" x14ac:dyDescent="0.2">
      <c r="A31">
        <f t="shared" si="0"/>
        <v>8</v>
      </c>
      <c r="B31" s="339" t="str">
        <f>'Combined Pay'!B32</f>
        <v>Francis Chatsweka</v>
      </c>
      <c r="C31" s="339"/>
      <c r="D31" s="343">
        <f>'Combined Pay'!D32</f>
        <v>35000</v>
      </c>
    </row>
    <row r="32" spans="1:4" x14ac:dyDescent="0.2">
      <c r="A32">
        <f t="shared" si="0"/>
        <v>9</v>
      </c>
      <c r="B32" s="339" t="str">
        <f>'Combined Pay'!B33</f>
        <v>Stenala Mponda</v>
      </c>
      <c r="C32" s="339"/>
      <c r="D32" s="343">
        <f>'Combined Pay'!D33</f>
        <v>35000</v>
      </c>
    </row>
    <row r="33" spans="1:4" x14ac:dyDescent="0.2">
      <c r="A33">
        <f t="shared" si="0"/>
        <v>10</v>
      </c>
      <c r="B33" s="339" t="str">
        <f>'Combined Pay'!B34</f>
        <v>Simikizani Siki</v>
      </c>
      <c r="C33" s="339"/>
      <c r="D33" s="343">
        <f>'Combined Pay'!D34</f>
        <v>35000</v>
      </c>
    </row>
    <row r="34" spans="1:4" x14ac:dyDescent="0.2">
      <c r="A34">
        <f t="shared" si="0"/>
        <v>11</v>
      </c>
      <c r="B34" s="339" t="str">
        <f>'Combined Pay'!B35</f>
        <v>Amini Wecha</v>
      </c>
      <c r="C34" s="339"/>
      <c r="D34" s="343">
        <f>'Combined Pay'!D35</f>
        <v>35000</v>
      </c>
    </row>
    <row r="35" spans="1:4" x14ac:dyDescent="0.2">
      <c r="A35">
        <f t="shared" si="0"/>
        <v>12</v>
      </c>
      <c r="B35" s="339" t="str">
        <f>'Combined Pay'!B36</f>
        <v>Tayifolo Mandowa</v>
      </c>
      <c r="C35" s="339"/>
      <c r="D35" s="343">
        <f>'Combined Pay'!D36</f>
        <v>60000</v>
      </c>
    </row>
    <row r="36" spans="1:4" x14ac:dyDescent="0.2">
      <c r="A36">
        <f t="shared" si="0"/>
        <v>13</v>
      </c>
      <c r="B36" s="339" t="str">
        <f>'Combined Pay'!B37</f>
        <v>Monica George</v>
      </c>
      <c r="C36" s="339"/>
      <c r="D36" s="343">
        <f>'Combined Pay'!D37</f>
        <v>40000</v>
      </c>
    </row>
    <row r="37" spans="1:4" x14ac:dyDescent="0.2">
      <c r="A37">
        <f t="shared" si="0"/>
        <v>14</v>
      </c>
      <c r="B37" s="339" t="str">
        <f>'Combined Pay'!B38</f>
        <v>Madalitso Baluti</v>
      </c>
      <c r="C37" s="339"/>
      <c r="D37" s="343">
        <f>'Combined Pay'!D38</f>
        <v>45000</v>
      </c>
    </row>
    <row r="38" spans="1:4" x14ac:dyDescent="0.2">
      <c r="A38">
        <f t="shared" si="0"/>
        <v>15</v>
      </c>
      <c r="B38" s="339" t="str">
        <f>'Combined Pay'!B39</f>
        <v>Peter James</v>
      </c>
      <c r="C38" s="339"/>
      <c r="D38" s="343">
        <f>'Combined Pay'!D39</f>
        <v>30000</v>
      </c>
    </row>
    <row r="39" spans="1:4" x14ac:dyDescent="0.2">
      <c r="A39">
        <f t="shared" si="0"/>
        <v>16</v>
      </c>
      <c r="B39" s="339" t="str">
        <f>'Combined Pay'!B40</f>
        <v>Maggie Billy</v>
      </c>
      <c r="C39" s="339"/>
      <c r="D39" s="343">
        <f>'Combined Pay'!D40</f>
        <v>40000</v>
      </c>
    </row>
    <row r="40" spans="1:4" x14ac:dyDescent="0.2">
      <c r="A40">
        <f t="shared" si="0"/>
        <v>17</v>
      </c>
      <c r="B40" s="339" t="str">
        <f>'Combined Pay'!B41</f>
        <v xml:space="preserve">vacant  </v>
      </c>
      <c r="C40" s="339"/>
      <c r="D40" s="343">
        <f>'Combined Pay'!D41</f>
        <v>0</v>
      </c>
    </row>
    <row r="41" spans="1:4" x14ac:dyDescent="0.2">
      <c r="A41">
        <f t="shared" si="0"/>
        <v>18</v>
      </c>
      <c r="B41" s="339" t="str">
        <f>'Combined Pay'!B42</f>
        <v>Esnat Adam</v>
      </c>
      <c r="C41" s="339"/>
      <c r="D41" s="343">
        <f>'Combined Pay'!D42</f>
        <v>40000</v>
      </c>
    </row>
    <row r="42" spans="1:4" x14ac:dyDescent="0.2">
      <c r="A42">
        <f t="shared" si="0"/>
        <v>19</v>
      </c>
      <c r="B42" s="339" t="str">
        <f>'Combined Pay'!B43</f>
        <v>Agness  Mponda</v>
      </c>
      <c r="C42" s="339"/>
      <c r="D42" s="343">
        <f>'Combined Pay'!D43</f>
        <v>40000</v>
      </c>
    </row>
    <row r="43" spans="1:4" x14ac:dyDescent="0.2">
      <c r="A43">
        <f t="shared" si="0"/>
        <v>20</v>
      </c>
      <c r="B43" s="339" t="str">
        <f>'Combined Pay'!B44</f>
        <v>Elizabeth Chinkono</v>
      </c>
      <c r="C43" s="339"/>
      <c r="D43" s="343">
        <f>'Combined Pay'!D44</f>
        <v>50000</v>
      </c>
    </row>
    <row r="44" spans="1:4" x14ac:dyDescent="0.2">
      <c r="A44">
        <f t="shared" si="0"/>
        <v>21</v>
      </c>
      <c r="B44" s="339" t="str">
        <f>'Combined Pay'!B45</f>
        <v xml:space="preserve">vacant  </v>
      </c>
      <c r="C44" s="339"/>
      <c r="D44" s="343">
        <f>'Combined Pay'!D45</f>
        <v>0</v>
      </c>
    </row>
    <row r="45" spans="1:4" x14ac:dyDescent="0.2">
      <c r="A45">
        <f t="shared" si="0"/>
        <v>22</v>
      </c>
      <c r="B45" s="339" t="str">
        <f>'Combined Pay'!B46</f>
        <v>Dancan Botha</v>
      </c>
      <c r="C45" s="339"/>
      <c r="D45" s="343">
        <f>'Combined Pay'!D46</f>
        <v>47000</v>
      </c>
    </row>
    <row r="46" spans="1:4" x14ac:dyDescent="0.2">
      <c r="A46">
        <f t="shared" si="0"/>
        <v>23</v>
      </c>
      <c r="B46" s="339" t="str">
        <f>'Combined Pay'!B47</f>
        <v>Ibrahim Amadu</v>
      </c>
      <c r="C46" s="339"/>
      <c r="D46" s="343">
        <f>'Combined Pay'!D47</f>
        <v>40000</v>
      </c>
    </row>
    <row r="47" spans="1:4" x14ac:dyDescent="0.2">
      <c r="B47" s="339"/>
      <c r="C47" s="339"/>
      <c r="D47" s="343"/>
    </row>
    <row r="48" spans="1:4" ht="16.5" thickBot="1" x14ac:dyDescent="0.3">
      <c r="A48" s="73" t="s">
        <v>22</v>
      </c>
      <c r="B48" s="428" t="str">
        <f>'Combined Pay'!B49</f>
        <v>Sub-Total</v>
      </c>
      <c r="C48" s="340"/>
      <c r="D48" s="426">
        <f>SUM(D24:D46)</f>
        <v>752000</v>
      </c>
    </row>
    <row r="49" spans="1:4" ht="13.5" thickTop="1" x14ac:dyDescent="0.2">
      <c r="A49" s="73"/>
    </row>
    <row r="50" spans="1:4" ht="21" thickBot="1" x14ac:dyDescent="0.35">
      <c r="D50" s="342" t="s">
        <v>217</v>
      </c>
    </row>
    <row r="51" spans="1:4" ht="15.75" x14ac:dyDescent="0.25">
      <c r="B51" s="393" t="s">
        <v>212</v>
      </c>
      <c r="C51" s="67"/>
      <c r="D51" s="427">
        <f>Wages!R257</f>
        <v>120000</v>
      </c>
    </row>
    <row r="52" spans="1:4" ht="15.75" x14ac:dyDescent="0.25">
      <c r="B52" s="394" t="s">
        <v>324</v>
      </c>
      <c r="D52" s="427">
        <f>Wages!R258</f>
        <v>520000</v>
      </c>
    </row>
    <row r="53" spans="1:4" ht="15.75" x14ac:dyDescent="0.25">
      <c r="B53" s="394" t="s">
        <v>213</v>
      </c>
      <c r="D53" s="427">
        <f>Wages!R259</f>
        <v>290000</v>
      </c>
    </row>
    <row r="54" spans="1:4" ht="15.75" x14ac:dyDescent="0.25">
      <c r="B54" s="394" t="s">
        <v>216</v>
      </c>
      <c r="D54" s="427">
        <f>Wages!R260</f>
        <v>220000</v>
      </c>
    </row>
    <row r="55" spans="1:4" ht="15.75" x14ac:dyDescent="0.25">
      <c r="B55" s="394" t="s">
        <v>214</v>
      </c>
      <c r="D55" s="427">
        <f>Wages!R261</f>
        <v>160000</v>
      </c>
    </row>
    <row r="56" spans="1:4" ht="15.75" x14ac:dyDescent="0.25">
      <c r="B56" s="394" t="s">
        <v>215</v>
      </c>
      <c r="D56" s="427">
        <f>Wages!R262</f>
        <v>270000</v>
      </c>
    </row>
    <row r="57" spans="1:4" ht="15.75" x14ac:dyDescent="0.25">
      <c r="B57" s="394" t="s">
        <v>325</v>
      </c>
      <c r="D57" s="427">
        <f>Wages!R263</f>
        <v>354000</v>
      </c>
    </row>
    <row r="58" spans="1:4" ht="16.5" thickBot="1" x14ac:dyDescent="0.3">
      <c r="B58" s="395" t="s">
        <v>218</v>
      </c>
      <c r="C58" s="396"/>
      <c r="D58" s="397">
        <f>SUM(D51:D57)</f>
        <v>1934000</v>
      </c>
    </row>
    <row r="59" spans="1:4" ht="13.5" thickTop="1" x14ac:dyDescent="0.2"/>
  </sheetData>
  <sheetProtection algorithmName="SHA-512" hashValue="MN4HAeHDfi+e80tI1FR/3ah0CUccaCQ/CJTrYdQeKhCGtpmadW/op8zqNgh1g1cV0S4Y8A5ojnNsLzdJauwfmQ==" saltValue="xI5bQwN3j4h9xVTfTWga7w==" spinCount="100000" sheet="1" objects="1" scenarios="1"/>
  <mergeCells count="2">
    <mergeCell ref="A5:D5"/>
    <mergeCell ref="A9:C9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"/>
  <sheetViews>
    <sheetView tabSelected="1" topLeftCell="A2" workbookViewId="0">
      <selection activeCell="D7" sqref="D7"/>
    </sheetView>
  </sheetViews>
  <sheetFormatPr defaultRowHeight="12.75" x14ac:dyDescent="0.2"/>
  <cols>
    <col min="1" max="1" width="6.5703125" customWidth="1"/>
    <col min="2" max="2" width="41.140625" customWidth="1"/>
    <col min="3" max="3" width="6.42578125" customWidth="1"/>
    <col min="4" max="4" width="24" customWidth="1"/>
    <col min="5" max="5" width="10.140625" bestFit="1" customWidth="1"/>
    <col min="6" max="6" width="10.28515625" bestFit="1" customWidth="1"/>
  </cols>
  <sheetData>
    <row r="1" spans="1:4" ht="59.25" x14ac:dyDescent="0.45">
      <c r="A1" s="216" t="s">
        <v>166</v>
      </c>
      <c r="D1" s="114"/>
    </row>
    <row r="2" spans="1:4" ht="18.75" thickBot="1" x14ac:dyDescent="0.3">
      <c r="B2" s="481"/>
    </row>
    <row r="3" spans="1:4" ht="29.45" customHeight="1" thickBot="1" x14ac:dyDescent="0.4">
      <c r="A3" s="658" t="s">
        <v>187</v>
      </c>
      <c r="B3" s="659"/>
      <c r="C3" s="659"/>
      <c r="D3" s="660"/>
    </row>
    <row r="5" spans="1:4" ht="20.25" x14ac:dyDescent="0.3">
      <c r="A5" s="338"/>
      <c r="B5" s="422" t="str">
        <f>'Combined Pay'!B6</f>
        <v>Month for Payment of Wages:</v>
      </c>
      <c r="C5" s="429" t="str">
        <f>'Combined Pay'!C6</f>
        <v>Mid</v>
      </c>
      <c r="D5" s="429" t="str">
        <f>'Combined Pay'!D6</f>
        <v>January 2026</v>
      </c>
    </row>
    <row r="6" spans="1:4" ht="13.5" thickBot="1" x14ac:dyDescent="0.25">
      <c r="A6" s="338"/>
      <c r="B6" s="338"/>
      <c r="C6" s="29"/>
      <c r="D6" s="29"/>
    </row>
    <row r="7" spans="1:4" ht="21" thickBot="1" x14ac:dyDescent="0.35">
      <c r="A7" s="657" t="s">
        <v>165</v>
      </c>
      <c r="B7" s="657"/>
      <c r="C7" s="657"/>
      <c r="D7" s="591">
        <f>D15+D36</f>
        <v>967000</v>
      </c>
    </row>
    <row r="9" spans="1:4" ht="15" x14ac:dyDescent="0.25">
      <c r="A9" s="278" t="s">
        <v>186</v>
      </c>
      <c r="B9" s="423" t="s">
        <v>164</v>
      </c>
    </row>
    <row r="10" spans="1:4" x14ac:dyDescent="0.2">
      <c r="A10" s="171">
        <v>1</v>
      </c>
      <c r="B10" s="339" t="str">
        <f>'Pay Sheet'!B12</f>
        <v>Martin Kandalama</v>
      </c>
      <c r="C10" s="64"/>
      <c r="D10" s="425">
        <f>+'Pay Sheet'!D12</f>
        <v>35000</v>
      </c>
    </row>
    <row r="11" spans="1:4" x14ac:dyDescent="0.2">
      <c r="A11" s="171">
        <f>SUM(A10+1)</f>
        <v>2</v>
      </c>
      <c r="B11" s="339" t="str">
        <f>'Pay Sheet'!B13</f>
        <v>Daniel Mponda</v>
      </c>
      <c r="C11" s="64"/>
      <c r="D11" s="425">
        <f>+'Pay Sheet'!D13</f>
        <v>35000</v>
      </c>
    </row>
    <row r="12" spans="1:4" x14ac:dyDescent="0.2">
      <c r="A12" s="171">
        <f t="shared" ref="A12:A14" si="0">SUM(A11+1)</f>
        <v>3</v>
      </c>
      <c r="B12" s="339" t="str">
        <f>'Pay Sheet'!B14</f>
        <v>Elizabeth Kabudula</v>
      </c>
      <c r="C12" s="64"/>
      <c r="D12" s="425">
        <f>+'Pay Sheet'!D14</f>
        <v>10000</v>
      </c>
    </row>
    <row r="13" spans="1:4" x14ac:dyDescent="0.2">
      <c r="A13" s="171">
        <f t="shared" si="0"/>
        <v>4</v>
      </c>
      <c r="B13" s="339" t="str">
        <f>'Pay Sheet'!B20</f>
        <v>Yankho Gulani</v>
      </c>
      <c r="C13" s="339"/>
      <c r="D13" s="425">
        <f>+'Pay Sheet'!D20</f>
        <v>60000</v>
      </c>
    </row>
    <row r="14" spans="1:4" x14ac:dyDescent="0.2">
      <c r="A14" s="171">
        <f t="shared" si="0"/>
        <v>5</v>
      </c>
      <c r="B14" s="339" t="str">
        <f>'Pay Sheet'!B16</f>
        <v>William Mahinya</v>
      </c>
      <c r="C14" s="339"/>
      <c r="D14" s="425">
        <f>'Pay Sheet'!D16</f>
        <v>75000</v>
      </c>
    </row>
    <row r="15" spans="1:4" s="189" customFormat="1" ht="16.5" thickBot="1" x14ac:dyDescent="0.3">
      <c r="A15" s="189" t="s">
        <v>22</v>
      </c>
      <c r="B15" s="428" t="str">
        <f>'Pay Sheet'!B21</f>
        <v>Sub-Total</v>
      </c>
      <c r="C15" s="428"/>
      <c r="D15" s="426">
        <f>SUM(D10:D14)</f>
        <v>215000</v>
      </c>
    </row>
    <row r="16" spans="1:4" ht="13.5" thickTop="1" x14ac:dyDescent="0.2">
      <c r="A16" t="s">
        <v>22</v>
      </c>
      <c r="B16" s="339" t="s">
        <v>22</v>
      </c>
      <c r="C16" s="339"/>
      <c r="D16" s="425" t="s">
        <v>22</v>
      </c>
    </row>
    <row r="17" spans="1:6" ht="15" x14ac:dyDescent="0.25">
      <c r="A17" t="s">
        <v>22</v>
      </c>
      <c r="B17" s="423" t="str">
        <f>'Pay Sheet'!B23</f>
        <v>Citi-Nati Supermarkets, Resturant and Stop Over</v>
      </c>
      <c r="C17" s="339"/>
    </row>
    <row r="18" spans="1:6" x14ac:dyDescent="0.2">
      <c r="A18" s="171">
        <v>1</v>
      </c>
      <c r="B18" s="339" t="str">
        <f>'Pay Sheet'!B25</f>
        <v>George Matemba</v>
      </c>
      <c r="C18" s="339"/>
      <c r="D18" s="425">
        <f>+'Pay Sheet'!D25</f>
        <v>60000</v>
      </c>
    </row>
    <row r="19" spans="1:6" x14ac:dyDescent="0.2">
      <c r="A19" s="171">
        <f>+A18+1</f>
        <v>2</v>
      </c>
      <c r="B19" s="339" t="str">
        <f>'Pay Sheet'!B27</f>
        <v>Alinafe James</v>
      </c>
      <c r="C19" s="339"/>
      <c r="D19" s="425">
        <f>+'Pay Sheet'!D27</f>
        <v>40000</v>
      </c>
    </row>
    <row r="20" spans="1:6" x14ac:dyDescent="0.2">
      <c r="A20" s="171">
        <f t="shared" ref="A20:A35" si="1">+A19+1</f>
        <v>3</v>
      </c>
      <c r="B20" s="339" t="str">
        <f>'Pay Sheet'!B28</f>
        <v>Chimwemwe Banda</v>
      </c>
      <c r="C20" s="339"/>
      <c r="D20" s="425">
        <f>+'Pay Sheet'!D28</f>
        <v>40000</v>
      </c>
    </row>
    <row r="21" spans="1:6" ht="15.75" x14ac:dyDescent="0.25">
      <c r="A21" s="171">
        <f t="shared" si="1"/>
        <v>4</v>
      </c>
      <c r="B21" s="339" t="str">
        <f>'Pay Sheet'!B30</f>
        <v>Maureen Ulaya</v>
      </c>
      <c r="C21" s="340"/>
      <c r="D21" s="425">
        <f>+'Pay Sheet'!D30</f>
        <v>40000</v>
      </c>
      <c r="E21" s="153" t="s">
        <v>22</v>
      </c>
    </row>
    <row r="22" spans="1:6" ht="15.75" x14ac:dyDescent="0.25">
      <c r="A22" s="171">
        <f t="shared" si="1"/>
        <v>5</v>
      </c>
      <c r="B22" s="339" t="str">
        <f>'Pay Sheet'!B31</f>
        <v>Francis Chatsweka</v>
      </c>
      <c r="C22" s="340"/>
      <c r="D22" s="425">
        <f>+'Pay Sheet'!D31</f>
        <v>35000</v>
      </c>
      <c r="F22" s="153">
        <f>+'Pay Sheet'!D9-Final!D7</f>
        <v>0</v>
      </c>
    </row>
    <row r="23" spans="1:6" ht="15.75" x14ac:dyDescent="0.25">
      <c r="A23" s="171">
        <f t="shared" si="1"/>
        <v>6</v>
      </c>
      <c r="B23" s="339" t="str">
        <f>'Pay Sheet'!B32</f>
        <v>Stenala Mponda</v>
      </c>
      <c r="C23" s="340"/>
      <c r="D23" s="425">
        <f>+'Pay Sheet'!D32</f>
        <v>35000</v>
      </c>
    </row>
    <row r="24" spans="1:6" ht="15.75" x14ac:dyDescent="0.25">
      <c r="A24" s="171">
        <f t="shared" si="1"/>
        <v>7</v>
      </c>
      <c r="B24" s="339" t="str">
        <f>'Pay Sheet'!B33</f>
        <v>Simikizani Siki</v>
      </c>
      <c r="C24" s="340"/>
      <c r="D24" s="425">
        <f>+'Pay Sheet'!D33</f>
        <v>35000</v>
      </c>
    </row>
    <row r="25" spans="1:6" ht="15.75" x14ac:dyDescent="0.25">
      <c r="A25" s="171">
        <f t="shared" si="1"/>
        <v>8</v>
      </c>
      <c r="B25" s="339" t="str">
        <f>'Pay Sheet'!B34</f>
        <v>Amini Wecha</v>
      </c>
      <c r="C25" s="340"/>
      <c r="D25" s="425">
        <f>+'Pay Sheet'!D34</f>
        <v>35000</v>
      </c>
    </row>
    <row r="26" spans="1:6" ht="15.75" x14ac:dyDescent="0.25">
      <c r="A26" s="171">
        <f t="shared" si="1"/>
        <v>9</v>
      </c>
      <c r="B26" s="339" t="str">
        <f>'Pay Sheet'!B35</f>
        <v>Tayifolo Mandowa</v>
      </c>
      <c r="C26" s="340"/>
      <c r="D26" s="425">
        <f>+'Pay Sheet'!D35</f>
        <v>60000</v>
      </c>
    </row>
    <row r="27" spans="1:6" ht="15.75" x14ac:dyDescent="0.25">
      <c r="A27" s="171">
        <f t="shared" si="1"/>
        <v>10</v>
      </c>
      <c r="B27" s="339" t="str">
        <f>'Pay Sheet'!B36</f>
        <v>Monica George</v>
      </c>
      <c r="C27" s="340"/>
      <c r="D27" s="425">
        <f>+'Pay Sheet'!D36</f>
        <v>40000</v>
      </c>
    </row>
    <row r="28" spans="1:6" ht="15.75" x14ac:dyDescent="0.25">
      <c r="A28" s="171">
        <f t="shared" si="1"/>
        <v>11</v>
      </c>
      <c r="B28" s="339" t="str">
        <f>'Pay Sheet'!B37</f>
        <v>Madalitso Baluti</v>
      </c>
      <c r="C28" s="340"/>
      <c r="D28" s="425">
        <f>+'Pay Sheet'!D37</f>
        <v>45000</v>
      </c>
    </row>
    <row r="29" spans="1:6" ht="15.75" x14ac:dyDescent="0.25">
      <c r="A29" s="171">
        <f t="shared" si="1"/>
        <v>12</v>
      </c>
      <c r="B29" s="339" t="str">
        <f>'Pay Sheet'!B38</f>
        <v>Peter James</v>
      </c>
      <c r="C29" s="340"/>
      <c r="D29" s="425">
        <f>+'Pay Sheet'!D38</f>
        <v>30000</v>
      </c>
    </row>
    <row r="30" spans="1:6" ht="15.75" x14ac:dyDescent="0.25">
      <c r="A30" s="171">
        <f t="shared" si="1"/>
        <v>13</v>
      </c>
      <c r="B30" s="339" t="str">
        <f>'Pay Sheet'!B39</f>
        <v>Maggie Billy</v>
      </c>
      <c r="C30" s="340"/>
      <c r="D30" s="425">
        <f>+'Pay Sheet'!D39</f>
        <v>40000</v>
      </c>
    </row>
    <row r="31" spans="1:6" ht="15.75" x14ac:dyDescent="0.25">
      <c r="A31" s="171">
        <f t="shared" si="1"/>
        <v>14</v>
      </c>
      <c r="B31" s="339" t="str">
        <f>'Pay Sheet'!B41</f>
        <v>Esnat Adam</v>
      </c>
      <c r="C31" s="340"/>
      <c r="D31" s="425">
        <f>+'Pay Sheet'!D41</f>
        <v>40000</v>
      </c>
    </row>
    <row r="32" spans="1:6" ht="15.75" x14ac:dyDescent="0.25">
      <c r="A32" s="171">
        <f t="shared" si="1"/>
        <v>15</v>
      </c>
      <c r="B32" s="339" t="str">
        <f>'Pay Sheet'!B42</f>
        <v>Agness  Mponda</v>
      </c>
      <c r="C32" s="340"/>
      <c r="D32" s="425">
        <f>+'Pay Sheet'!D42</f>
        <v>40000</v>
      </c>
    </row>
    <row r="33" spans="1:4" ht="15.75" x14ac:dyDescent="0.25">
      <c r="A33" s="171">
        <f t="shared" si="1"/>
        <v>16</v>
      </c>
      <c r="B33" s="339" t="str">
        <f>'Pay Sheet'!B43</f>
        <v>Elizabeth Chinkono</v>
      </c>
      <c r="C33" s="340"/>
      <c r="D33" s="425">
        <f>+'Pay Sheet'!D43</f>
        <v>50000</v>
      </c>
    </row>
    <row r="34" spans="1:4" ht="15.75" x14ac:dyDescent="0.25">
      <c r="A34" s="171">
        <f t="shared" si="1"/>
        <v>17</v>
      </c>
      <c r="B34" s="339" t="str">
        <f>'Pay Sheet'!B45</f>
        <v>Dancan Botha</v>
      </c>
      <c r="C34" s="340"/>
      <c r="D34" s="425">
        <f>+'Pay Sheet'!D45</f>
        <v>47000</v>
      </c>
    </row>
    <row r="35" spans="1:4" ht="15.75" x14ac:dyDescent="0.25">
      <c r="A35" s="171">
        <f t="shared" si="1"/>
        <v>18</v>
      </c>
      <c r="B35" s="339" t="str">
        <f>'Pay Sheet'!B46</f>
        <v>Ibrahim Amadu</v>
      </c>
      <c r="C35" s="340"/>
      <c r="D35" s="425">
        <f>+'Pay Sheet'!D46</f>
        <v>40000</v>
      </c>
    </row>
    <row r="36" spans="1:4" ht="16.5" thickBot="1" x14ac:dyDescent="0.3">
      <c r="B36" s="428" t="str">
        <f>'Pay Sheet'!B48</f>
        <v>Sub-Total</v>
      </c>
      <c r="C36" s="645"/>
      <c r="D36" s="426">
        <f>SUM(D18:D35)</f>
        <v>752000</v>
      </c>
    </row>
    <row r="37" spans="1:4" ht="13.5" thickTop="1" x14ac:dyDescent="0.2">
      <c r="B37" s="339"/>
    </row>
    <row r="38" spans="1:4" x14ac:dyDescent="0.2">
      <c r="B38" s="339"/>
    </row>
    <row r="39" spans="1:4" ht="15.75" x14ac:dyDescent="0.25">
      <c r="B39" s="340" t="s">
        <v>22</v>
      </c>
      <c r="C39" s="644"/>
      <c r="D39" s="647" t="str">
        <f>+'Pay Sheet'!D50</f>
        <v>Amounts Due</v>
      </c>
    </row>
    <row r="40" spans="1:4" ht="15.75" x14ac:dyDescent="0.25">
      <c r="B40" s="428" t="str">
        <f>+'Pay Sheet'!B51</f>
        <v>Management Employees</v>
      </c>
      <c r="C40" s="428"/>
      <c r="D40" s="648">
        <f>+'Pay Sheet'!D51</f>
        <v>120000</v>
      </c>
    </row>
    <row r="41" spans="1:4" ht="15.75" x14ac:dyDescent="0.25">
      <c r="B41" s="428" t="str">
        <f>+'Pay Sheet'!B52</f>
        <v>Domasi Supermarket Employees</v>
      </c>
      <c r="C41" s="428"/>
      <c r="D41" s="648">
        <f>+'Pay Sheet'!D52</f>
        <v>520000</v>
      </c>
    </row>
    <row r="42" spans="1:4" ht="15.75" x14ac:dyDescent="0.25">
      <c r="B42" s="428" t="str">
        <f>+'Pay Sheet'!B53</f>
        <v>Stop-Over Employees</v>
      </c>
      <c r="C42" s="428"/>
      <c r="D42" s="648">
        <f>+'Pay Sheet'!D53</f>
        <v>290000</v>
      </c>
    </row>
    <row r="43" spans="1:4" ht="15.75" x14ac:dyDescent="0.25">
      <c r="B43" s="428" t="str">
        <f>+'Pay Sheet'!B54</f>
        <v>Restuarant Employees</v>
      </c>
      <c r="C43" s="428"/>
      <c r="D43" s="648">
        <f>+'Pay Sheet'!D54</f>
        <v>220000</v>
      </c>
    </row>
    <row r="44" spans="1:4" ht="15.75" x14ac:dyDescent="0.25">
      <c r="B44" s="428" t="str">
        <f>+'Pay Sheet'!B55</f>
        <v>Domasi Residence Employees</v>
      </c>
      <c r="C44" s="428"/>
      <c r="D44" s="648">
        <f>+'Pay Sheet'!D55</f>
        <v>160000</v>
      </c>
    </row>
    <row r="45" spans="1:4" ht="15.75" x14ac:dyDescent="0.25">
      <c r="B45" s="428" t="str">
        <f>+'Pay Sheet'!B56</f>
        <v>Nyambadwe Residence Employees</v>
      </c>
      <c r="C45" s="428"/>
      <c r="D45" s="648">
        <f>+'Pay Sheet'!D56</f>
        <v>270000</v>
      </c>
    </row>
    <row r="46" spans="1:4" ht="15.75" x14ac:dyDescent="0.25">
      <c r="B46" s="428" t="str">
        <f>+'Pay Sheet'!B57</f>
        <v>Chinyonga Supermarket Employees</v>
      </c>
      <c r="C46" s="428"/>
      <c r="D46" s="648">
        <f>+'Pay Sheet'!D57</f>
        <v>354000</v>
      </c>
    </row>
    <row r="47" spans="1:4" ht="18.75" thickBot="1" x14ac:dyDescent="0.3">
      <c r="B47" s="646" t="str">
        <f>+'Pay Sheet'!B58</f>
        <v>Total Wages to Pay Entire Month</v>
      </c>
      <c r="C47" s="646"/>
      <c r="D47" s="649">
        <f>+'Pay Sheet'!D58</f>
        <v>1934000</v>
      </c>
    </row>
    <row r="48" spans="1:4" ht="13.5" thickTop="1" x14ac:dyDescent="0.2">
      <c r="B48" s="64"/>
      <c r="C48" s="64"/>
      <c r="D48" s="64"/>
    </row>
  </sheetData>
  <mergeCells count="2">
    <mergeCell ref="A3:D3"/>
    <mergeCell ref="A7:C7"/>
  </mergeCells>
  <pageMargins left="0.7" right="0.7" top="0.75" bottom="0.75" header="0.3" footer="0.3"/>
  <pageSetup paperSize="9" scale="9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29" workbookViewId="0">
      <selection activeCell="A33" sqref="A33:B52"/>
    </sheetView>
  </sheetViews>
  <sheetFormatPr defaultRowHeight="12.75" x14ac:dyDescent="0.2"/>
  <cols>
    <col min="1" max="1" width="53.28515625" customWidth="1"/>
    <col min="2" max="2" width="26.85546875" customWidth="1"/>
  </cols>
  <sheetData>
    <row r="1" spans="1:6" ht="59.25" x14ac:dyDescent="0.45">
      <c r="A1" s="216" t="s">
        <v>166</v>
      </c>
      <c r="D1" s="114"/>
    </row>
    <row r="5" spans="1:6" ht="21.95" customHeight="1" thickBot="1" x14ac:dyDescent="0.35">
      <c r="A5" s="661" t="str">
        <f>Wages!K216</f>
        <v>Termination of Contract Calculations</v>
      </c>
      <c r="B5" s="661"/>
      <c r="C5" s="661"/>
      <c r="D5" s="661"/>
      <c r="E5" s="661"/>
      <c r="F5" s="661"/>
    </row>
    <row r="6" spans="1:6" ht="21.95" customHeight="1" x14ac:dyDescent="0.2">
      <c r="A6" s="475" t="s">
        <v>296</v>
      </c>
      <c r="B6" s="470" t="s">
        <v>422</v>
      </c>
    </row>
    <row r="7" spans="1:6" ht="21.95" customHeight="1" x14ac:dyDescent="0.2">
      <c r="A7" s="476" t="s">
        <v>297</v>
      </c>
      <c r="B7" s="471">
        <v>45626</v>
      </c>
    </row>
    <row r="8" spans="1:6" ht="21.95" customHeight="1" x14ac:dyDescent="0.2">
      <c r="A8" s="476" t="s">
        <v>300</v>
      </c>
      <c r="B8" s="472">
        <v>2</v>
      </c>
      <c r="C8" s="73" t="s">
        <v>289</v>
      </c>
    </row>
    <row r="9" spans="1:6" ht="21.95" customHeight="1" x14ac:dyDescent="0.2">
      <c r="A9" s="476" t="s">
        <v>298</v>
      </c>
      <c r="B9" s="473">
        <v>0</v>
      </c>
    </row>
    <row r="10" spans="1:6" ht="21.95" customHeight="1" thickBot="1" x14ac:dyDescent="0.25">
      <c r="A10" s="477" t="s">
        <v>299</v>
      </c>
      <c r="B10" s="474">
        <v>0</v>
      </c>
      <c r="C10" t="s">
        <v>290</v>
      </c>
    </row>
    <row r="11" spans="1:6" ht="21.95" customHeight="1" x14ac:dyDescent="0.2">
      <c r="A11" s="29" t="s">
        <v>306</v>
      </c>
      <c r="B11" s="462" t="str">
        <f>Wages!G241</f>
        <v>Not applicable</v>
      </c>
    </row>
    <row r="12" spans="1:6" ht="21.95" customHeight="1" x14ac:dyDescent="0.2">
      <c r="A12" s="29" t="s">
        <v>307</v>
      </c>
      <c r="B12" s="462" t="str">
        <f>Wages!G277</f>
        <v>Nil</v>
      </c>
    </row>
    <row r="13" spans="1:6" ht="21.95" customHeight="1" x14ac:dyDescent="0.2">
      <c r="A13" s="29"/>
      <c r="B13" s="462"/>
    </row>
    <row r="14" spans="1:6" ht="21.95" customHeight="1" x14ac:dyDescent="0.2">
      <c r="A14" t="str">
        <f>Wages!A216</f>
        <v>Employer Induced Termination</v>
      </c>
      <c r="B14" s="73" t="s">
        <v>22</v>
      </c>
    </row>
    <row r="15" spans="1:6" ht="21.95" customHeight="1" x14ac:dyDescent="0.2">
      <c r="A15" s="466" t="str">
        <f>Wages!A219</f>
        <v>Name of Employee:</v>
      </c>
      <c r="B15" s="467" t="str">
        <f>Wages!F219</f>
        <v>Not Applicable</v>
      </c>
    </row>
    <row r="16" spans="1:6" ht="21.95" customHeight="1" x14ac:dyDescent="0.2">
      <c r="A16" s="463"/>
      <c r="B16" s="468"/>
    </row>
    <row r="17" spans="1:2" ht="21.95" customHeight="1" x14ac:dyDescent="0.2">
      <c r="A17" s="409" t="str">
        <f>Wages!A221</f>
        <v>Date Contract Terminated</v>
      </c>
      <c r="B17" s="615" t="str">
        <f>Wages!G221</f>
        <v>Not applicable</v>
      </c>
    </row>
    <row r="18" spans="1:2" ht="21.95" customHeight="1" x14ac:dyDescent="0.2">
      <c r="A18" s="409" t="str">
        <f>Wages!A223</f>
        <v xml:space="preserve">Payslip for end of Contract </v>
      </c>
      <c r="B18" s="616" t="str">
        <f>Wages!G223</f>
        <v>Not applicable</v>
      </c>
    </row>
    <row r="19" spans="1:2" ht="21.95" customHeight="1" x14ac:dyDescent="0.2">
      <c r="A19" s="409" t="str">
        <f>Wages!A225</f>
        <v>Number of Months Worked Continously</v>
      </c>
      <c r="B19" s="617" t="str">
        <f>Wages!G225</f>
        <v>Not applicable</v>
      </c>
    </row>
    <row r="20" spans="1:2" ht="30" customHeight="1" x14ac:dyDescent="0.2">
      <c r="A20" s="457" t="str">
        <f>Wages!A227</f>
        <v>Gratuity at 5% of the last salary mutiplied by Number of Months of Uninterrupted Employment</v>
      </c>
      <c r="B20" s="618" t="str">
        <f>Wages!G227</f>
        <v>Not applicable</v>
      </c>
    </row>
    <row r="21" spans="1:2" ht="21.95" customHeight="1" x14ac:dyDescent="0.2">
      <c r="A21" s="409" t="str">
        <f>Wages!A229</f>
        <v>Accrued Leave Days in Number of Months Worked Continuously</v>
      </c>
      <c r="B21" s="617" t="str">
        <f>Wages!G229</f>
        <v>Not applicable</v>
      </c>
    </row>
    <row r="22" spans="1:2" ht="21.95" customHeight="1" x14ac:dyDescent="0.2">
      <c r="A22" s="409" t="str">
        <f>Wages!A231</f>
        <v>Leave Pay on Accrued Leave Days</v>
      </c>
      <c r="B22" s="616" t="str">
        <f>Wages!G231</f>
        <v>Not applicable</v>
      </c>
    </row>
    <row r="23" spans="1:2" ht="21.95" customHeight="1" x14ac:dyDescent="0.2">
      <c r="A23" s="409" t="str">
        <f>Wages!A233</f>
        <v>One Month Pay In Lieu of Notice</v>
      </c>
      <c r="B23" s="616" t="str">
        <f>Wages!G233</f>
        <v>Not applicable</v>
      </c>
    </row>
    <row r="24" spans="1:2" ht="21.95" customHeight="1" thickBot="1" x14ac:dyDescent="0.25">
      <c r="A24" s="463" t="str">
        <f>Wages!A235</f>
        <v>Total Gross Amount Due at End of Contract</v>
      </c>
      <c r="B24" s="619" t="str">
        <f>Wages!G235</f>
        <v>Not applicable</v>
      </c>
    </row>
    <row r="25" spans="1:2" ht="21.95" customHeight="1" thickTop="1" x14ac:dyDescent="0.2">
      <c r="A25" s="458" t="str">
        <f>Wages!A237</f>
        <v>Less Outstanding Loan Obligations</v>
      </c>
      <c r="B25" s="620" t="str">
        <f>Wages!G237</f>
        <v>Not applicable</v>
      </c>
    </row>
    <row r="26" spans="1:2" ht="21.95" customHeight="1" x14ac:dyDescent="0.2">
      <c r="A26" s="409" t="str">
        <f>Wages!A239</f>
        <v>Less part-payment of Salary made during mid month of</v>
      </c>
      <c r="B26" s="616" t="str">
        <f>IF(B10=1,Wages!G239,"Not applicable")</f>
        <v>Not applicable</v>
      </c>
    </row>
    <row r="27" spans="1:2" ht="21.95" customHeight="1" thickBot="1" x14ac:dyDescent="0.25">
      <c r="A27" s="464" t="str">
        <f>Wages!A241</f>
        <v>Total Net Amount Due at End of Contract</v>
      </c>
      <c r="B27" s="621" t="str">
        <f>Wages!G241</f>
        <v>Not applicable</v>
      </c>
    </row>
    <row r="28" spans="1:2" ht="39.950000000000003" customHeight="1" thickTop="1" x14ac:dyDescent="0.2">
      <c r="A28" s="457" t="str">
        <f>Wages!A243</f>
        <v>Employer's Signature Confirming Payment of the Net Amount Due Following End of Contract</v>
      </c>
      <c r="B28" s="459" t="s">
        <v>304</v>
      </c>
    </row>
    <row r="29" spans="1:2" s="456" customFormat="1" ht="39.950000000000003" customHeight="1" x14ac:dyDescent="0.2">
      <c r="A29" s="457" t="str">
        <f>Wages!A245</f>
        <v xml:space="preserve">Employee's Signature agreeing to the amount due following end of Contract </v>
      </c>
      <c r="B29" s="459" t="s">
        <v>304</v>
      </c>
    </row>
    <row r="30" spans="1:2" ht="21.95" customHeight="1" x14ac:dyDescent="0.2">
      <c r="A30" s="460" t="str">
        <f>Wages!A247</f>
        <v xml:space="preserve">Date signed                                                                                                  </v>
      </c>
      <c r="B30" s="461" t="s">
        <v>304</v>
      </c>
    </row>
    <row r="32" spans="1:2" ht="21.95" customHeight="1" x14ac:dyDescent="0.2"/>
    <row r="33" spans="1:2" ht="21.95" customHeight="1" x14ac:dyDescent="0.2">
      <c r="A33" t="str">
        <f>Wages!A252</f>
        <v>Employee Resignation/Dismissal</v>
      </c>
    </row>
    <row r="34" spans="1:2" ht="21.95" customHeight="1" x14ac:dyDescent="0.2">
      <c r="A34" s="64" t="str">
        <f>Wages!A255</f>
        <v>Name of Employee:</v>
      </c>
      <c r="B34" s="64" t="str">
        <f>Wages!F255</f>
        <v>Employee does not exist</v>
      </c>
    </row>
    <row r="35" spans="1:2" ht="21.95" customHeight="1" x14ac:dyDescent="0.2">
      <c r="A35" s="64"/>
      <c r="B35" s="64"/>
    </row>
    <row r="36" spans="1:2" ht="21.95" customHeight="1" x14ac:dyDescent="0.2">
      <c r="A36" t="str">
        <f>Wages!A257</f>
        <v>Date Contract Terminated</v>
      </c>
      <c r="B36" s="205" t="str">
        <f>Wages!G257</f>
        <v>None</v>
      </c>
    </row>
    <row r="37" spans="1:2" ht="21.95" customHeight="1" x14ac:dyDescent="0.2">
      <c r="A37" t="str">
        <f>Wages!A259</f>
        <v>Payslip for end of Contract</v>
      </c>
      <c r="B37" s="462" t="str">
        <f>Wages!G259</f>
        <v>None</v>
      </c>
    </row>
    <row r="38" spans="1:2" ht="21.95" customHeight="1" x14ac:dyDescent="0.2">
      <c r="A38" t="str">
        <f>Wages!A261</f>
        <v>Number of Months Worked Continously</v>
      </c>
      <c r="B38" s="622" t="str">
        <f>Wages!G261</f>
        <v>Nil</v>
      </c>
    </row>
    <row r="39" spans="1:2" ht="21.95" customHeight="1" x14ac:dyDescent="0.2">
      <c r="A39" t="str">
        <f>Wages!A263</f>
        <v>Number of days worked during month of resignation/dismissal</v>
      </c>
      <c r="B39" s="43" t="str">
        <f>Wages!G263</f>
        <v>Nil</v>
      </c>
    </row>
    <row r="40" spans="1:2" ht="21.95" customHeight="1" x14ac:dyDescent="0.2">
      <c r="A40" t="str">
        <f>Wages!A265</f>
        <v>Salary for days worked during month of resignation/dismissal</v>
      </c>
      <c r="B40" s="462" t="str">
        <f>Wages!G265</f>
        <v>Nil</v>
      </c>
    </row>
    <row r="41" spans="1:2" ht="21.95" customHeight="1" x14ac:dyDescent="0.2">
      <c r="A41" t="str">
        <f>Wages!A267</f>
        <v>One Month Pay In Lieu of Notice</v>
      </c>
      <c r="B41" s="462" t="str">
        <f>Wages!G267</f>
        <v>Nil</v>
      </c>
    </row>
    <row r="42" spans="1:2" ht="30" customHeight="1" x14ac:dyDescent="0.2">
      <c r="A42" s="456" t="str">
        <f>Wages!A269</f>
        <v>Gratuity at 5% of the last salary mutiplied by Number of Months of Uninterrupted Employment</v>
      </c>
      <c r="B42" s="623" t="str">
        <f>Wages!G269</f>
        <v>Nil</v>
      </c>
    </row>
    <row r="43" spans="1:2" ht="21.95" customHeight="1" thickBot="1" x14ac:dyDescent="0.25">
      <c r="A43" s="64" t="str">
        <f>Wages!A271</f>
        <v>Total Gross Amount Due at End of Contract</v>
      </c>
      <c r="B43" s="624" t="str">
        <f>Wages!G271</f>
        <v>Nil</v>
      </c>
    </row>
    <row r="44" spans="1:2" ht="21.95" customHeight="1" thickTop="1" x14ac:dyDescent="0.2">
      <c r="A44" t="str">
        <f>Wages!A273</f>
        <v>Less Outstanding Loan Obligations</v>
      </c>
      <c r="B44" s="462" t="str">
        <f>Wages!G273</f>
        <v>Nil</v>
      </c>
    </row>
    <row r="45" spans="1:2" ht="21.95" customHeight="1" x14ac:dyDescent="0.2">
      <c r="A45" t="str">
        <f>Wages!A275</f>
        <v>Less part-payment of Salary made during mid month of</v>
      </c>
      <c r="B45" s="462" t="str">
        <f>IF(B10=1,Wages!G275,"Not applicable")</f>
        <v>Not applicable</v>
      </c>
    </row>
    <row r="46" spans="1:2" ht="21.95" customHeight="1" thickBot="1" x14ac:dyDescent="0.25">
      <c r="A46" s="465" t="str">
        <f>Wages!A277</f>
        <v>Total Net Amount Due at End of Contract</v>
      </c>
      <c r="B46" s="625" t="str">
        <f>Wages!G277</f>
        <v>Nil</v>
      </c>
    </row>
    <row r="47" spans="1:2" ht="39.950000000000003" customHeight="1" thickTop="1" x14ac:dyDescent="0.2">
      <c r="A47" s="456" t="str">
        <f>Wages!A279</f>
        <v>Employer's Signature Confirming Payment of the Net Amount Due Following End of Contract</v>
      </c>
      <c r="B47" s="459" t="s">
        <v>304</v>
      </c>
    </row>
    <row r="48" spans="1:2" ht="39.950000000000003" customHeight="1" x14ac:dyDescent="0.2">
      <c r="A48" s="456" t="str">
        <f>Wages!A281</f>
        <v>Employee's Signature agreeing to the amount due following end of Contract</v>
      </c>
      <c r="B48" s="459" t="s">
        <v>304</v>
      </c>
    </row>
    <row r="49" spans="1:2" ht="21.95" customHeight="1" x14ac:dyDescent="0.2">
      <c r="A49" t="str">
        <f>Wages!A283</f>
        <v xml:space="preserve">Date signed            </v>
      </c>
      <c r="B49" s="461" t="s">
        <v>304</v>
      </c>
    </row>
  </sheetData>
  <mergeCells count="1">
    <mergeCell ref="A5:F5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FA340"/>
  <sheetViews>
    <sheetView zoomScaleNormal="100" workbookViewId="0">
      <selection activeCell="C4" sqref="C4"/>
    </sheetView>
  </sheetViews>
  <sheetFormatPr defaultRowHeight="12.75" x14ac:dyDescent="0.2"/>
  <cols>
    <col min="2" max="2" width="17.7109375" customWidth="1"/>
    <col min="3" max="3" width="18.28515625" customWidth="1"/>
    <col min="4" max="4" width="15.7109375" customWidth="1"/>
    <col min="5" max="5" width="17.7109375" style="43" customWidth="1"/>
    <col min="6" max="6" width="11.140625" bestFit="1" customWidth="1"/>
    <col min="7" max="7" width="18.7109375" customWidth="1"/>
    <col min="8" max="8" width="15.7109375" customWidth="1"/>
    <col min="9" max="9" width="17.7109375" style="43" customWidth="1"/>
    <col min="11" max="11" width="18.7109375" customWidth="1"/>
    <col min="12" max="12" width="15.7109375" customWidth="1"/>
    <col min="13" max="13" width="17.7109375" customWidth="1"/>
    <col min="15" max="15" width="18.7109375" customWidth="1"/>
    <col min="16" max="16" width="15.7109375" customWidth="1"/>
    <col min="17" max="19" width="17.7109375" customWidth="1"/>
    <col min="20" max="20" width="8.7109375" hidden="1" customWidth="1"/>
    <col min="21" max="21" width="17.7109375" customWidth="1"/>
    <col min="22" max="22" width="18.28515625" customWidth="1"/>
  </cols>
  <sheetData>
    <row r="1" spans="1:22" ht="36" thickBot="1" x14ac:dyDescent="0.55000000000000004">
      <c r="A1" s="652"/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</row>
    <row r="2" spans="1:22" ht="60" thickBot="1" x14ac:dyDescent="0.5">
      <c r="A2" s="216" t="s">
        <v>166</v>
      </c>
      <c r="B2" s="114"/>
      <c r="C2" s="114"/>
      <c r="D2" s="114"/>
      <c r="E2" s="199"/>
      <c r="F2" s="114"/>
      <c r="G2" s="175"/>
      <c r="H2" s="350" t="s">
        <v>204</v>
      </c>
      <c r="I2" s="351"/>
      <c r="J2" s="352"/>
      <c r="K2" s="353"/>
      <c r="L2" s="199"/>
      <c r="M2" s="154"/>
      <c r="N2" s="114"/>
      <c r="O2" s="114"/>
      <c r="P2" s="114"/>
      <c r="Q2" s="114"/>
      <c r="R2" s="114"/>
      <c r="S2" s="114"/>
      <c r="T2" s="114"/>
      <c r="U2" s="114"/>
      <c r="V2" s="114"/>
    </row>
    <row r="3" spans="1:22" x14ac:dyDescent="0.2">
      <c r="H3" s="354">
        <v>150000</v>
      </c>
      <c r="I3" s="355">
        <v>150001</v>
      </c>
      <c r="J3" s="356">
        <v>0</v>
      </c>
      <c r="K3" s="357" t="s">
        <v>202</v>
      </c>
      <c r="L3" s="346" t="s">
        <v>22</v>
      </c>
    </row>
    <row r="4" spans="1:22" ht="20.25" x14ac:dyDescent="0.3">
      <c r="A4" s="73" t="s">
        <v>311</v>
      </c>
      <c r="C4" s="478">
        <f>'Pay Sheet'!C2</f>
        <v>1</v>
      </c>
      <c r="E4" s="262" t="s">
        <v>193</v>
      </c>
      <c r="F4" s="317" t="str">
        <f>B$8</f>
        <v>Mid</v>
      </c>
      <c r="G4" s="318" t="str">
        <f>E18</f>
        <v>January 2026</v>
      </c>
      <c r="H4" s="358">
        <v>350000</v>
      </c>
      <c r="I4" s="348">
        <v>350001</v>
      </c>
      <c r="J4" s="349">
        <v>0.25</v>
      </c>
      <c r="K4" s="359" t="s">
        <v>203</v>
      </c>
      <c r="L4" s="344">
        <f>H4*J4</f>
        <v>87500</v>
      </c>
    </row>
    <row r="5" spans="1:22" ht="13.5" thickBot="1" x14ac:dyDescent="0.25">
      <c r="C5" s="73" t="s">
        <v>22</v>
      </c>
      <c r="H5" s="358">
        <v>2050000</v>
      </c>
      <c r="I5" s="348">
        <v>2050001</v>
      </c>
      <c r="J5" s="349">
        <v>0.3</v>
      </c>
      <c r="K5" s="359" t="s">
        <v>203</v>
      </c>
      <c r="L5" s="345">
        <f>H5*J5</f>
        <v>615000</v>
      </c>
    </row>
    <row r="6" spans="1:22" ht="13.5" thickBot="1" x14ac:dyDescent="0.25">
      <c r="A6" s="73" t="s">
        <v>310</v>
      </c>
      <c r="C6" s="479">
        <f>'Pay Sheet'!C3</f>
        <v>1</v>
      </c>
      <c r="D6" s="83" t="s">
        <v>158</v>
      </c>
      <c r="H6" s="360">
        <v>2550000</v>
      </c>
      <c r="I6" s="361">
        <v>0</v>
      </c>
      <c r="J6" s="362">
        <v>0.35</v>
      </c>
      <c r="K6" s="363" t="s">
        <v>203</v>
      </c>
      <c r="L6" s="346" t="s">
        <v>22</v>
      </c>
    </row>
    <row r="7" spans="1:22" ht="13.5" thickBot="1" x14ac:dyDescent="0.25">
      <c r="A7" s="239"/>
      <c r="B7" s="239"/>
      <c r="L7" s="346" t="s">
        <v>22</v>
      </c>
    </row>
    <row r="8" spans="1:22" x14ac:dyDescent="0.2">
      <c r="A8" s="239"/>
      <c r="B8" s="315" t="str">
        <f>IF(C6=1,"Mid",IF(C6=2,"End","wrong entry"))</f>
        <v>Mid</v>
      </c>
      <c r="I8" s="347" t="s">
        <v>22</v>
      </c>
      <c r="J8" s="347" t="s">
        <v>22</v>
      </c>
      <c r="K8" s="347" t="s">
        <v>22</v>
      </c>
      <c r="L8" s="347" t="s">
        <v>22</v>
      </c>
    </row>
    <row r="9" spans="1:22" ht="13.5" thickBot="1" x14ac:dyDescent="0.25">
      <c r="A9" s="239"/>
      <c r="B9" s="316" t="str">
        <f>IF(C4&lt;9,E18,IF(C4=9,LoanSchedule!D67,IF(C4=10,LoanSchedule!D68,IF(C4=11,LoanSchedule!D69,IF(C4=12,LoanSchedule!D70,"wrong month")))))</f>
        <v>January 2026</v>
      </c>
      <c r="C9" s="29" t="s">
        <v>185</v>
      </c>
      <c r="I9" s="347" t="s">
        <v>22</v>
      </c>
      <c r="J9" s="347" t="s">
        <v>22</v>
      </c>
      <c r="K9" s="347" t="s">
        <v>22</v>
      </c>
      <c r="L9" s="347" t="s">
        <v>22</v>
      </c>
      <c r="M9" s="153"/>
    </row>
    <row r="10" spans="1:22" x14ac:dyDescent="0.2">
      <c r="C10" s="73"/>
      <c r="H10" s="73" t="s">
        <v>22</v>
      </c>
      <c r="I10" s="347" t="s">
        <v>22</v>
      </c>
      <c r="J10" s="347" t="s">
        <v>22</v>
      </c>
      <c r="K10" s="347" t="s">
        <v>22</v>
      </c>
      <c r="L10" s="347" t="s">
        <v>22</v>
      </c>
      <c r="M10" s="153"/>
    </row>
    <row r="11" spans="1:22" ht="13.5" thickBot="1" x14ac:dyDescent="0.25">
      <c r="A11" s="226">
        <v>1</v>
      </c>
      <c r="B11" s="239" t="s">
        <v>172</v>
      </c>
      <c r="G11" s="143" t="s">
        <v>113</v>
      </c>
      <c r="I11" s="89" t="s">
        <v>114</v>
      </c>
      <c r="J11" s="347" t="s">
        <v>22</v>
      </c>
      <c r="K11" s="347" t="s">
        <v>22</v>
      </c>
      <c r="L11" s="347" t="s">
        <v>22</v>
      </c>
    </row>
    <row r="12" spans="1:22" ht="18" x14ac:dyDescent="0.25">
      <c r="A12" s="226"/>
      <c r="E12" s="225" t="s">
        <v>83</v>
      </c>
      <c r="F12" s="41"/>
      <c r="G12" s="105">
        <f>I12/2</f>
        <v>0</v>
      </c>
      <c r="I12" s="105">
        <f>E203</f>
        <v>0</v>
      </c>
      <c r="J12" s="347" t="s">
        <v>22</v>
      </c>
      <c r="K12" s="347" t="s">
        <v>22</v>
      </c>
      <c r="L12" s="347" t="s">
        <v>22</v>
      </c>
    </row>
    <row r="13" spans="1:22" ht="18.75" thickBot="1" x14ac:dyDescent="0.3">
      <c r="A13" s="226"/>
      <c r="B13" s="240"/>
      <c r="D13" s="225" t="s">
        <v>192</v>
      </c>
      <c r="G13" s="106">
        <f>I13/2</f>
        <v>967000</v>
      </c>
      <c r="I13" s="106">
        <f>E207</f>
        <v>1934000</v>
      </c>
      <c r="J13" s="347" t="s">
        <v>22</v>
      </c>
      <c r="K13" s="347" t="s">
        <v>22</v>
      </c>
      <c r="L13" s="347" t="s">
        <v>22</v>
      </c>
    </row>
    <row r="14" spans="1:22" x14ac:dyDescent="0.2">
      <c r="B14" s="41"/>
    </row>
    <row r="15" spans="1:22" ht="15.75" x14ac:dyDescent="0.25">
      <c r="C15" s="667" t="s">
        <v>85</v>
      </c>
      <c r="D15" s="668"/>
      <c r="E15" s="669"/>
      <c r="F15" s="3"/>
      <c r="G15" s="667" t="s">
        <v>85</v>
      </c>
      <c r="H15" s="668"/>
      <c r="I15" s="669"/>
      <c r="K15" s="667" t="s">
        <v>85</v>
      </c>
      <c r="L15" s="668"/>
      <c r="M15" s="669"/>
      <c r="N15" s="3"/>
      <c r="O15" s="667" t="s">
        <v>85</v>
      </c>
      <c r="P15" s="676"/>
      <c r="Q15" s="677"/>
    </row>
    <row r="16" spans="1:22" ht="15" x14ac:dyDescent="0.2">
      <c r="C16" s="74" t="s">
        <v>53</v>
      </c>
      <c r="D16" s="699" t="str">
        <f>CONCATENATE(+Biodata!B15,+" ",+Biodata!C15)</f>
        <v>Sapulene Mkulichi</v>
      </c>
      <c r="E16" s="700"/>
      <c r="F16" s="3"/>
      <c r="G16" s="74" t="str">
        <f>C16</f>
        <v>Name of Employee:</v>
      </c>
      <c r="H16" s="699" t="str">
        <f>CONCATENATE(+Biodata!B16, +" ",+Biodata!C16)</f>
        <v>George Matemba</v>
      </c>
      <c r="I16" s="700"/>
      <c r="K16" s="74" t="s">
        <v>53</v>
      </c>
      <c r="L16" s="670" t="str">
        <f>CONCATENATE(+Biodata!B22,+" ",+Biodata!C22)</f>
        <v>Alinafe James</v>
      </c>
      <c r="M16" s="671"/>
      <c r="N16" s="3"/>
      <c r="O16" s="74" t="s">
        <v>53</v>
      </c>
      <c r="P16" s="670" t="str">
        <f>CONCATENATE(+Biodata!B23,+" ",+Biodata!C23)</f>
        <v>Chimwemwe Banda</v>
      </c>
      <c r="Q16" s="675"/>
    </row>
    <row r="17" spans="1:17" x14ac:dyDescent="0.2">
      <c r="C17" s="665" t="s">
        <v>63</v>
      </c>
      <c r="D17" s="666"/>
      <c r="E17" s="115" t="str">
        <f>Biodata!A15</f>
        <v>CITI01</v>
      </c>
      <c r="F17" s="3"/>
      <c r="G17" s="665" t="s">
        <v>63</v>
      </c>
      <c r="H17" s="666"/>
      <c r="I17" s="115" t="str">
        <f>Biodata!A16</f>
        <v>CITI02</v>
      </c>
      <c r="K17" s="665" t="s">
        <v>63</v>
      </c>
      <c r="L17" s="666"/>
      <c r="M17" s="241" t="str">
        <f>Biodata!A22</f>
        <v>CITI04</v>
      </c>
      <c r="N17" s="3"/>
      <c r="O17" s="665" t="s">
        <v>63</v>
      </c>
      <c r="P17" s="681"/>
      <c r="Q17" s="75" t="str">
        <f>Biodata!A23</f>
        <v>CITI05</v>
      </c>
    </row>
    <row r="18" spans="1:17" x14ac:dyDescent="0.2">
      <c r="A18" s="73"/>
      <c r="B18" s="41" t="str">
        <f>E18</f>
        <v>January 2026</v>
      </c>
      <c r="C18" s="665" t="s">
        <v>54</v>
      </c>
      <c r="D18" s="666"/>
      <c r="E18" s="241" t="str">
        <f>+IF(C4=1,LoanSchedule!D59,IF(C4=2,LoanSchedule!D60,IF(C4=3,LoanSchedule!D61,IF(C4=4,LoanSchedule!D62,IF(C4=5,LoanSchedule!D63,IF(C4=6,LoanSchedule!D64,IF(C4=7,LoanSchedule!D65,IF(C4=8,LoanSchedule!D66,B9))))))))</f>
        <v>January 2026</v>
      </c>
      <c r="F18" s="3"/>
      <c r="G18" s="665" t="s">
        <v>54</v>
      </c>
      <c r="H18" s="666"/>
      <c r="I18" s="75" t="str">
        <f>$B$18</f>
        <v>January 2026</v>
      </c>
      <c r="K18" s="665" t="s">
        <v>54</v>
      </c>
      <c r="L18" s="666"/>
      <c r="M18" s="75" t="str">
        <f>$B$18</f>
        <v>January 2026</v>
      </c>
      <c r="N18" s="3"/>
      <c r="O18" s="665" t="s">
        <v>54</v>
      </c>
      <c r="P18" s="681"/>
      <c r="Q18" s="75" t="str">
        <f>$B$18</f>
        <v>January 2026</v>
      </c>
    </row>
    <row r="19" spans="1:17" s="171" customFormat="1" x14ac:dyDescent="0.2">
      <c r="A19"/>
      <c r="C19" s="161" t="s">
        <v>61</v>
      </c>
      <c r="D19" s="162"/>
      <c r="E19" s="242">
        <f>LoanSchedule!C14</f>
        <v>0</v>
      </c>
      <c r="F19" s="162"/>
      <c r="G19" s="161" t="s">
        <v>61</v>
      </c>
      <c r="H19" s="162"/>
      <c r="I19" s="242">
        <f>LoanSchedule!D14</f>
        <v>120000</v>
      </c>
      <c r="K19" s="161" t="s">
        <v>61</v>
      </c>
      <c r="L19" s="162"/>
      <c r="M19" s="242">
        <f>LoanSchedule!F14</f>
        <v>80000</v>
      </c>
      <c r="N19" s="162"/>
      <c r="O19" s="161" t="s">
        <v>61</v>
      </c>
      <c r="P19" s="162"/>
      <c r="Q19" s="242">
        <f>LoanSchedule!G14</f>
        <v>80000</v>
      </c>
    </row>
    <row r="20" spans="1:17" x14ac:dyDescent="0.2">
      <c r="C20" s="54" t="s">
        <v>66</v>
      </c>
      <c r="D20" s="247" t="s">
        <v>22</v>
      </c>
      <c r="E20" s="77">
        <f>LoanSchedule!C20</f>
        <v>0</v>
      </c>
      <c r="F20" s="3"/>
      <c r="G20" s="54" t="s">
        <v>66</v>
      </c>
      <c r="H20" s="3"/>
      <c r="I20" s="77">
        <f>LoanSchedule!D20</f>
        <v>0</v>
      </c>
      <c r="K20" s="54" t="s">
        <v>66</v>
      </c>
      <c r="L20" s="3"/>
      <c r="M20" s="77">
        <f>LoanSchedule!F20</f>
        <v>0</v>
      </c>
      <c r="N20" s="3"/>
      <c r="O20" s="54" t="s">
        <v>66</v>
      </c>
      <c r="P20" s="3"/>
      <c r="Q20" s="77">
        <f>LoanSchedule!G20</f>
        <v>0</v>
      </c>
    </row>
    <row r="21" spans="1:17" x14ac:dyDescent="0.2">
      <c r="A21" s="171"/>
      <c r="C21" s="54" t="s">
        <v>55</v>
      </c>
      <c r="D21" s="247">
        <f>IF(AND(SUM(E19-$H$3)&lt;$I$3,E19&lt;$I$3),0,IF(AND(SUM(E19-$H$3)&lt;$I$4,E19&gt;$I$3),SUM((E19-$H$3)*$J$4),IF(AND(SUM(E19-$H$3)&lt;$I$5,E19&gt;$I$4),SUM($L$4+(E19-$H$3-$H$4)*$J$5),SUM($L$4+$L$5+(E19-$H$3-$H$4-$H$5)*$J$6))))</f>
        <v>0</v>
      </c>
      <c r="E21" s="77"/>
      <c r="F21" s="3"/>
      <c r="G21" s="54" t="str">
        <f>C21</f>
        <v>P.A.Y.E</v>
      </c>
      <c r="H21" s="247">
        <f>IF(AND(SUM(I19-$H$3)&lt;$I$3,I19&lt;$I$3),0,IF(AND(SUM(I19-$H$3)&lt;$I$4,I19&gt;$I$3),SUM((I19-$H$3)*$J$4),IF(AND(SUM(I19-$H$3)&lt;$I$5,I19&gt;$I$4),SUM($L$4+(I19-$H$3-$H$4)*$J$5),SUM($L$4+$L$5+(I19-$H$3-$H$4-$H$5)*$J$6))))</f>
        <v>0</v>
      </c>
      <c r="I21" s="77"/>
      <c r="K21" s="54" t="str">
        <f>C93</f>
        <v>P.A.Y.E</v>
      </c>
      <c r="L21" s="247">
        <f>IF(AND(SUM(M19-$H$3)&lt;$I$3,M19&lt;$I$3),0,IF(AND(SUM(M19-$H$3)&lt;$I$4,M19&gt;$I$3),SUM((M19-$H$3)*$J$4),IF(AND(SUM(M19-$H$3)&lt;$I$5,M19&gt;$I$4),SUM($L$4+(M19-$H$3-$H$4)*$J$5),SUM($L$4+$L$5+(M19-$H$3-$H$4-$H$5)*$J$6))))</f>
        <v>0</v>
      </c>
      <c r="M21" s="77"/>
      <c r="N21" s="3"/>
      <c r="O21" s="54" t="str">
        <f>K21</f>
        <v>P.A.Y.E</v>
      </c>
      <c r="P21" s="247">
        <f>IF(AND(SUM(Q19-$H$3)&lt;$I$3,Q19&lt;$I$3),0,IF(AND(SUM(Q19-$H$3)&lt;$I$4,Q19&gt;$I$3),SUM((Q19-$H$3)*$J$4),IF(AND(SUM(Q19-$H$3)&lt;$I$5,Q19&gt;$I$4),SUM($L$4+(Q19-$H$3-$H$4)*$J$5),SUM($L$4+$L$5+(Q19-$H$3-$H$4-$H$5)*$J$6))))</f>
        <v>0</v>
      </c>
      <c r="Q21" s="77"/>
    </row>
    <row r="22" spans="1:17" x14ac:dyDescent="0.2">
      <c r="B22" t="s">
        <v>22</v>
      </c>
      <c r="C22" s="54" t="s">
        <v>73</v>
      </c>
      <c r="D22" s="55" t="s">
        <v>22</v>
      </c>
      <c r="E22" s="111">
        <f>LoanSchedule!C27</f>
        <v>0</v>
      </c>
      <c r="F22" s="3"/>
      <c r="G22" s="54" t="str">
        <f t="shared" ref="G22:G27" si="0">C22</f>
        <v>Xmas Gift/Leave Pay</v>
      </c>
      <c r="H22" s="153" t="s">
        <v>22</v>
      </c>
      <c r="I22" s="111">
        <f>LoanSchedule!D27</f>
        <v>0</v>
      </c>
      <c r="K22" s="54" t="str">
        <f>C94</f>
        <v>Xmas Gift/Leave Pay</v>
      </c>
      <c r="L22" s="153">
        <v>0</v>
      </c>
      <c r="M22" s="111">
        <f>LoanSchedule!F27</f>
        <v>0</v>
      </c>
      <c r="N22" s="3"/>
      <c r="O22" s="54" t="str">
        <f t="shared" ref="O22:O27" si="1">K22</f>
        <v>Xmas Gift/Leave Pay</v>
      </c>
      <c r="Q22" s="111">
        <f>LoanSchedule!G27</f>
        <v>0</v>
      </c>
    </row>
    <row r="23" spans="1:17" x14ac:dyDescent="0.2">
      <c r="B23" t="s">
        <v>22</v>
      </c>
      <c r="C23" s="54" t="s">
        <v>64</v>
      </c>
      <c r="D23" t="s">
        <v>22</v>
      </c>
      <c r="E23" s="111"/>
      <c r="F23" s="3"/>
      <c r="G23" s="54" t="s">
        <v>64</v>
      </c>
      <c r="H23" s="153" t="s">
        <v>22</v>
      </c>
      <c r="I23" s="111"/>
      <c r="K23" s="54" t="s">
        <v>64</v>
      </c>
      <c r="M23" s="111"/>
      <c r="N23" s="3"/>
      <c r="O23" s="54" t="s">
        <v>64</v>
      </c>
      <c r="Q23" s="111"/>
    </row>
    <row r="24" spans="1:17" x14ac:dyDescent="0.2">
      <c r="C24" s="54" t="s">
        <v>56</v>
      </c>
      <c r="D24" s="55">
        <f>LoanSchedule!C55</f>
        <v>0</v>
      </c>
      <c r="E24" s="76"/>
      <c r="F24" s="3"/>
      <c r="G24" s="54" t="str">
        <f t="shared" si="0"/>
        <v>Loan Instalment</v>
      </c>
      <c r="H24" s="55">
        <f>+LoanSchedule!D55</f>
        <v>0</v>
      </c>
      <c r="I24" s="76"/>
      <c r="K24" s="54" t="str">
        <f>C96</f>
        <v>Loan Instalment</v>
      </c>
      <c r="L24" s="55">
        <f>LoanSchedule!F55</f>
        <v>0</v>
      </c>
      <c r="M24" s="76"/>
      <c r="N24" s="3"/>
      <c r="O24" s="54" t="str">
        <f t="shared" si="1"/>
        <v>Loan Instalment</v>
      </c>
      <c r="P24" s="55">
        <f>LoanSchedule!G55</f>
        <v>0</v>
      </c>
      <c r="Q24" s="76"/>
    </row>
    <row r="25" spans="1:17" x14ac:dyDescent="0.2">
      <c r="C25" s="54" t="s">
        <v>57</v>
      </c>
      <c r="D25" s="56">
        <f>ROUNDDOWN(LoanSchedule!C23,1)</f>
        <v>0</v>
      </c>
      <c r="E25" s="76"/>
      <c r="F25" s="3"/>
      <c r="G25" s="54" t="str">
        <f t="shared" si="0"/>
        <v>Absence Deduction</v>
      </c>
      <c r="H25" s="56">
        <f>ROUNDDOWN(LoanSchedule!D23,1)</f>
        <v>0</v>
      </c>
      <c r="I25" s="76"/>
      <c r="K25" s="54" t="str">
        <f>C97</f>
        <v>Absence Deduction</v>
      </c>
      <c r="L25" s="56">
        <f>ROUNDDOWN(LoanSchedule!F23,1)</f>
        <v>0</v>
      </c>
      <c r="M25" s="76"/>
      <c r="N25" s="3"/>
      <c r="O25" s="54" t="str">
        <f t="shared" si="1"/>
        <v>Absence Deduction</v>
      </c>
      <c r="P25" s="56">
        <f>ROUNDDOWN(LoanSchedule!G23,1)</f>
        <v>0</v>
      </c>
      <c r="Q25" s="76"/>
    </row>
    <row r="26" spans="1:17" s="64" customFormat="1" x14ac:dyDescent="0.2">
      <c r="A26"/>
      <c r="C26" s="74" t="s">
        <v>58</v>
      </c>
      <c r="D26" s="66">
        <f>SUM(D21:D25)</f>
        <v>0</v>
      </c>
      <c r="E26" s="78"/>
      <c r="F26" s="65"/>
      <c r="G26" s="74" t="str">
        <f t="shared" si="0"/>
        <v>Total Deductions</v>
      </c>
      <c r="H26" s="66">
        <f>SUM(H21:H25)</f>
        <v>0</v>
      </c>
      <c r="I26" s="78"/>
      <c r="K26" s="74" t="str">
        <f>C26</f>
        <v>Total Deductions</v>
      </c>
      <c r="L26" s="66">
        <f>SUM(L21:L25)</f>
        <v>0</v>
      </c>
      <c r="M26" s="78"/>
      <c r="N26" s="65"/>
      <c r="O26" s="74" t="str">
        <f t="shared" si="1"/>
        <v>Total Deductions</v>
      </c>
      <c r="P26" s="66">
        <f>+P24+P25</f>
        <v>0</v>
      </c>
      <c r="Q26" s="78"/>
    </row>
    <row r="27" spans="1:17" x14ac:dyDescent="0.2">
      <c r="C27" s="54" t="s">
        <v>59</v>
      </c>
      <c r="D27" s="57">
        <f>LoanSchedule!C54</f>
        <v>0</v>
      </c>
      <c r="E27" s="76"/>
      <c r="F27" s="3"/>
      <c r="G27" s="54" t="str">
        <f t="shared" si="0"/>
        <v>Loan Balance</v>
      </c>
      <c r="H27" s="57">
        <f>LoanSchedule!D54</f>
        <v>0</v>
      </c>
      <c r="I27" s="76"/>
      <c r="K27" s="54" t="str">
        <f>C99</f>
        <v>Loan Balance</v>
      </c>
      <c r="L27" s="57">
        <f>LoanSchedule!F54</f>
        <v>0</v>
      </c>
      <c r="M27" s="76"/>
      <c r="N27" s="3"/>
      <c r="O27" s="54" t="str">
        <f t="shared" si="1"/>
        <v>Loan Balance</v>
      </c>
      <c r="P27" s="57">
        <f>LoanSchedule!G54</f>
        <v>0</v>
      </c>
      <c r="Q27" s="76"/>
    </row>
    <row r="28" spans="1:17" x14ac:dyDescent="0.2">
      <c r="A28" s="64"/>
      <c r="C28" s="54"/>
      <c r="D28" s="3"/>
      <c r="E28" s="76"/>
      <c r="F28" s="3"/>
      <c r="G28" s="54"/>
      <c r="H28" s="3"/>
      <c r="I28" s="76"/>
      <c r="K28" s="54"/>
      <c r="L28" s="3"/>
      <c r="M28" s="76"/>
      <c r="N28" s="3"/>
      <c r="O28" s="54"/>
      <c r="P28" s="3"/>
      <c r="Q28" s="76"/>
    </row>
    <row r="29" spans="1:17" x14ac:dyDescent="0.2">
      <c r="C29" s="133" t="s">
        <v>60</v>
      </c>
      <c r="D29" s="134"/>
      <c r="E29" s="135">
        <f>SUM(E19+E20+E22-D26)</f>
        <v>0</v>
      </c>
      <c r="F29" s="3"/>
      <c r="G29" s="136" t="s">
        <v>60</v>
      </c>
      <c r="H29" s="137"/>
      <c r="I29" s="135">
        <f>SUM(I19+I20+I22-H26)</f>
        <v>120000</v>
      </c>
      <c r="K29" s="133" t="s">
        <v>60</v>
      </c>
      <c r="L29" s="134"/>
      <c r="M29" s="135">
        <f>SUM(M19+M20+M22-L26)</f>
        <v>80000</v>
      </c>
      <c r="N29" s="3"/>
      <c r="O29" s="133" t="s">
        <v>60</v>
      </c>
      <c r="P29" s="134"/>
      <c r="Q29" s="135">
        <f>SUM(Q19+Q20+Q22-P26)</f>
        <v>80000</v>
      </c>
    </row>
    <row r="30" spans="1:17" x14ac:dyDescent="0.2">
      <c r="B30" t="s">
        <v>22</v>
      </c>
      <c r="C30" s="58" t="s">
        <v>125</v>
      </c>
      <c r="D30" s="59"/>
      <c r="E30" s="132">
        <f>E29/2</f>
        <v>0</v>
      </c>
      <c r="F30" s="3"/>
      <c r="G30" s="58" t="str">
        <f>C30</f>
        <v>Net Pay mid and end of Month</v>
      </c>
      <c r="H30" s="59"/>
      <c r="I30" s="132">
        <f>I29/2</f>
        <v>60000</v>
      </c>
      <c r="K30" s="58" t="str">
        <f>C30</f>
        <v>Net Pay mid and end of Month</v>
      </c>
      <c r="L30" s="59"/>
      <c r="M30" s="132">
        <f>M29/2</f>
        <v>40000</v>
      </c>
      <c r="N30" s="3"/>
      <c r="O30" s="58" t="str">
        <f>C30</f>
        <v>Net Pay mid and end of Month</v>
      </c>
      <c r="P30" s="59"/>
      <c r="Q30" s="132">
        <f>Q29/2</f>
        <v>40000</v>
      </c>
    </row>
    <row r="31" spans="1:17" s="86" customFormat="1" x14ac:dyDescent="0.2">
      <c r="A31"/>
      <c r="C31" s="130"/>
      <c r="D31" s="131"/>
      <c r="E31" s="129"/>
      <c r="F31" s="131"/>
      <c r="G31" s="130"/>
      <c r="H31" s="131"/>
      <c r="I31" s="129"/>
      <c r="K31" s="130"/>
      <c r="L31" s="131"/>
      <c r="M31" s="129"/>
      <c r="N31" s="131"/>
      <c r="O31" s="130"/>
      <c r="P31" s="131"/>
      <c r="Q31" s="129"/>
    </row>
    <row r="32" spans="1:17" x14ac:dyDescent="0.2">
      <c r="C32" s="4"/>
      <c r="D32" s="3"/>
      <c r="E32" s="79"/>
      <c r="F32" s="3"/>
      <c r="G32" s="4"/>
      <c r="H32" s="3"/>
      <c r="I32" s="79"/>
      <c r="K32" s="4"/>
      <c r="L32" s="3"/>
      <c r="M32" s="79"/>
      <c r="N32" s="3"/>
      <c r="O32" s="4"/>
      <c r="P32" s="3"/>
      <c r="Q32" s="79"/>
    </row>
    <row r="33" spans="1:17" ht="15.75" x14ac:dyDescent="0.25">
      <c r="A33" s="86"/>
      <c r="C33" s="667" t="s">
        <v>85</v>
      </c>
      <c r="D33" s="668"/>
      <c r="E33" s="669"/>
      <c r="F33" s="3"/>
      <c r="G33" s="667" t="s">
        <v>85</v>
      </c>
      <c r="H33" s="668"/>
      <c r="I33" s="669"/>
      <c r="K33" s="667" t="s">
        <v>85</v>
      </c>
      <c r="L33" s="668"/>
      <c r="M33" s="669"/>
      <c r="N33" s="3"/>
      <c r="O33" s="667" t="s">
        <v>85</v>
      </c>
      <c r="P33" s="676"/>
      <c r="Q33" s="677"/>
    </row>
    <row r="34" spans="1:17" ht="15" x14ac:dyDescent="0.2">
      <c r="C34" s="74" t="s">
        <v>53</v>
      </c>
      <c r="D34" s="670" t="str">
        <f>CONCATENATE(+Biodata!B24,+" ",+Biodata!C24)</f>
        <v xml:space="preserve">vacant  </v>
      </c>
      <c r="E34" s="671"/>
      <c r="F34" s="3"/>
      <c r="G34" s="74" t="str">
        <f>C34</f>
        <v>Name of Employee:</v>
      </c>
      <c r="H34" s="670" t="str">
        <f>CONCATENATE(+Biodata!B25,+" ",+Biodata!C25)</f>
        <v>Maureen Ulaya</v>
      </c>
      <c r="I34" s="671"/>
      <c r="K34" s="74" t="s">
        <v>53</v>
      </c>
      <c r="L34" s="670" t="str">
        <f>CONCATENATE(+Biodata!B26,+" ",+Biodata!C26)</f>
        <v>Francis Chatsweka</v>
      </c>
      <c r="M34" s="671"/>
      <c r="N34" s="3"/>
      <c r="O34" s="74" t="s">
        <v>53</v>
      </c>
      <c r="P34" s="670" t="str">
        <f>CONCATENATE(+Biodata!B27,+" ",+Biodata!C27)</f>
        <v>Stenala Mponda</v>
      </c>
      <c r="Q34" s="675"/>
    </row>
    <row r="35" spans="1:17" x14ac:dyDescent="0.2">
      <c r="C35" s="665" t="s">
        <v>63</v>
      </c>
      <c r="D35" s="666"/>
      <c r="E35" s="75" t="str">
        <f>Biodata!A24</f>
        <v>CITI06</v>
      </c>
      <c r="F35" s="3"/>
      <c r="G35" s="665" t="s">
        <v>63</v>
      </c>
      <c r="H35" s="666"/>
      <c r="I35" s="75" t="str">
        <f>Biodata!A25</f>
        <v>CITI07</v>
      </c>
      <c r="K35" s="665" t="s">
        <v>63</v>
      </c>
      <c r="L35" s="666"/>
      <c r="M35" s="75" t="str">
        <f>Biodata!A26</f>
        <v>CITI08</v>
      </c>
      <c r="N35" s="3"/>
      <c r="O35" s="665" t="s">
        <v>63</v>
      </c>
      <c r="P35" s="681"/>
      <c r="Q35" s="75" t="str">
        <f>Biodata!A27</f>
        <v>CITI09</v>
      </c>
    </row>
    <row r="36" spans="1:17" x14ac:dyDescent="0.2">
      <c r="C36" s="665" t="s">
        <v>54</v>
      </c>
      <c r="D36" s="666"/>
      <c r="E36" s="75" t="str">
        <f>$B$18</f>
        <v>January 2026</v>
      </c>
      <c r="F36" s="3"/>
      <c r="G36" s="665" t="s">
        <v>54</v>
      </c>
      <c r="H36" s="666"/>
      <c r="I36" s="75" t="str">
        <f>$B$18</f>
        <v>January 2026</v>
      </c>
      <c r="K36" s="665" t="s">
        <v>54</v>
      </c>
      <c r="L36" s="666"/>
      <c r="M36" s="75" t="str">
        <f>$B$18</f>
        <v>January 2026</v>
      </c>
      <c r="N36" s="3"/>
      <c r="O36" s="665" t="s">
        <v>54</v>
      </c>
      <c r="P36" s="681"/>
      <c r="Q36" s="75" t="str">
        <f>$B$18</f>
        <v>January 2026</v>
      </c>
    </row>
    <row r="37" spans="1:17" s="33" customFormat="1" x14ac:dyDescent="0.2">
      <c r="A37"/>
      <c r="C37" s="161" t="s">
        <v>61</v>
      </c>
      <c r="D37" s="55"/>
      <c r="E37" s="242">
        <f>LoanSchedule!H14</f>
        <v>0</v>
      </c>
      <c r="F37" s="55"/>
      <c r="G37" s="161" t="s">
        <v>61</v>
      </c>
      <c r="H37" s="55"/>
      <c r="I37" s="242">
        <f>LoanSchedule!I14</f>
        <v>80000</v>
      </c>
      <c r="K37" s="161" t="s">
        <v>61</v>
      </c>
      <c r="L37" s="55"/>
      <c r="M37" s="242">
        <f>LoanSchedule!J14</f>
        <v>70000</v>
      </c>
      <c r="N37" s="55"/>
      <c r="O37" s="161" t="s">
        <v>61</v>
      </c>
      <c r="P37" s="55"/>
      <c r="Q37" s="242">
        <f>LoanSchedule!K14</f>
        <v>70000</v>
      </c>
    </row>
    <row r="38" spans="1:17" x14ac:dyDescent="0.2">
      <c r="B38" t="s">
        <v>22</v>
      </c>
      <c r="C38" s="54" t="s">
        <v>66</v>
      </c>
      <c r="D38" s="3">
        <v>0</v>
      </c>
      <c r="E38" s="77">
        <f>LoanSchedule!H20</f>
        <v>0</v>
      </c>
      <c r="F38" s="3"/>
      <c r="G38" s="54" t="s">
        <v>66</v>
      </c>
      <c r="H38" s="3"/>
      <c r="I38" s="77">
        <f>LoanSchedule!I20</f>
        <v>0</v>
      </c>
      <c r="K38" s="54" t="s">
        <v>66</v>
      </c>
      <c r="L38" s="3"/>
      <c r="M38" s="77">
        <f>LoanSchedule!J20</f>
        <v>0</v>
      </c>
      <c r="N38" s="3"/>
      <c r="O38" s="54" t="s">
        <v>66</v>
      </c>
      <c r="P38" s="3"/>
      <c r="Q38" s="77">
        <f>LoanSchedule!K20</f>
        <v>0</v>
      </c>
    </row>
    <row r="39" spans="1:17" x14ac:dyDescent="0.2">
      <c r="A39" s="33"/>
      <c r="B39" t="s">
        <v>22</v>
      </c>
      <c r="C39" s="54" t="s">
        <v>55</v>
      </c>
      <c r="D39" s="247">
        <f>IF(AND(SUM(E37-$H$3)&lt;$I$3,E37&lt;$I$3),0,IF(AND(SUM(E37-$H$3)&lt;$I$4,E37&gt;$I$3),SUM((E37-$H$3)*$J$4),IF(AND(SUM(E37-$H$3)&lt;$I$5,E37&gt;$I$4),SUM($L$4+(E37-$H$3-$H$4)*$J$5),SUM($L$4+$L$5+(E37-$H$3-$H$4-$H$5)*$J$6))))</f>
        <v>0</v>
      </c>
      <c r="E39" s="77"/>
      <c r="F39" s="3"/>
      <c r="G39" s="54" t="str">
        <f>C39</f>
        <v>P.A.Y.E</v>
      </c>
      <c r="H39" s="247">
        <f>IF(AND(SUM(I37-$H$3)&lt;$I$3,I37&lt;$I$3),0,IF(AND(SUM(I37-$H$3)&lt;$I$4,I37&gt;$I$3),SUM((I37-$H$3)*$J$4),IF(AND(SUM(I37-$H$3)&lt;$I$5,I37&gt;$I$4),SUM($L$4+(I37-$H$3-$H$4)*$J$5),SUM($L$4+$L$5+(I37-$H$3-$H$4-$H$5)*$J$6))))</f>
        <v>0</v>
      </c>
      <c r="I39" s="77"/>
      <c r="K39" s="54" t="str">
        <f>K21</f>
        <v>P.A.Y.E</v>
      </c>
      <c r="L39" s="247">
        <f>IF(AND(SUM(M37-$H$3)&lt;$I$3,M37&lt;$I$3),0,IF(AND(SUM(M37-$H$3)&lt;$I$4,M37&gt;$I$3),SUM((M37-$H$3)*$J$4),IF(AND(SUM(M37-$H$3)&lt;$I$5,M37&gt;$I$4),SUM($L$4+(M37-$H$3-$H$4)*$J$5),SUM($L$4+$L$5+(M37-$H$3-$H$4-$H$5)*$J$6))))</f>
        <v>0</v>
      </c>
      <c r="M39" s="77"/>
      <c r="N39" s="3"/>
      <c r="O39" s="54" t="str">
        <f>O21</f>
        <v>P.A.Y.E</v>
      </c>
      <c r="P39" s="247">
        <f>IF(AND(SUM(Q37-$H$3)&lt;$I$3,Q37&lt;$I$3),0,IF(AND(SUM(Q37-$H$3)&lt;$I$4,Q37&gt;$I$3),SUM((Q37-$H$3)*$J$4),IF(AND(SUM(Q37-$H$3)&lt;$I$5,Q37&gt;$I$4),SUM($L$4+(Q37-$H$3-$H$4)*$J$5),SUM($L$4+$L$5+(Q37-$H$3-$H$4-$H$5)*$J$6))))</f>
        <v>0</v>
      </c>
      <c r="Q39" s="77"/>
    </row>
    <row r="40" spans="1:17" x14ac:dyDescent="0.2">
      <c r="B40" t="s">
        <v>22</v>
      </c>
      <c r="C40" s="54" t="s">
        <v>73</v>
      </c>
      <c r="E40" s="111">
        <f>LoanSchedule!H27</f>
        <v>0</v>
      </c>
      <c r="F40" s="3"/>
      <c r="G40" s="54" t="str">
        <f t="shared" ref="G40:G45" si="2">C40</f>
        <v>Xmas Gift/Leave Pay</v>
      </c>
      <c r="I40" s="111">
        <f>LoanSchedule!I27</f>
        <v>0</v>
      </c>
      <c r="K40" s="54" t="str">
        <f>K22</f>
        <v>Xmas Gift/Leave Pay</v>
      </c>
      <c r="M40" s="111">
        <f>LoanSchedule!J27</f>
        <v>0</v>
      </c>
      <c r="N40" s="3"/>
      <c r="O40" s="54" t="str">
        <f t="shared" ref="O40:O45" si="3">K40</f>
        <v>Xmas Gift/Leave Pay</v>
      </c>
      <c r="Q40" s="111">
        <f>LoanSchedule!K27</f>
        <v>0</v>
      </c>
    </row>
    <row r="41" spans="1:17" x14ac:dyDescent="0.2">
      <c r="C41" s="54" t="s">
        <v>64</v>
      </c>
      <c r="E41" s="111"/>
      <c r="F41" s="3"/>
      <c r="G41" s="54" t="s">
        <v>64</v>
      </c>
      <c r="I41" s="111"/>
      <c r="K41" s="54" t="s">
        <v>64</v>
      </c>
      <c r="M41" s="111"/>
      <c r="N41" s="3"/>
      <c r="O41" s="54" t="s">
        <v>64</v>
      </c>
      <c r="Q41" s="111"/>
    </row>
    <row r="42" spans="1:17" x14ac:dyDescent="0.2">
      <c r="C42" s="54" t="s">
        <v>56</v>
      </c>
      <c r="D42" s="55">
        <f>LoanSchedule!H55</f>
        <v>0</v>
      </c>
      <c r="E42" s="76"/>
      <c r="F42" s="3"/>
      <c r="G42" s="54" t="str">
        <f t="shared" si="2"/>
        <v>Loan Instalment</v>
      </c>
      <c r="H42" s="55">
        <f>LoanSchedule!I55</f>
        <v>0</v>
      </c>
      <c r="I42" s="76"/>
      <c r="K42" s="54" t="str">
        <f>K24</f>
        <v>Loan Instalment</v>
      </c>
      <c r="L42" s="55">
        <f>LoanSchedule!J55</f>
        <v>0</v>
      </c>
      <c r="M42" s="76"/>
      <c r="N42" s="3"/>
      <c r="O42" s="54" t="str">
        <f t="shared" si="3"/>
        <v>Loan Instalment</v>
      </c>
      <c r="P42" s="55">
        <f>LoanSchedule!K55</f>
        <v>0</v>
      </c>
      <c r="Q42" s="76"/>
    </row>
    <row r="43" spans="1:17" x14ac:dyDescent="0.2">
      <c r="C43" s="54" t="s">
        <v>57</v>
      </c>
      <c r="D43" s="56">
        <f>ROUNDDOWN(LoanSchedule!H23,1)</f>
        <v>0</v>
      </c>
      <c r="E43" s="76"/>
      <c r="F43" s="3"/>
      <c r="G43" s="54" t="str">
        <f t="shared" si="2"/>
        <v>Absence Deduction</v>
      </c>
      <c r="H43" s="56">
        <f>ROUNDDOWN(LoanSchedule!I23,1)</f>
        <v>0</v>
      </c>
      <c r="I43" s="76"/>
      <c r="K43" s="54" t="str">
        <f>K25</f>
        <v>Absence Deduction</v>
      </c>
      <c r="L43" s="56">
        <f>ROUNDDOWN(LoanSchedule!J23,1)</f>
        <v>0</v>
      </c>
      <c r="M43" s="76"/>
      <c r="N43" s="3"/>
      <c r="O43" s="54" t="str">
        <f t="shared" si="3"/>
        <v>Absence Deduction</v>
      </c>
      <c r="P43" s="56">
        <f>ROUNDDOWN(LoanSchedule!K23,1)</f>
        <v>0</v>
      </c>
      <c r="Q43" s="76"/>
    </row>
    <row r="44" spans="1:17" s="64" customFormat="1" x14ac:dyDescent="0.2">
      <c r="A44"/>
      <c r="C44" s="74" t="s">
        <v>58</v>
      </c>
      <c r="D44" s="66">
        <f>SUM(D39:D43)</f>
        <v>0</v>
      </c>
      <c r="E44" s="78"/>
      <c r="F44" s="65"/>
      <c r="G44" s="74" t="str">
        <f>G26</f>
        <v>Total Deductions</v>
      </c>
      <c r="H44" s="66">
        <f>SUM(H39:H43)</f>
        <v>0</v>
      </c>
      <c r="I44" s="78"/>
      <c r="K44" s="74" t="str">
        <f>K26</f>
        <v>Total Deductions</v>
      </c>
      <c r="L44" s="66">
        <f>SUM(L39:L43)</f>
        <v>0</v>
      </c>
      <c r="M44" s="78"/>
      <c r="N44" s="65"/>
      <c r="O44" s="74" t="str">
        <f t="shared" si="3"/>
        <v>Total Deductions</v>
      </c>
      <c r="P44" s="66">
        <f>+P42+P43</f>
        <v>0</v>
      </c>
      <c r="Q44" s="78"/>
    </row>
    <row r="45" spans="1:17" x14ac:dyDescent="0.2">
      <c r="C45" s="54" t="s">
        <v>59</v>
      </c>
      <c r="D45" s="57">
        <f>LoanSchedule!H54</f>
        <v>0</v>
      </c>
      <c r="E45" s="76"/>
      <c r="F45" s="3"/>
      <c r="G45" s="54" t="str">
        <f t="shared" si="2"/>
        <v>Loan Balance</v>
      </c>
      <c r="H45" s="57">
        <f>LoanSchedule!I54</f>
        <v>0</v>
      </c>
      <c r="I45" s="76"/>
      <c r="K45" s="54" t="str">
        <f>K27</f>
        <v>Loan Balance</v>
      </c>
      <c r="L45" s="57">
        <f>LoanSchedule!J54</f>
        <v>0</v>
      </c>
      <c r="M45" s="76"/>
      <c r="N45" s="3"/>
      <c r="O45" s="54" t="str">
        <f t="shared" si="3"/>
        <v>Loan Balance</v>
      </c>
      <c r="P45" s="57">
        <f>LoanSchedule!K54</f>
        <v>0</v>
      </c>
      <c r="Q45" s="76"/>
    </row>
    <row r="46" spans="1:17" x14ac:dyDescent="0.2">
      <c r="A46" s="64"/>
      <c r="C46" s="54"/>
      <c r="D46" s="3"/>
      <c r="E46" s="76"/>
      <c r="F46" s="3"/>
      <c r="G46" s="54"/>
      <c r="H46" s="3"/>
      <c r="I46" s="76"/>
      <c r="K46" s="54"/>
      <c r="L46" s="3"/>
      <c r="M46" s="76"/>
      <c r="N46" s="3"/>
      <c r="O46" s="54"/>
      <c r="P46" s="3"/>
      <c r="Q46" s="76"/>
    </row>
    <row r="47" spans="1:17" x14ac:dyDescent="0.2">
      <c r="C47" s="133" t="s">
        <v>60</v>
      </c>
      <c r="D47" s="134"/>
      <c r="E47" s="135">
        <f>SUM(E37+E38+E40-D44)</f>
        <v>0</v>
      </c>
      <c r="F47" s="3"/>
      <c r="G47" s="133" t="s">
        <v>60</v>
      </c>
      <c r="H47" s="134"/>
      <c r="I47" s="135">
        <f>SUM(I37+I38+I40-H44)</f>
        <v>80000</v>
      </c>
      <c r="K47" s="133" t="s">
        <v>60</v>
      </c>
      <c r="L47" s="134"/>
      <c r="M47" s="135">
        <f>SUM(M37+M38+M40-L44)</f>
        <v>70000</v>
      </c>
      <c r="N47" s="3"/>
      <c r="O47" s="133" t="s">
        <v>60</v>
      </c>
      <c r="P47" s="134"/>
      <c r="Q47" s="135">
        <f>SUM(Q37+Q38+Q40-P44)</f>
        <v>70000</v>
      </c>
    </row>
    <row r="48" spans="1:17" x14ac:dyDescent="0.2">
      <c r="C48" s="58" t="s">
        <v>125</v>
      </c>
      <c r="D48" s="59"/>
      <c r="E48" s="132">
        <f>E47/2</f>
        <v>0</v>
      </c>
      <c r="F48" s="3"/>
      <c r="G48" s="58" t="str">
        <f>C48</f>
        <v>Net Pay mid and end of Month</v>
      </c>
      <c r="H48" s="59"/>
      <c r="I48" s="132">
        <f>I47/2</f>
        <v>40000</v>
      </c>
      <c r="K48" s="58" t="str">
        <f>C48</f>
        <v>Net Pay mid and end of Month</v>
      </c>
      <c r="L48" s="59"/>
      <c r="M48" s="132">
        <f>M47/2</f>
        <v>35000</v>
      </c>
      <c r="N48" s="3"/>
      <c r="O48" s="58" t="str">
        <f>C48</f>
        <v>Net Pay mid and end of Month</v>
      </c>
      <c r="P48" s="59"/>
      <c r="Q48" s="132">
        <f>Q47/2</f>
        <v>35000</v>
      </c>
    </row>
    <row r="49" spans="1:17" x14ac:dyDescent="0.2">
      <c r="C49" s="4"/>
      <c r="D49" s="3"/>
      <c r="E49" s="79"/>
      <c r="F49" s="3"/>
      <c r="G49" s="4"/>
      <c r="H49" s="3"/>
      <c r="I49" s="79"/>
      <c r="K49" s="4"/>
      <c r="L49" s="3"/>
      <c r="M49" s="79"/>
      <c r="N49" s="3"/>
      <c r="O49" s="4"/>
      <c r="P49" s="3"/>
      <c r="Q49" s="79"/>
    </row>
    <row r="50" spans="1:17" x14ac:dyDescent="0.2">
      <c r="C50" s="4"/>
      <c r="D50" s="3"/>
      <c r="E50" s="79"/>
      <c r="F50" s="3"/>
      <c r="G50" s="4"/>
      <c r="H50" s="3"/>
      <c r="I50" s="79"/>
      <c r="K50" s="4"/>
      <c r="L50" s="3"/>
      <c r="M50" s="79"/>
      <c r="N50" s="3"/>
      <c r="O50" s="4"/>
      <c r="P50" s="3"/>
      <c r="Q50" s="79"/>
    </row>
    <row r="51" spans="1:17" ht="15.75" x14ac:dyDescent="0.25">
      <c r="C51" s="667" t="s">
        <v>85</v>
      </c>
      <c r="D51" s="668"/>
      <c r="E51" s="669"/>
      <c r="F51" s="3"/>
      <c r="G51" s="667" t="s">
        <v>85</v>
      </c>
      <c r="H51" s="668"/>
      <c r="I51" s="669"/>
      <c r="K51" s="667" t="s">
        <v>85</v>
      </c>
      <c r="L51" s="668"/>
      <c r="M51" s="669"/>
      <c r="N51" s="3"/>
      <c r="O51" s="667" t="s">
        <v>85</v>
      </c>
      <c r="P51" s="676"/>
      <c r="Q51" s="677"/>
    </row>
    <row r="52" spans="1:17" ht="15" x14ac:dyDescent="0.2">
      <c r="C52" s="74" t="s">
        <v>53</v>
      </c>
      <c r="D52" s="670" t="str">
        <f>CONCATENATE(+Biodata!B28,+" ",+Biodata!C28)</f>
        <v>Simikizani Siki</v>
      </c>
      <c r="E52" s="671"/>
      <c r="F52" s="3"/>
      <c r="G52" s="74" t="s">
        <v>53</v>
      </c>
      <c r="H52" s="670" t="str">
        <f>CONCATENATE(+Biodata!B29,+" ",+Biodata!C29)</f>
        <v>Amini Wecha</v>
      </c>
      <c r="I52" s="671"/>
      <c r="K52" s="74" t="s">
        <v>53</v>
      </c>
      <c r="L52" s="670" t="str">
        <f>CONCATENATE(+Biodata!B35,+" ",+Biodata!C35)</f>
        <v>Tayifolo Mandowa</v>
      </c>
      <c r="M52" s="671"/>
      <c r="N52" s="3"/>
      <c r="O52" s="74" t="s">
        <v>53</v>
      </c>
      <c r="P52" s="670" t="str">
        <f>CONCATENATE(+Biodata!B36,+" ",+Biodata!C36)</f>
        <v>Monica George</v>
      </c>
      <c r="Q52" s="675"/>
    </row>
    <row r="53" spans="1:17" x14ac:dyDescent="0.2">
      <c r="C53" s="665" t="s">
        <v>63</v>
      </c>
      <c r="D53" s="666"/>
      <c r="E53" s="75" t="str">
        <f>Biodata!A28</f>
        <v>CITI10</v>
      </c>
      <c r="F53" s="3"/>
      <c r="G53" s="665" t="s">
        <v>63</v>
      </c>
      <c r="H53" s="666"/>
      <c r="I53" s="75" t="str">
        <f>Biodata!A29</f>
        <v>CITI11</v>
      </c>
      <c r="K53" s="54" t="s">
        <v>63</v>
      </c>
      <c r="L53" s="4"/>
      <c r="M53" s="75" t="str">
        <f>Biodata!A35</f>
        <v>CITI12</v>
      </c>
      <c r="N53" s="3"/>
      <c r="O53" s="54" t="s">
        <v>63</v>
      </c>
      <c r="P53" s="4"/>
      <c r="Q53" s="75" t="str">
        <f>Biodata!A36</f>
        <v>CITI13</v>
      </c>
    </row>
    <row r="54" spans="1:17" x14ac:dyDescent="0.2">
      <c r="C54" s="665" t="s">
        <v>54</v>
      </c>
      <c r="D54" s="666"/>
      <c r="E54" s="75" t="str">
        <f>$B$18</f>
        <v>January 2026</v>
      </c>
      <c r="F54" s="3"/>
      <c r="G54" s="665" t="s">
        <v>54</v>
      </c>
      <c r="H54" s="666"/>
      <c r="I54" s="75" t="str">
        <f>$B$18</f>
        <v>January 2026</v>
      </c>
      <c r="K54" s="54" t="s">
        <v>54</v>
      </c>
      <c r="L54" s="4"/>
      <c r="M54" s="75" t="str">
        <f>$B$18</f>
        <v>January 2026</v>
      </c>
      <c r="N54" s="3"/>
      <c r="O54" s="54" t="s">
        <v>54</v>
      </c>
      <c r="P54" s="4"/>
      <c r="Q54" s="75" t="str">
        <f>$B$18</f>
        <v>January 2026</v>
      </c>
    </row>
    <row r="55" spans="1:17" s="33" customFormat="1" x14ac:dyDescent="0.2">
      <c r="A55"/>
      <c r="C55" s="161" t="s">
        <v>61</v>
      </c>
      <c r="D55" s="55"/>
      <c r="E55" s="242">
        <f>LoanSchedule!L14</f>
        <v>70000</v>
      </c>
      <c r="F55" s="55"/>
      <c r="G55" s="161" t="s">
        <v>61</v>
      </c>
      <c r="H55" s="55"/>
      <c r="I55" s="242">
        <f>LoanSchedule!M14</f>
        <v>70000</v>
      </c>
      <c r="K55" s="161" t="s">
        <v>61</v>
      </c>
      <c r="L55" s="55"/>
      <c r="M55" s="242">
        <f>LoanSchedule!N14</f>
        <v>120000</v>
      </c>
      <c r="N55" s="55"/>
      <c r="O55" s="161" t="s">
        <v>61</v>
      </c>
      <c r="P55" s="55"/>
      <c r="Q55" s="242">
        <f>LoanSchedule!O14</f>
        <v>80000</v>
      </c>
    </row>
    <row r="56" spans="1:17" x14ac:dyDescent="0.2">
      <c r="C56" s="54" t="s">
        <v>66</v>
      </c>
      <c r="D56" s="3"/>
      <c r="E56" s="77">
        <f>LoanSchedule!L20</f>
        <v>0</v>
      </c>
      <c r="F56" s="3"/>
      <c r="G56" s="54" t="s">
        <v>66</v>
      </c>
      <c r="H56" s="3"/>
      <c r="I56" s="77">
        <f>LoanSchedule!M20</f>
        <v>0</v>
      </c>
      <c r="K56" s="54" t="s">
        <v>66</v>
      </c>
      <c r="L56" s="3"/>
      <c r="M56" s="77">
        <f>LoanSchedule!N20</f>
        <v>0</v>
      </c>
      <c r="N56" s="3"/>
      <c r="O56" s="54" t="s">
        <v>66</v>
      </c>
      <c r="P56" s="3"/>
      <c r="Q56" s="77">
        <f>LoanSchedule!O20</f>
        <v>0</v>
      </c>
    </row>
    <row r="57" spans="1:17" x14ac:dyDescent="0.2">
      <c r="A57" s="33"/>
      <c r="C57" s="54" t="s">
        <v>55</v>
      </c>
      <c r="D57" s="247">
        <f>IF(AND(SUM(E55-$H$3)&lt;$I$3,E55&lt;$I$3),0,IF(AND(SUM(E55-$H$3)&lt;$I$4,E55&gt;$I$3),SUM((E55-$H$3)*$J$4),IF(AND(SUM(E55-$H$3)&lt;$I$5,E55&gt;$I$4),SUM($L$4+(E55-$H$3-$H$4)*$J$5),SUM($L$4+$L$5+(E55-$H$3-$H$4-$H$5)*$J$6))))</f>
        <v>0</v>
      </c>
      <c r="E57" s="77"/>
      <c r="F57" s="3"/>
      <c r="G57" s="54" t="str">
        <f>C57</f>
        <v>P.A.Y.E</v>
      </c>
      <c r="H57" s="247">
        <f>IF(AND(SUM(I55-$H$3)&lt;$I$3,I55&lt;$I$3),0,IF(AND(SUM(I55-$H$3)&lt;$I$4,I55&gt;$I$3),SUM((I55-$H$3)*$J$4),IF(AND(SUM(I55-$H$3)&lt;$I$5,I55&gt;$I$4),SUM($L$4+(I55-$H$3-$H$4)*$J$5),SUM($L$4+$L$5+(I55-$H$3-$H$4-$H$5)*$J$6))))</f>
        <v>0</v>
      </c>
      <c r="I57" s="77"/>
      <c r="K57" s="54" t="str">
        <f>K39</f>
        <v>P.A.Y.E</v>
      </c>
      <c r="L57" s="247">
        <f>IF(AND(SUM(M55-$H$3)&lt;$I$3,M55&lt;$I$3),0,IF(AND(SUM(M55-$H$3)&lt;$I$4,M55&gt;$I$3),SUM((M55-$H$3)*$J$4),IF(AND(SUM(M55-$H$3)&lt;$I$5,M55&gt;$I$4),SUM($L$4+(M55-$H$3-$H$4)*$J$5),SUM($L$4+$L$5+(M55-$H$3-$H$4-$H$5)*$J$6))))</f>
        <v>0</v>
      </c>
      <c r="M57" s="77"/>
      <c r="N57" s="3"/>
      <c r="O57" s="54" t="str">
        <f>K57</f>
        <v>P.A.Y.E</v>
      </c>
      <c r="P57" s="247">
        <f>IF(AND(SUM(Q55-$H$3)&lt;$I$3,Q55&lt;$I$3),0,IF(AND(SUM(Q55-$H$3)&lt;$I$4,Q55&gt;$I$3),SUM((Q55-$H$3)*$J$4),IF(AND(SUM(Q55-$H$3)&lt;$I$5,Q55&gt;$I$4),SUM($L$4+(Q55-$H$3-$H$4)*$J$5),SUM($L$4+$L$5+(Q55-$H$3-$H$4-$H$5)*$J$6))))</f>
        <v>0</v>
      </c>
      <c r="Q57" s="77"/>
    </row>
    <row r="58" spans="1:17" x14ac:dyDescent="0.2">
      <c r="C58" s="54" t="str">
        <f>C40</f>
        <v>Xmas Gift/Leave Pay</v>
      </c>
      <c r="E58" s="111">
        <f>+LoanSchedule!L27</f>
        <v>0</v>
      </c>
      <c r="F58" s="3"/>
      <c r="G58" s="54" t="str">
        <f t="shared" ref="G58:G63" si="4">C58</f>
        <v>Xmas Gift/Leave Pay</v>
      </c>
      <c r="I58" s="111">
        <f>LoanSchedule!M27</f>
        <v>0</v>
      </c>
      <c r="K58" s="54" t="str">
        <f>K40</f>
        <v>Xmas Gift/Leave Pay</v>
      </c>
      <c r="M58" s="111">
        <f>+LoanSchedule!N27</f>
        <v>0</v>
      </c>
      <c r="N58" s="3"/>
      <c r="O58" s="54" t="str">
        <f>K58</f>
        <v>Xmas Gift/Leave Pay</v>
      </c>
      <c r="Q58" s="111">
        <f>LoanSchedule!O27</f>
        <v>0</v>
      </c>
    </row>
    <row r="59" spans="1:17" s="81" customFormat="1" x14ac:dyDescent="0.2">
      <c r="A59"/>
      <c r="C59" s="54" t="s">
        <v>64</v>
      </c>
      <c r="D59"/>
      <c r="E59" s="111"/>
      <c r="F59" s="3"/>
      <c r="G59" s="54" t="s">
        <v>64</v>
      </c>
      <c r="I59" s="243"/>
      <c r="K59" s="54" t="s">
        <v>64</v>
      </c>
      <c r="L59"/>
      <c r="M59" s="111"/>
      <c r="N59" s="3"/>
      <c r="O59" s="54" t="s">
        <v>64</v>
      </c>
      <c r="P59"/>
      <c r="Q59" s="111"/>
    </row>
    <row r="60" spans="1:17" x14ac:dyDescent="0.2">
      <c r="C60" s="54" t="str">
        <f>C42</f>
        <v>Loan Instalment</v>
      </c>
      <c r="D60" s="55">
        <f>LoanSchedule!L55</f>
        <v>0</v>
      </c>
      <c r="E60" s="76"/>
      <c r="F60" s="3"/>
      <c r="G60" s="54" t="str">
        <f t="shared" si="4"/>
        <v>Loan Instalment</v>
      </c>
      <c r="H60" s="55">
        <f>LoanSchedule!M55</f>
        <v>0</v>
      </c>
      <c r="I60" s="76"/>
      <c r="K60" s="54" t="str">
        <f>K42</f>
        <v>Loan Instalment</v>
      </c>
      <c r="L60" s="55">
        <f>LoanSchedule!N55</f>
        <v>0</v>
      </c>
      <c r="M60" s="76"/>
      <c r="N60" s="3"/>
      <c r="O60" s="54" t="str">
        <f>K60</f>
        <v>Loan Instalment</v>
      </c>
      <c r="P60" s="55">
        <f>LoanSchedule!O55</f>
        <v>0</v>
      </c>
      <c r="Q60" s="76"/>
    </row>
    <row r="61" spans="1:17" x14ac:dyDescent="0.2">
      <c r="A61" s="81"/>
      <c r="C61" s="54" t="str">
        <f>C43</f>
        <v>Absence Deduction</v>
      </c>
      <c r="D61" s="56">
        <f>ROUNDDOWN(LoanSchedule!L23,1)</f>
        <v>0</v>
      </c>
      <c r="E61" s="76" t="s">
        <v>22</v>
      </c>
      <c r="F61" s="3"/>
      <c r="G61" s="54" t="str">
        <f t="shared" si="4"/>
        <v>Absence Deduction</v>
      </c>
      <c r="H61" s="56">
        <f>ROUNDDOWN(LoanSchedule!M23,1)</f>
        <v>0</v>
      </c>
      <c r="I61" s="76"/>
      <c r="K61" s="54" t="str">
        <f>K43</f>
        <v>Absence Deduction</v>
      </c>
      <c r="L61" s="56">
        <f>ROUNDDOWN(LoanSchedule!N23,1)</f>
        <v>0</v>
      </c>
      <c r="M61" s="76" t="s">
        <v>22</v>
      </c>
      <c r="N61" s="3"/>
      <c r="O61" s="54" t="str">
        <f>K61</f>
        <v>Absence Deduction</v>
      </c>
      <c r="P61" s="56">
        <f>ROUNDDOWN(LoanSchedule!O23,1)</f>
        <v>0</v>
      </c>
      <c r="Q61" s="76"/>
    </row>
    <row r="62" spans="1:17" s="64" customFormat="1" x14ac:dyDescent="0.2">
      <c r="A62"/>
      <c r="C62" s="74" t="str">
        <f>C44</f>
        <v>Total Deductions</v>
      </c>
      <c r="D62" s="66">
        <f>SUM(D57:D61)</f>
        <v>0</v>
      </c>
      <c r="E62" s="78"/>
      <c r="F62" s="65"/>
      <c r="G62" s="74" t="str">
        <f>G44</f>
        <v>Total Deductions</v>
      </c>
      <c r="H62" s="66">
        <f>SUM(H57:H61)</f>
        <v>0</v>
      </c>
      <c r="I62" s="78"/>
      <c r="K62" s="74" t="str">
        <f>K44</f>
        <v>Total Deductions</v>
      </c>
      <c r="L62" s="66">
        <f>SUM(L57:L61)</f>
        <v>0</v>
      </c>
      <c r="M62" s="78"/>
      <c r="N62" s="65"/>
      <c r="O62" s="74" t="str">
        <f>K62</f>
        <v>Total Deductions</v>
      </c>
      <c r="P62" s="66">
        <f>+P60+P61</f>
        <v>0</v>
      </c>
      <c r="Q62" s="78"/>
    </row>
    <row r="63" spans="1:17" x14ac:dyDescent="0.2">
      <c r="C63" s="54" t="str">
        <f>C45</f>
        <v>Loan Balance</v>
      </c>
      <c r="D63" s="57">
        <f>LoanSchedule!L54</f>
        <v>0</v>
      </c>
      <c r="E63" s="76"/>
      <c r="F63" s="3"/>
      <c r="G63" s="54" t="str">
        <f t="shared" si="4"/>
        <v>Loan Balance</v>
      </c>
      <c r="H63" s="57">
        <f>LoanSchedule!M54</f>
        <v>0</v>
      </c>
      <c r="I63" s="76"/>
      <c r="K63" s="54" t="str">
        <f>K45</f>
        <v>Loan Balance</v>
      </c>
      <c r="L63" s="57">
        <f>LoanSchedule!N54</f>
        <v>0</v>
      </c>
      <c r="M63" s="76"/>
      <c r="N63" s="3"/>
      <c r="O63" s="54" t="str">
        <f>K63</f>
        <v>Loan Balance</v>
      </c>
      <c r="P63" s="57">
        <f>LoanSchedule!O54</f>
        <v>0</v>
      </c>
      <c r="Q63" s="76"/>
    </row>
    <row r="64" spans="1:17" x14ac:dyDescent="0.2">
      <c r="A64" s="64"/>
      <c r="C64" s="54"/>
      <c r="D64" s="3"/>
      <c r="E64" s="76"/>
      <c r="F64" s="3"/>
      <c r="G64" s="54"/>
      <c r="H64" s="3"/>
      <c r="I64" s="76"/>
      <c r="K64" s="54"/>
      <c r="L64" s="3"/>
      <c r="M64" s="76"/>
      <c r="N64" s="3"/>
      <c r="O64" s="54"/>
      <c r="P64" s="3"/>
      <c r="Q64" s="76"/>
    </row>
    <row r="65" spans="1:17" x14ac:dyDescent="0.2">
      <c r="C65" s="133" t="s">
        <v>60</v>
      </c>
      <c r="D65" s="134"/>
      <c r="E65" s="135">
        <f>SUM(E55+E56+E58-D62)</f>
        <v>70000</v>
      </c>
      <c r="F65" s="134"/>
      <c r="G65" s="133" t="s">
        <v>60</v>
      </c>
      <c r="H65" s="134"/>
      <c r="I65" s="135">
        <f>SUM(I55+I56+I58-H62)</f>
        <v>70000</v>
      </c>
      <c r="J65" s="138"/>
      <c r="K65" s="133" t="s">
        <v>60</v>
      </c>
      <c r="L65" s="134"/>
      <c r="M65" s="135">
        <f>SUM(M55+M56+M58-L62)</f>
        <v>120000</v>
      </c>
      <c r="N65" s="134"/>
      <c r="O65" s="133" t="s">
        <v>60</v>
      </c>
      <c r="P65" s="134"/>
      <c r="Q65" s="135">
        <f>SUM(Q55+Q56+Q58-P62)</f>
        <v>80000</v>
      </c>
    </row>
    <row r="66" spans="1:17" x14ac:dyDescent="0.2">
      <c r="C66" s="58" t="str">
        <f>C48</f>
        <v>Net Pay mid and end of Month</v>
      </c>
      <c r="D66" s="59"/>
      <c r="E66" s="132">
        <f>E65/2</f>
        <v>35000</v>
      </c>
      <c r="F66" s="3"/>
      <c r="G66" s="58" t="str">
        <f>G48</f>
        <v>Net Pay mid and end of Month</v>
      </c>
      <c r="H66" s="59"/>
      <c r="I66" s="132">
        <f>I65/2</f>
        <v>35000</v>
      </c>
      <c r="K66" s="58" t="str">
        <f>C66</f>
        <v>Net Pay mid and end of Month</v>
      </c>
      <c r="L66" s="244"/>
      <c r="M66" s="132">
        <f>M65/2</f>
        <v>60000</v>
      </c>
      <c r="N66" s="3"/>
      <c r="O66" s="58" t="str">
        <f>G66</f>
        <v>Net Pay mid and end of Month</v>
      </c>
      <c r="P66" s="244"/>
      <c r="Q66" s="132">
        <f>Q65/2</f>
        <v>40000</v>
      </c>
    </row>
    <row r="67" spans="1:17" s="86" customFormat="1" x14ac:dyDescent="0.2">
      <c r="A67"/>
      <c r="C67" s="130"/>
      <c r="D67" s="131"/>
      <c r="E67" s="129"/>
      <c r="F67" s="131"/>
      <c r="G67" s="245"/>
      <c r="H67" s="131"/>
      <c r="I67" s="129"/>
      <c r="K67" s="245"/>
      <c r="L67" s="131"/>
      <c r="M67" s="129"/>
      <c r="N67" s="131"/>
      <c r="O67" s="245"/>
      <c r="P67" s="131"/>
      <c r="Q67" s="129"/>
    </row>
    <row r="68" spans="1:17" x14ac:dyDescent="0.2">
      <c r="C68" s="4"/>
      <c r="D68" s="3"/>
      <c r="E68" s="79"/>
      <c r="F68" s="3"/>
      <c r="G68" s="4"/>
      <c r="H68" s="3"/>
      <c r="I68" s="79"/>
      <c r="K68" s="4"/>
      <c r="L68" s="3"/>
      <c r="M68" s="79"/>
      <c r="N68" s="3"/>
      <c r="O68" s="4"/>
      <c r="P68" s="3"/>
      <c r="Q68" s="79"/>
    </row>
    <row r="69" spans="1:17" ht="15.75" x14ac:dyDescent="0.25">
      <c r="A69" s="86"/>
      <c r="C69" s="667" t="s">
        <v>85</v>
      </c>
      <c r="D69" s="668"/>
      <c r="E69" s="669"/>
      <c r="F69" s="3"/>
      <c r="G69" s="667" t="s">
        <v>85</v>
      </c>
      <c r="H69" s="668"/>
      <c r="I69" s="669"/>
      <c r="J69" s="2"/>
      <c r="K69" s="667" t="s">
        <v>85</v>
      </c>
      <c r="L69" s="668"/>
      <c r="M69" s="669"/>
      <c r="N69" s="3"/>
      <c r="O69" s="667" t="s">
        <v>85</v>
      </c>
      <c r="P69" s="676"/>
      <c r="Q69" s="677"/>
    </row>
    <row r="70" spans="1:17" ht="15" x14ac:dyDescent="0.2">
      <c r="C70" s="74" t="s">
        <v>53</v>
      </c>
      <c r="D70" s="670" t="str">
        <f>CONCATENATE(+Biodata!B37,+" ",+Biodata!C37)</f>
        <v>Madalitso Baluti</v>
      </c>
      <c r="E70" s="675"/>
      <c r="F70" s="3"/>
      <c r="G70" s="74" t="s">
        <v>53</v>
      </c>
      <c r="H70" s="670" t="str">
        <f>CONCATENATE(+Biodata!B43,+" ",+Biodata!C43)</f>
        <v>Peter James</v>
      </c>
      <c r="I70" s="671"/>
      <c r="J70" s="2"/>
      <c r="K70" s="74" t="s">
        <v>53</v>
      </c>
      <c r="L70" s="670" t="str">
        <f>CONCATENATE(+Biodata!B44,+" ",+Biodata!C44)</f>
        <v>Maggie Billy</v>
      </c>
      <c r="M70" s="671"/>
      <c r="N70" s="3"/>
      <c r="O70" s="74" t="s">
        <v>53</v>
      </c>
      <c r="P70" s="670" t="str">
        <f>CONCATENATE(+Biodata!B45,+" ",+Biodata!C45)</f>
        <v xml:space="preserve">vacant  </v>
      </c>
      <c r="Q70" s="675"/>
    </row>
    <row r="71" spans="1:17" x14ac:dyDescent="0.2">
      <c r="C71" s="665" t="s">
        <v>63</v>
      </c>
      <c r="D71" s="681"/>
      <c r="E71" s="75" t="str">
        <f>Biodata!A37</f>
        <v>CITI14</v>
      </c>
      <c r="F71" s="3"/>
      <c r="G71" s="665" t="s">
        <v>63</v>
      </c>
      <c r="H71" s="666"/>
      <c r="I71" s="75" t="str">
        <f>Biodata!A43</f>
        <v>CITI15</v>
      </c>
      <c r="J71" s="2"/>
      <c r="K71" s="54" t="s">
        <v>63</v>
      </c>
      <c r="L71" s="4"/>
      <c r="M71" s="75" t="str">
        <f>Biodata!A44</f>
        <v>CITI16</v>
      </c>
      <c r="N71" s="3"/>
      <c r="O71" s="54" t="s">
        <v>63</v>
      </c>
      <c r="P71" s="4"/>
      <c r="Q71" s="75" t="str">
        <f>Biodata!A45</f>
        <v>CITI17</v>
      </c>
    </row>
    <row r="72" spans="1:17" x14ac:dyDescent="0.2">
      <c r="C72" s="665" t="s">
        <v>54</v>
      </c>
      <c r="D72" s="681"/>
      <c r="E72" s="75" t="str">
        <f>$B$18</f>
        <v>January 2026</v>
      </c>
      <c r="F72" s="3"/>
      <c r="G72" s="665" t="s">
        <v>54</v>
      </c>
      <c r="H72" s="666"/>
      <c r="I72" s="75" t="str">
        <f>$B$18</f>
        <v>January 2026</v>
      </c>
      <c r="J72" s="2"/>
      <c r="K72" s="54" t="s">
        <v>54</v>
      </c>
      <c r="L72" s="4"/>
      <c r="M72" s="75" t="str">
        <f>$B$18</f>
        <v>January 2026</v>
      </c>
      <c r="N72" s="3"/>
      <c r="O72" s="54" t="s">
        <v>54</v>
      </c>
      <c r="P72" s="4"/>
      <c r="Q72" s="75" t="str">
        <f>$B$18</f>
        <v>January 2026</v>
      </c>
    </row>
    <row r="73" spans="1:17" s="33" customFormat="1" x14ac:dyDescent="0.2">
      <c r="A73"/>
      <c r="C73" s="161" t="s">
        <v>61</v>
      </c>
      <c r="D73" s="55"/>
      <c r="E73" s="242">
        <f>LoanSchedule!P14</f>
        <v>90000</v>
      </c>
      <c r="F73" s="55"/>
      <c r="G73" s="161" t="s">
        <v>61</v>
      </c>
      <c r="H73" s="55"/>
      <c r="I73" s="242">
        <f>LoanSchedule!Q14</f>
        <v>60000</v>
      </c>
      <c r="J73" s="55"/>
      <c r="K73" s="161" t="s">
        <v>61</v>
      </c>
      <c r="L73" s="55"/>
      <c r="M73" s="242">
        <f>LoanSchedule!R14</f>
        <v>80000</v>
      </c>
      <c r="N73" s="55"/>
      <c r="O73" s="161" t="s">
        <v>61</v>
      </c>
      <c r="P73" s="55"/>
      <c r="Q73" s="242">
        <f>LoanSchedule!S14</f>
        <v>0</v>
      </c>
    </row>
    <row r="74" spans="1:17" x14ac:dyDescent="0.2">
      <c r="C74" s="54" t="s">
        <v>66</v>
      </c>
      <c r="D74" s="3"/>
      <c r="E74" s="77">
        <f>LoanSchedule!P20</f>
        <v>0</v>
      </c>
      <c r="F74" s="3"/>
      <c r="G74" s="54" t="s">
        <v>66</v>
      </c>
      <c r="H74" s="3"/>
      <c r="I74" s="77">
        <f>LoanSchedule!Q20</f>
        <v>0</v>
      </c>
      <c r="J74" s="2"/>
      <c r="K74" s="54" t="s">
        <v>66</v>
      </c>
      <c r="L74" s="3"/>
      <c r="M74" s="77">
        <f>LoanSchedule!R20</f>
        <v>0</v>
      </c>
      <c r="N74" s="3"/>
      <c r="O74" s="54" t="s">
        <v>66</v>
      </c>
      <c r="P74" s="3"/>
      <c r="Q74" s="77">
        <f>LoanSchedule!S20</f>
        <v>0</v>
      </c>
    </row>
    <row r="75" spans="1:17" x14ac:dyDescent="0.2">
      <c r="A75" s="33"/>
      <c r="C75" s="54" t="s">
        <v>55</v>
      </c>
      <c r="D75" s="247">
        <f>IF(AND(SUM(E73-$H$3)&lt;$I$3,E73&lt;$I$3),0,IF(AND(SUM(E73-$H$3)&lt;$I$4,E73&gt;$I$3),SUM((E73-$H$3)*$J$4),IF(AND(SUM(E73-$H$3)&lt;$I$5,E73&gt;$I$4),SUM($L$4+(E73-$H$3-$H$4)*$J$5),SUM($L$4+$L$5+(E73-$H$3-$H$4-$H$5)*$J$6))))</f>
        <v>0</v>
      </c>
      <c r="E75" s="77"/>
      <c r="F75" s="3"/>
      <c r="G75" s="54" t="str">
        <f>C75</f>
        <v>P.A.Y.E</v>
      </c>
      <c r="H75" s="247">
        <f>IF(AND(SUM(I73-$H$3)&lt;$I$3,I73&lt;$I$3),0,IF(AND(SUM(I73-$H$3)&lt;$I$4,I73&gt;$I$3),SUM((I73-$H$3)*$J$4),IF(AND(SUM(I73-$H$3)&lt;$I$5,I73&gt;$I$4),SUM($L$4+(I73-$H$3-$H$4)*$J$5),SUM($L$4+$L$5+(I73-$H$3-$H$4-$H$5)*$J$6))))</f>
        <v>0</v>
      </c>
      <c r="I75" s="77"/>
      <c r="K75" s="54" t="str">
        <f>K57</f>
        <v>P.A.Y.E</v>
      </c>
      <c r="L75" s="247">
        <f>IF(AND(SUM(M73-$H$3)&lt;$I$3,M73&lt;$I$3),0,IF(AND(SUM(M73-$H$3)&lt;$I$4,M73&gt;$I$3),SUM((M73-$H$3)*$J$4),IF(AND(SUM(M73-$H$3)&lt;$I$5,M73&gt;$I$4),SUM($L$4+(M73-$H$3-$H$4)*$J$5),SUM($L$4+$L$5+(M73-$H$3-$H$4-$H$5)*$J$6))))</f>
        <v>0</v>
      </c>
      <c r="M75" s="77"/>
      <c r="N75" s="3"/>
      <c r="O75" s="54" t="str">
        <f>K75</f>
        <v>P.A.Y.E</v>
      </c>
      <c r="P75" s="247">
        <f>IF(AND(SUM(Q73-$H$3)&lt;$I$3,Q73&lt;$I$3),0,IF(AND(SUM(Q73-$H$3)&lt;$I$4,Q73&gt;$I$3),SUM((Q73-$H$3)*$J$4),IF(AND(SUM(Q73-$H$3)&lt;$I$5,Q73&gt;$I$4),SUM($L$4+(Q73-$H$3-$H$4)*$J$5),SUM($L$4+$L$5+(Q73-$H$3-$H$4-$H$5)*$J$6))))</f>
        <v>0</v>
      </c>
      <c r="Q75" s="77"/>
    </row>
    <row r="76" spans="1:17" x14ac:dyDescent="0.2">
      <c r="C76" s="54" t="str">
        <f>C58</f>
        <v>Xmas Gift/Leave Pay</v>
      </c>
      <c r="E76" s="111">
        <f>LoanSchedule!P27</f>
        <v>0</v>
      </c>
      <c r="F76" s="3"/>
      <c r="G76" s="54" t="str">
        <f t="shared" ref="G76:G81" si="5">C76</f>
        <v>Xmas Gift/Leave Pay</v>
      </c>
      <c r="I76" s="111">
        <f>LoanSchedule!Q27</f>
        <v>0</v>
      </c>
      <c r="J76" s="2"/>
      <c r="K76" s="54" t="str">
        <f>K58</f>
        <v>Xmas Gift/Leave Pay</v>
      </c>
      <c r="M76" s="111">
        <f>LoanSchedule!R27</f>
        <v>0</v>
      </c>
      <c r="N76" s="3"/>
      <c r="O76" s="54" t="str">
        <f t="shared" ref="O76:O81" si="6">K76</f>
        <v>Xmas Gift/Leave Pay</v>
      </c>
      <c r="Q76" s="111">
        <f>LoanSchedule!S27</f>
        <v>0</v>
      </c>
    </row>
    <row r="77" spans="1:17" x14ac:dyDescent="0.2">
      <c r="C77" s="54" t="s">
        <v>64</v>
      </c>
      <c r="E77" s="111"/>
      <c r="F77" s="3"/>
      <c r="G77" s="54" t="s">
        <v>64</v>
      </c>
      <c r="I77" s="111"/>
      <c r="J77" s="2"/>
      <c r="K77" s="54" t="s">
        <v>64</v>
      </c>
      <c r="M77" s="111"/>
      <c r="N77" s="3"/>
      <c r="O77" s="54" t="s">
        <v>64</v>
      </c>
      <c r="Q77" s="111"/>
    </row>
    <row r="78" spans="1:17" s="73" customFormat="1" x14ac:dyDescent="0.2">
      <c r="A78"/>
      <c r="B78" s="73" t="s">
        <v>22</v>
      </c>
      <c r="C78" s="54" t="str">
        <f>C60</f>
        <v>Loan Instalment</v>
      </c>
      <c r="D78" s="55">
        <f>LoanSchedule!P55</f>
        <v>0</v>
      </c>
      <c r="E78" s="246"/>
      <c r="F78" s="247"/>
      <c r="G78" s="54" t="str">
        <f t="shared" si="5"/>
        <v>Loan Instalment</v>
      </c>
      <c r="H78" s="55">
        <f>LoanSchedule!Q55</f>
        <v>0</v>
      </c>
      <c r="I78" s="246"/>
      <c r="J78" s="247"/>
      <c r="K78" s="54" t="str">
        <f>K60</f>
        <v>Loan Instalment</v>
      </c>
      <c r="L78" s="55">
        <f>LoanSchedule!R55</f>
        <v>0</v>
      </c>
      <c r="M78" s="76"/>
      <c r="N78" s="3"/>
      <c r="O78" s="54" t="str">
        <f t="shared" si="6"/>
        <v>Loan Instalment</v>
      </c>
      <c r="P78" s="55">
        <f>LoanSchedule!S55</f>
        <v>0</v>
      </c>
      <c r="Q78" s="76"/>
    </row>
    <row r="79" spans="1:17" x14ac:dyDescent="0.2">
      <c r="B79" t="s">
        <v>22</v>
      </c>
      <c r="C79" s="54" t="str">
        <f>C61</f>
        <v>Absence Deduction</v>
      </c>
      <c r="D79" s="56">
        <f>ROUNDDOWN(LoanSchedule!P23,1)</f>
        <v>0</v>
      </c>
      <c r="E79" s="76"/>
      <c r="F79" s="3"/>
      <c r="G79" s="54" t="str">
        <f t="shared" si="5"/>
        <v>Absence Deduction</v>
      </c>
      <c r="H79" s="56">
        <f>ROUNDDOWN(LoanSchedule!Q23,1)</f>
        <v>0</v>
      </c>
      <c r="I79" s="76"/>
      <c r="J79" s="2"/>
      <c r="K79" s="54" t="str">
        <f>K61</f>
        <v>Absence Deduction</v>
      </c>
      <c r="L79" s="56">
        <f>ROUNDDOWN(LoanSchedule!R23,1)</f>
        <v>0</v>
      </c>
      <c r="M79" s="76"/>
      <c r="N79" s="3"/>
      <c r="O79" s="54" t="str">
        <f t="shared" si="6"/>
        <v>Absence Deduction</v>
      </c>
      <c r="P79" s="56">
        <f>ROUNDDOWN(LoanSchedule!S23,1)</f>
        <v>0</v>
      </c>
      <c r="Q79" s="76"/>
    </row>
    <row r="80" spans="1:17" s="64" customFormat="1" x14ac:dyDescent="0.2">
      <c r="A80" s="73"/>
      <c r="C80" s="74" t="str">
        <f>C62</f>
        <v>Total Deductions</v>
      </c>
      <c r="D80" s="66">
        <f>SUM(D75:D79)</f>
        <v>0</v>
      </c>
      <c r="E80" s="78"/>
      <c r="F80" s="65"/>
      <c r="G80" s="74" t="str">
        <f>G62</f>
        <v>Total Deductions</v>
      </c>
      <c r="H80" s="66">
        <f>SUM(H75:H79)</f>
        <v>0</v>
      </c>
      <c r="I80" s="78"/>
      <c r="J80" s="65"/>
      <c r="K80" s="74" t="str">
        <f>K62</f>
        <v>Total Deductions</v>
      </c>
      <c r="L80" s="66">
        <f>SUM(L75:L79)</f>
        <v>0</v>
      </c>
      <c r="M80" s="78"/>
      <c r="N80" s="65"/>
      <c r="O80" s="74" t="str">
        <f t="shared" si="6"/>
        <v>Total Deductions</v>
      </c>
      <c r="P80" s="66">
        <f>+P78+P79</f>
        <v>0</v>
      </c>
      <c r="Q80" s="78"/>
    </row>
    <row r="81" spans="1:17" x14ac:dyDescent="0.2">
      <c r="C81" s="54" t="str">
        <f>C63</f>
        <v>Loan Balance</v>
      </c>
      <c r="D81" s="57">
        <f>LoanSchedule!P54</f>
        <v>0</v>
      </c>
      <c r="E81" s="76"/>
      <c r="F81" s="3"/>
      <c r="G81" s="54" t="str">
        <f t="shared" si="5"/>
        <v>Loan Balance</v>
      </c>
      <c r="H81" s="57">
        <f>LoanSchedule!Q54</f>
        <v>0</v>
      </c>
      <c r="I81" s="76"/>
      <c r="J81" s="2"/>
      <c r="K81" s="54" t="str">
        <f>K63</f>
        <v>Loan Balance</v>
      </c>
      <c r="L81" s="57">
        <f>LoanSchedule!R54</f>
        <v>0</v>
      </c>
      <c r="M81" s="76"/>
      <c r="N81" s="3"/>
      <c r="O81" s="54" t="str">
        <f t="shared" si="6"/>
        <v>Loan Balance</v>
      </c>
      <c r="P81" s="57">
        <f>LoanSchedule!S54</f>
        <v>0</v>
      </c>
      <c r="Q81" s="76"/>
    </row>
    <row r="82" spans="1:17" x14ac:dyDescent="0.2">
      <c r="A82" s="64"/>
      <c r="C82" s="54"/>
      <c r="D82" s="3"/>
      <c r="E82" s="76"/>
      <c r="F82" s="3"/>
      <c r="G82" s="54"/>
      <c r="H82" s="3"/>
      <c r="I82" s="76"/>
      <c r="J82" s="2"/>
      <c r="K82" s="54"/>
      <c r="L82" s="3"/>
      <c r="M82" s="76"/>
      <c r="N82" s="3"/>
      <c r="O82" s="54"/>
      <c r="P82" s="3"/>
      <c r="Q82" s="76"/>
    </row>
    <row r="83" spans="1:17" x14ac:dyDescent="0.2">
      <c r="C83" s="133" t="s">
        <v>60</v>
      </c>
      <c r="D83" s="134"/>
      <c r="E83" s="135">
        <f>SUM(E73+E74+E76-D80)</f>
        <v>90000</v>
      </c>
      <c r="F83" s="134"/>
      <c r="G83" s="133" t="s">
        <v>60</v>
      </c>
      <c r="H83" s="134"/>
      <c r="I83" s="135">
        <f>SUM(I73+I74+I76-H80)</f>
        <v>60000</v>
      </c>
      <c r="J83" s="138"/>
      <c r="K83" s="133" t="s">
        <v>60</v>
      </c>
      <c r="L83" s="247" t="s">
        <v>22</v>
      </c>
      <c r="M83" s="135">
        <f>SUM(M73+M74+M76-L80)</f>
        <v>80000</v>
      </c>
      <c r="N83" s="134"/>
      <c r="O83" s="133" t="s">
        <v>60</v>
      </c>
      <c r="P83" s="134"/>
      <c r="Q83" s="135">
        <f>SUM(Q73+Q74+Q76-P80)</f>
        <v>0</v>
      </c>
    </row>
    <row r="84" spans="1:17" x14ac:dyDescent="0.2">
      <c r="C84" s="58" t="str">
        <f>C66</f>
        <v>Net Pay mid and end of Month</v>
      </c>
      <c r="D84" s="244"/>
      <c r="E84" s="132">
        <f>E83/2</f>
        <v>45000</v>
      </c>
      <c r="F84" s="65"/>
      <c r="G84" s="58" t="str">
        <f>C84</f>
        <v>Net Pay mid and end of Month</v>
      </c>
      <c r="H84" s="244"/>
      <c r="I84" s="132">
        <f>I83/2</f>
        <v>30000</v>
      </c>
      <c r="J84" s="65"/>
      <c r="K84" s="58" t="str">
        <f>C84</f>
        <v>Net Pay mid and end of Month</v>
      </c>
      <c r="L84" s="244"/>
      <c r="M84" s="132">
        <f>M83/2</f>
        <v>40000</v>
      </c>
      <c r="N84" s="65"/>
      <c r="O84" s="58" t="str">
        <f>C84</f>
        <v>Net Pay mid and end of Month</v>
      </c>
      <c r="P84" s="244"/>
      <c r="Q84" s="132">
        <f>Q83/2</f>
        <v>0</v>
      </c>
    </row>
    <row r="85" spans="1:17" s="86" customFormat="1" x14ac:dyDescent="0.2">
      <c r="A85"/>
      <c r="C85" s="245"/>
      <c r="D85" s="248"/>
      <c r="E85" s="129"/>
      <c r="F85" s="248"/>
      <c r="G85" s="245"/>
      <c r="H85" s="248"/>
      <c r="I85" s="129"/>
      <c r="J85" s="248"/>
      <c r="K85" s="245"/>
      <c r="L85" s="248"/>
      <c r="M85" s="129"/>
      <c r="N85" s="248"/>
      <c r="O85" s="245"/>
      <c r="P85" s="248"/>
      <c r="Q85" s="129"/>
    </row>
    <row r="86" spans="1:17" x14ac:dyDescent="0.2">
      <c r="C86" s="4"/>
      <c r="D86" s="2"/>
      <c r="E86" s="80"/>
      <c r="F86" s="2"/>
      <c r="G86" s="4"/>
      <c r="H86" s="2"/>
      <c r="I86" s="80"/>
      <c r="J86" s="1"/>
      <c r="K86" s="4"/>
      <c r="L86" s="2"/>
      <c r="M86" s="80"/>
      <c r="N86" s="2"/>
      <c r="O86" s="4"/>
      <c r="P86" s="2"/>
      <c r="Q86" s="80"/>
    </row>
    <row r="87" spans="1:17" ht="15.75" x14ac:dyDescent="0.25">
      <c r="A87" s="86"/>
      <c r="C87" s="667" t="s">
        <v>85</v>
      </c>
      <c r="D87" s="668"/>
      <c r="E87" s="669"/>
      <c r="G87" s="667" t="s">
        <v>85</v>
      </c>
      <c r="H87" s="668"/>
      <c r="I87" s="669"/>
      <c r="K87" s="667" t="s">
        <v>85</v>
      </c>
      <c r="L87" s="668"/>
      <c r="M87" s="669"/>
      <c r="O87" s="667" t="s">
        <v>85</v>
      </c>
      <c r="P87" s="676"/>
      <c r="Q87" s="677"/>
    </row>
    <row r="88" spans="1:17" ht="15" x14ac:dyDescent="0.2">
      <c r="C88" s="74" t="s">
        <v>53</v>
      </c>
      <c r="D88" s="670" t="str">
        <f>CONCATENATE(+Biodata!B46,+" ",+Biodata!C46)</f>
        <v>Esnat Adam</v>
      </c>
      <c r="E88" s="671"/>
      <c r="G88" s="74" t="s">
        <v>53</v>
      </c>
      <c r="H88" s="670" t="str">
        <f>CONCATENATE(+Biodata!B53,+" ",+Biodata!C53)</f>
        <v>Martin Kandalama</v>
      </c>
      <c r="I88" s="671"/>
      <c r="K88" s="74" t="s">
        <v>53</v>
      </c>
      <c r="L88" s="670" t="str">
        <f>CONCATENATE(+Biodata!B54,+" ",+Biodata!C54)</f>
        <v>Daniel Mponda</v>
      </c>
      <c r="M88" s="671"/>
      <c r="O88" s="74" t="s">
        <v>53</v>
      </c>
      <c r="P88" s="670" t="str">
        <f>CONCATENATE(+Biodata!B55,+" ",+Biodata!C55)</f>
        <v>Elizabeth Kabudula</v>
      </c>
      <c r="Q88" s="675"/>
    </row>
    <row r="89" spans="1:17" x14ac:dyDescent="0.2">
      <c r="C89" s="665" t="s">
        <v>63</v>
      </c>
      <c r="D89" s="666"/>
      <c r="E89" s="75" t="str">
        <f>Biodata!A46</f>
        <v>CITI18</v>
      </c>
      <c r="G89" s="665" t="s">
        <v>63</v>
      </c>
      <c r="H89" s="666"/>
      <c r="I89" s="75" t="str">
        <f>Biodata!A53</f>
        <v>CITI19</v>
      </c>
      <c r="K89" s="54" t="s">
        <v>63</v>
      </c>
      <c r="L89" s="4"/>
      <c r="M89" s="75" t="str">
        <f>Biodata!A54</f>
        <v>CITI20</v>
      </c>
      <c r="O89" s="54" t="s">
        <v>63</v>
      </c>
      <c r="P89" s="4"/>
      <c r="Q89" s="75" t="str">
        <f>Biodata!A55</f>
        <v>CITI21</v>
      </c>
    </row>
    <row r="90" spans="1:17" x14ac:dyDescent="0.2">
      <c r="C90" s="665" t="s">
        <v>54</v>
      </c>
      <c r="D90" s="666"/>
      <c r="E90" s="75" t="str">
        <f>$B$18</f>
        <v>January 2026</v>
      </c>
      <c r="G90" s="665" t="s">
        <v>54</v>
      </c>
      <c r="H90" s="666"/>
      <c r="I90" s="75" t="str">
        <f>$B$18</f>
        <v>January 2026</v>
      </c>
      <c r="K90" s="54" t="s">
        <v>54</v>
      </c>
      <c r="L90" s="4"/>
      <c r="M90" s="75" t="str">
        <f>$B$18</f>
        <v>January 2026</v>
      </c>
      <c r="N90" s="3"/>
      <c r="O90" s="54" t="s">
        <v>54</v>
      </c>
      <c r="P90" s="4"/>
      <c r="Q90" s="75" t="str">
        <f>$B$18</f>
        <v>January 2026</v>
      </c>
    </row>
    <row r="91" spans="1:17" s="171" customFormat="1" x14ac:dyDescent="0.2">
      <c r="A91"/>
      <c r="C91" s="161" t="s">
        <v>61</v>
      </c>
      <c r="D91" s="162"/>
      <c r="E91" s="242">
        <f>LoanSchedule!T14</f>
        <v>80000</v>
      </c>
      <c r="G91" s="161" t="s">
        <v>61</v>
      </c>
      <c r="H91" s="162"/>
      <c r="I91" s="242">
        <f>LoanSchedule!U14</f>
        <v>70000</v>
      </c>
      <c r="K91" s="161" t="s">
        <v>61</v>
      </c>
      <c r="L91" s="162"/>
      <c r="M91" s="242">
        <f>LoanSchedule!V14</f>
        <v>70000</v>
      </c>
      <c r="O91" s="161" t="s">
        <v>61</v>
      </c>
      <c r="P91" s="162"/>
      <c r="Q91" s="242">
        <f>LoanSchedule!W14</f>
        <v>20000</v>
      </c>
    </row>
    <row r="92" spans="1:17" x14ac:dyDescent="0.2">
      <c r="C92" s="54" t="s">
        <v>66</v>
      </c>
      <c r="D92" s="3"/>
      <c r="E92" s="77">
        <f>LoanSchedule!T20</f>
        <v>0</v>
      </c>
      <c r="G92" s="54" t="s">
        <v>66</v>
      </c>
      <c r="H92" s="3"/>
      <c r="I92" s="77">
        <f>LoanSchedule!U20</f>
        <v>0</v>
      </c>
      <c r="K92" s="54" t="s">
        <v>66</v>
      </c>
      <c r="L92" s="3"/>
      <c r="M92" s="77">
        <f>LoanSchedule!V20</f>
        <v>0</v>
      </c>
      <c r="O92" s="54" t="s">
        <v>66</v>
      </c>
      <c r="P92" s="3"/>
      <c r="Q92" s="77">
        <f>LoanSchedule!W20</f>
        <v>0</v>
      </c>
    </row>
    <row r="93" spans="1:17" x14ac:dyDescent="0.2">
      <c r="A93" s="171"/>
      <c r="C93" s="54" t="s">
        <v>55</v>
      </c>
      <c r="D93" s="247">
        <f>IF(AND(SUM(E91-$H$3)&lt;$I$3,E91&lt;$I$3),0,IF(AND(SUM(E91-$H$3)&lt;$I$4,E91&gt;$I$3),SUM((E91-$H$3)*$J$4),IF(AND(SUM(E91-$H$3)&lt;$I$5,E91&gt;$I$4),SUM($L$4+(E91-$H$3-$H$4)*$J$5),SUM($L$4+$L$5+(E91-$H$3-$H$4-$H$5)*$J$6))))</f>
        <v>0</v>
      </c>
      <c r="E93" s="77"/>
      <c r="F93" s="3"/>
      <c r="G93" s="54" t="str">
        <f>C93</f>
        <v>P.A.Y.E</v>
      </c>
      <c r="H93" s="247">
        <f>IF(AND(SUM(I91-$H$3)&lt;$I$3,I91&lt;$I$3),0,IF(AND(SUM(I91-$H$3)&lt;$I$4,I91&gt;$I$3),SUM((I91-$H$3)*$J$4),IF(AND(SUM(I91-$H$3)&lt;$I$5,I91&gt;$I$4),SUM($L$4+(I91-$H$3-$H$4)*$J$5),SUM($L$4+$L$5+(I91-$H$3-$H$4-$H$5)*$J$6))))</f>
        <v>0</v>
      </c>
      <c r="I93" s="77"/>
      <c r="K93" s="54" t="str">
        <f>K75</f>
        <v>P.A.Y.E</v>
      </c>
      <c r="L93" s="247">
        <f>IF(AND(SUM(M91-$H$3)&lt;$I$3,M91&lt;$I$3),0,IF(AND(SUM(M91-$H$3)&lt;$I$4,M91&gt;$I$3),SUM((M91-$H$3)*$J$4),IF(AND(SUM(M91-$H$3)&lt;$I$5,M91&gt;$I$4),SUM($L$4+(M91-$H$3-$H$4)*$J$5),SUM($L$4+$L$5+(M91-$H$3-$H$4-$H$5)*$J$6))))</f>
        <v>0</v>
      </c>
      <c r="M93" s="77"/>
      <c r="N93" s="3"/>
      <c r="O93" s="54" t="str">
        <f>K93</f>
        <v>P.A.Y.E</v>
      </c>
      <c r="P93" s="247">
        <f>IF(AND(SUM(Q91-$H$3)&lt;$I$3,Q91&lt;$I$3),0,IF(AND(SUM(Q91-$H$3)&lt;$I$4,Q91&gt;$I$3),SUM((Q91-$H$3)*$J$4),IF(AND(SUM(Q91-$H$3)&lt;$I$5,Q91&gt;$I$4),SUM($L$4+(Q91-$H$3-$H$4)*$J$5),SUM($L$4+$L$5+(Q91-$H$3-$H$4-$H$5)*$J$6))))</f>
        <v>0</v>
      </c>
      <c r="Q93" s="77"/>
    </row>
    <row r="94" spans="1:17" x14ac:dyDescent="0.2">
      <c r="C94" s="54" t="str">
        <f>C76</f>
        <v>Xmas Gift/Leave Pay</v>
      </c>
      <c r="E94" s="111">
        <f>LoanSchedule!T27</f>
        <v>0</v>
      </c>
      <c r="G94" s="54" t="str">
        <f t="shared" ref="G94:G99" si="7">C94</f>
        <v>Xmas Gift/Leave Pay</v>
      </c>
      <c r="I94" s="111">
        <f>LoanSchedule!U27</f>
        <v>0</v>
      </c>
      <c r="K94" s="54" t="str">
        <f>K76</f>
        <v>Xmas Gift/Leave Pay</v>
      </c>
      <c r="M94" s="111">
        <f>LoanSchedule!V27</f>
        <v>0</v>
      </c>
      <c r="O94" s="54" t="str">
        <f t="shared" ref="O94:O99" si="8">K94</f>
        <v>Xmas Gift/Leave Pay</v>
      </c>
      <c r="Q94" s="111">
        <f>LoanSchedule!W27</f>
        <v>0</v>
      </c>
    </row>
    <row r="95" spans="1:17" x14ac:dyDescent="0.2">
      <c r="C95" s="54" t="s">
        <v>64</v>
      </c>
      <c r="E95" s="111"/>
      <c r="F95" s="3"/>
      <c r="G95" s="54" t="s">
        <v>64</v>
      </c>
      <c r="I95" s="111"/>
      <c r="K95" s="54" t="s">
        <v>64</v>
      </c>
      <c r="M95" s="111"/>
      <c r="N95" s="3"/>
      <c r="O95" s="54" t="s">
        <v>64</v>
      </c>
      <c r="Q95" s="111"/>
    </row>
    <row r="96" spans="1:17" x14ac:dyDescent="0.2">
      <c r="C96" s="54" t="str">
        <f>C78</f>
        <v>Loan Instalment</v>
      </c>
      <c r="D96" s="55">
        <f>LoanSchedule!T55</f>
        <v>0</v>
      </c>
      <c r="E96" s="76"/>
      <c r="G96" s="54" t="str">
        <f t="shared" si="7"/>
        <v>Loan Instalment</v>
      </c>
      <c r="H96" s="55">
        <f>LoanSchedule!U55</f>
        <v>0</v>
      </c>
      <c r="I96" s="76"/>
      <c r="K96" s="54" t="str">
        <f>K78</f>
        <v>Loan Instalment</v>
      </c>
      <c r="L96" s="55">
        <f>LoanSchedule!V55</f>
        <v>0</v>
      </c>
      <c r="M96" s="76"/>
      <c r="O96" s="54" t="str">
        <f t="shared" si="8"/>
        <v>Loan Instalment</v>
      </c>
      <c r="P96" s="55">
        <f>LoanSchedule!W55</f>
        <v>0</v>
      </c>
      <c r="Q96" s="76"/>
    </row>
    <row r="97" spans="1:17" x14ac:dyDescent="0.2">
      <c r="C97" s="54" t="str">
        <f>C79</f>
        <v>Absence Deduction</v>
      </c>
      <c r="D97" s="56">
        <f>ROUNDDOWN(LoanSchedule!T23,1)</f>
        <v>0</v>
      </c>
      <c r="E97" s="76"/>
      <c r="G97" s="54" t="str">
        <f t="shared" si="7"/>
        <v>Absence Deduction</v>
      </c>
      <c r="H97" s="56">
        <f>ROUNDDOWN(LoanSchedule!U23,1)</f>
        <v>0</v>
      </c>
      <c r="I97" s="76"/>
      <c r="K97" s="54" t="str">
        <f>K79</f>
        <v>Absence Deduction</v>
      </c>
      <c r="L97" s="56">
        <f>ROUNDDOWN(LoanSchedule!V23,1)</f>
        <v>0</v>
      </c>
      <c r="M97" s="76"/>
      <c r="O97" s="54" t="str">
        <f t="shared" si="8"/>
        <v>Absence Deduction</v>
      </c>
      <c r="P97" s="56">
        <f>ROUNDDOWN(LoanSchedule!W23,1)</f>
        <v>0</v>
      </c>
      <c r="Q97" s="76"/>
    </row>
    <row r="98" spans="1:17" s="64" customFormat="1" x14ac:dyDescent="0.2">
      <c r="A98"/>
      <c r="C98" s="74" t="str">
        <f>C80</f>
        <v>Total Deductions</v>
      </c>
      <c r="D98" s="66">
        <f>SUM(D93:D97)</f>
        <v>0</v>
      </c>
      <c r="E98" s="78"/>
      <c r="G98" s="74" t="str">
        <f>G80</f>
        <v>Total Deductions</v>
      </c>
      <c r="H98" s="66">
        <f>SUM(H93:H97)</f>
        <v>0</v>
      </c>
      <c r="I98" s="78"/>
      <c r="K98" s="74" t="str">
        <f>K80</f>
        <v>Total Deductions</v>
      </c>
      <c r="L98" s="66">
        <f>SUM(L93:L97)</f>
        <v>0</v>
      </c>
      <c r="M98" s="78"/>
      <c r="N98" s="65"/>
      <c r="O98" s="74" t="str">
        <f t="shared" si="8"/>
        <v>Total Deductions</v>
      </c>
      <c r="P98" s="66">
        <f>+P96+P97</f>
        <v>0</v>
      </c>
      <c r="Q98" s="78"/>
    </row>
    <row r="99" spans="1:17" x14ac:dyDescent="0.2">
      <c r="C99" s="54" t="str">
        <f>C81</f>
        <v>Loan Balance</v>
      </c>
      <c r="D99" s="57">
        <f>LoanSchedule!T54</f>
        <v>0</v>
      </c>
      <c r="E99" s="76"/>
      <c r="G99" s="54" t="str">
        <f t="shared" si="7"/>
        <v>Loan Balance</v>
      </c>
      <c r="H99" s="57">
        <f>LoanSchedule!U54</f>
        <v>0</v>
      </c>
      <c r="I99" s="76"/>
      <c r="K99" s="54" t="str">
        <f>K81</f>
        <v>Loan Balance</v>
      </c>
      <c r="L99" s="57">
        <f>LoanSchedule!V54</f>
        <v>0</v>
      </c>
      <c r="M99" s="76"/>
      <c r="O99" s="54" t="str">
        <f t="shared" si="8"/>
        <v>Loan Balance</v>
      </c>
      <c r="P99" s="57">
        <f>LoanSchedule!W54</f>
        <v>0</v>
      </c>
      <c r="Q99" s="76"/>
    </row>
    <row r="100" spans="1:17" x14ac:dyDescent="0.2">
      <c r="A100" s="64"/>
      <c r="C100" s="54"/>
      <c r="D100" s="3"/>
      <c r="E100" s="76"/>
      <c r="G100" s="54"/>
      <c r="H100" s="3"/>
      <c r="I100" s="76"/>
      <c r="K100" s="54"/>
      <c r="L100" s="57"/>
      <c r="M100" s="76"/>
      <c r="O100" s="54"/>
      <c r="P100" s="57"/>
      <c r="Q100" s="76"/>
    </row>
    <row r="101" spans="1:17" x14ac:dyDescent="0.2">
      <c r="C101" s="133" t="s">
        <v>60</v>
      </c>
      <c r="D101" s="134"/>
      <c r="E101" s="135">
        <f>SUM(E91+E92+E94-D98)</f>
        <v>80000</v>
      </c>
      <c r="F101" s="134"/>
      <c r="G101" s="133" t="s">
        <v>60</v>
      </c>
      <c r="H101" s="134"/>
      <c r="I101" s="135">
        <f>SUM(I91+I92+I94-H98)</f>
        <v>70000</v>
      </c>
      <c r="J101" s="138"/>
      <c r="K101" s="133" t="s">
        <v>60</v>
      </c>
      <c r="L101" s="134"/>
      <c r="M101" s="135">
        <f>SUM(M91+M92+M94-L98)</f>
        <v>70000</v>
      </c>
      <c r="N101" s="134"/>
      <c r="O101" s="133" t="s">
        <v>60</v>
      </c>
      <c r="P101" s="134"/>
      <c r="Q101" s="135">
        <f>SUM(Q91+Q92+Q94-P98)</f>
        <v>20000</v>
      </c>
    </row>
    <row r="102" spans="1:17" x14ac:dyDescent="0.2">
      <c r="C102" s="140" t="str">
        <f>C84</f>
        <v>Net Pay mid and end of Month</v>
      </c>
      <c r="D102" s="141"/>
      <c r="E102" s="142">
        <f>E101/2</f>
        <v>40000</v>
      </c>
      <c r="F102" s="139"/>
      <c r="G102" s="140" t="str">
        <f>C102</f>
        <v>Net Pay mid and end of Month</v>
      </c>
      <c r="H102" s="141"/>
      <c r="I102" s="142">
        <f>I101/2</f>
        <v>35000</v>
      </c>
      <c r="J102" s="139"/>
      <c r="K102" s="140" t="str">
        <f>C102</f>
        <v>Net Pay mid and end of Month</v>
      </c>
      <c r="L102" s="141"/>
      <c r="M102" s="142">
        <f>M101/2</f>
        <v>35000</v>
      </c>
      <c r="N102" s="139"/>
      <c r="O102" s="140" t="str">
        <f>C102</f>
        <v>Net Pay mid and end of Month</v>
      </c>
      <c r="P102" s="141"/>
      <c r="Q102" s="142">
        <f>Q101/2</f>
        <v>10000</v>
      </c>
    </row>
    <row r="103" spans="1:17" s="86" customFormat="1" x14ac:dyDescent="0.2">
      <c r="A103"/>
      <c r="C103" s="128"/>
      <c r="E103" s="129"/>
      <c r="G103" s="128"/>
      <c r="I103" s="129"/>
      <c r="K103" s="128"/>
      <c r="M103" s="129"/>
      <c r="O103" s="128"/>
      <c r="Q103" s="129"/>
    </row>
    <row r="104" spans="1:17" x14ac:dyDescent="0.2">
      <c r="C104" s="4"/>
      <c r="D104" s="2"/>
      <c r="E104" s="80"/>
      <c r="F104" s="2"/>
      <c r="G104" s="4"/>
      <c r="H104" s="2"/>
      <c r="I104" s="80"/>
      <c r="J104" s="1"/>
      <c r="K104" s="4"/>
      <c r="L104" s="2"/>
      <c r="M104" s="80"/>
      <c r="N104" s="2"/>
      <c r="O104" s="4"/>
      <c r="P104" s="2"/>
      <c r="Q104" s="80"/>
    </row>
    <row r="105" spans="1:17" ht="15.75" x14ac:dyDescent="0.25">
      <c r="A105" s="86"/>
      <c r="C105" s="667" t="s">
        <v>85</v>
      </c>
      <c r="D105" s="668"/>
      <c r="E105" s="669"/>
      <c r="G105" s="667" t="s">
        <v>85</v>
      </c>
      <c r="H105" s="668"/>
      <c r="I105" s="669"/>
      <c r="K105" s="667" t="s">
        <v>85</v>
      </c>
      <c r="L105" s="668"/>
      <c r="M105" s="669"/>
      <c r="O105" s="667" t="s">
        <v>85</v>
      </c>
      <c r="P105" s="676"/>
      <c r="Q105" s="677"/>
    </row>
    <row r="106" spans="1:17" ht="15" x14ac:dyDescent="0.2">
      <c r="C106" s="74" t="s">
        <v>53</v>
      </c>
      <c r="D106" s="670" t="str">
        <f>CONCATENATE(+Biodata!B56,+" ",+Biodata!C56)</f>
        <v xml:space="preserve">vacant  </v>
      </c>
      <c r="E106" s="671"/>
      <c r="G106" s="74" t="s">
        <v>53</v>
      </c>
      <c r="H106" s="670" t="str">
        <f>CONCATENATE(+Biodata!B62,+" ",+Biodata!C62)</f>
        <v>William Mahinya</v>
      </c>
      <c r="I106" s="671"/>
      <c r="K106" s="74" t="s">
        <v>53</v>
      </c>
      <c r="L106" s="670" t="str">
        <f>CONCATENATE(+Biodata!B63,+" ",+Biodata!C63)</f>
        <v xml:space="preserve">vacant  </v>
      </c>
      <c r="M106" s="671"/>
      <c r="O106" s="74" t="s">
        <v>53</v>
      </c>
      <c r="P106" s="670" t="str">
        <f>CONCATENATE(+Biodata!B64,+" ",+Biodata!C64)</f>
        <v xml:space="preserve">  </v>
      </c>
      <c r="Q106" s="675"/>
    </row>
    <row r="107" spans="1:17" x14ac:dyDescent="0.2">
      <c r="C107" s="665" t="s">
        <v>63</v>
      </c>
      <c r="D107" s="666"/>
      <c r="E107" s="75" t="str">
        <f>Biodata!A56</f>
        <v>CITI22</v>
      </c>
      <c r="G107" s="665" t="s">
        <v>63</v>
      </c>
      <c r="H107" s="666"/>
      <c r="I107" s="75" t="str">
        <f>Biodata!A62</f>
        <v>CITI23</v>
      </c>
      <c r="K107" s="54" t="s">
        <v>63</v>
      </c>
      <c r="L107" s="4"/>
      <c r="M107" s="75" t="str">
        <f>Biodata!A63</f>
        <v>CITI24</v>
      </c>
      <c r="O107" s="54" t="s">
        <v>63</v>
      </c>
      <c r="P107" s="4"/>
      <c r="Q107" s="75" t="str">
        <f>Biodata!A64</f>
        <v>CITI25</v>
      </c>
    </row>
    <row r="108" spans="1:17" x14ac:dyDescent="0.2">
      <c r="C108" s="665" t="s">
        <v>54</v>
      </c>
      <c r="D108" s="666"/>
      <c r="E108" s="75" t="str">
        <f>$B$18</f>
        <v>January 2026</v>
      </c>
      <c r="G108" s="665" t="s">
        <v>54</v>
      </c>
      <c r="H108" s="666"/>
      <c r="I108" s="75" t="str">
        <f>$B$18</f>
        <v>January 2026</v>
      </c>
      <c r="K108" s="54" t="s">
        <v>54</v>
      </c>
      <c r="L108" s="4"/>
      <c r="M108" s="75" t="str">
        <f>$B$18</f>
        <v>January 2026</v>
      </c>
      <c r="N108" s="3"/>
      <c r="O108" s="54" t="s">
        <v>54</v>
      </c>
      <c r="P108" s="4"/>
      <c r="Q108" s="75" t="str">
        <f>$B$18</f>
        <v>January 2026</v>
      </c>
    </row>
    <row r="109" spans="1:17" s="33" customFormat="1" x14ac:dyDescent="0.2">
      <c r="A109"/>
      <c r="C109" s="161" t="s">
        <v>61</v>
      </c>
      <c r="D109" s="55"/>
      <c r="E109" s="242">
        <f>LoanSchedule!X14</f>
        <v>0</v>
      </c>
      <c r="G109" s="161" t="s">
        <v>61</v>
      </c>
      <c r="H109" s="55"/>
      <c r="I109" s="242">
        <f>LoanSchedule!Y14</f>
        <v>150000</v>
      </c>
      <c r="K109" s="161" t="s">
        <v>61</v>
      </c>
      <c r="L109" s="55"/>
      <c r="M109" s="242">
        <f>LoanSchedule!Z14</f>
        <v>0</v>
      </c>
      <c r="O109" s="161" t="s">
        <v>61</v>
      </c>
      <c r="P109" s="55"/>
      <c r="Q109" s="242">
        <f>LoanSchedule!AA14</f>
        <v>0</v>
      </c>
    </row>
    <row r="110" spans="1:17" x14ac:dyDescent="0.2">
      <c r="C110" s="54" t="s">
        <v>66</v>
      </c>
      <c r="D110" s="3"/>
      <c r="E110" s="77">
        <f>LoanSchedule!X20</f>
        <v>0</v>
      </c>
      <c r="G110" s="54" t="s">
        <v>66</v>
      </c>
      <c r="H110" s="3"/>
      <c r="I110" s="77">
        <f>LoanSchedule!Y20</f>
        <v>0</v>
      </c>
      <c r="K110" s="54" t="s">
        <v>66</v>
      </c>
      <c r="L110" s="584" t="s">
        <v>22</v>
      </c>
      <c r="M110" s="410"/>
      <c r="O110" s="54" t="s">
        <v>66</v>
      </c>
      <c r="P110" s="3"/>
      <c r="Q110" s="77">
        <f>LoanSchedule!AA20</f>
        <v>0</v>
      </c>
    </row>
    <row r="111" spans="1:17" x14ac:dyDescent="0.2">
      <c r="A111" s="33"/>
      <c r="C111" s="54" t="s">
        <v>55</v>
      </c>
      <c r="D111" s="247">
        <f>IF(AND(SUM(E109-$H$3)&lt;$I$3,E109&lt;$I$3),0,IF(AND(SUM(E109-$H$3)&lt;$I$4,E109&gt;$I$3),SUM((E109-$H$3)*$J$4),IF(AND(SUM(E109-$H$3)&lt;$I$5,E109&gt;$I$4),SUM($L$4+(E109-$H$3-$H$4)*$J$5),SUM($L$4+$L$5+(E109-$H$3-$H$4-$H$5)*$J$6))))</f>
        <v>0</v>
      </c>
      <c r="E111" s="77"/>
      <c r="F111" s="3"/>
      <c r="G111" s="54" t="str">
        <f>C111</f>
        <v>P.A.Y.E</v>
      </c>
      <c r="H111" s="247">
        <f>IF(AND(SUM(I109-$H$3)&lt;$I$3,I109&lt;$I$3),0,IF(AND(SUM(I109-$H$3)&lt;$I$4,I109&gt;$I$3),SUM((I109-$H$3)*$J$4),IF(AND(SUM(I109-$H$3)&lt;$I$5,I109&gt;$I$4),SUM($L$4+(I109-$H$3-$H$4)*$J$5),SUM($L$4+$L$5+(I109-$H$3-$H$4-$H$5)*$J$6))))</f>
        <v>0</v>
      </c>
      <c r="I111" s="77"/>
      <c r="K111" s="54" t="str">
        <f>G111</f>
        <v>P.A.Y.E</v>
      </c>
      <c r="L111" s="247">
        <f>IF(AND(SUM(M109-$H$3)&lt;$I$3,M109&lt;$I$3),0,IF(AND(SUM(M109-$H$3)&lt;$I$4,M109&gt;$I$3),SUM((M109-$H$3)*$J$4),IF(AND(SUM(M109-$H$3)&lt;$I$5,M109&gt;$I$4),SUM($L$4+(M109-$H$3-$H$4)*$J$5),SUM($L$4+$L$5+(M109-$H$3-$H$4-$H$5)*$J$6))))</f>
        <v>0</v>
      </c>
      <c r="M111" s="77"/>
      <c r="N111" s="3"/>
      <c r="O111" s="54" t="str">
        <f>K111</f>
        <v>P.A.Y.E</v>
      </c>
      <c r="P111" s="247">
        <f>IF(AND(SUM(Q109-$H$3)&lt;$I$3,Q109&lt;$I$3),0,IF(AND(SUM(Q109-$H$3)&lt;$I$4,Q109&gt;$I$3),SUM((Q109-$H$3)*$J$4),IF(AND(SUM(Q109-$H$3)&lt;$I$5,Q109&gt;$I$4),SUM($L$4+(Q109-$H$3-$H$4)*$J$5),SUM($L$4+$L$5+(Q109-$H$3-$H$4-$H$5)*$J$6))))</f>
        <v>0</v>
      </c>
      <c r="Q111" s="77"/>
    </row>
    <row r="112" spans="1:17" x14ac:dyDescent="0.2">
      <c r="C112" s="54" t="str">
        <f>C94</f>
        <v>Xmas Gift/Leave Pay</v>
      </c>
      <c r="E112" s="111">
        <f>LoanSchedule!X27</f>
        <v>0</v>
      </c>
      <c r="G112" s="54" t="str">
        <f>C112</f>
        <v>Xmas Gift/Leave Pay</v>
      </c>
      <c r="I112" s="111">
        <f>LoanSchedule!Y27</f>
        <v>0</v>
      </c>
      <c r="K112" s="54" t="str">
        <f>K94</f>
        <v>Xmas Gift/Leave Pay</v>
      </c>
      <c r="M112" s="111">
        <f>LoanSchedule!Z27</f>
        <v>0</v>
      </c>
      <c r="O112" s="54" t="str">
        <f>K112</f>
        <v>Xmas Gift/Leave Pay</v>
      </c>
      <c r="Q112" s="111">
        <f>LoanSchedule!AA27</f>
        <v>0</v>
      </c>
    </row>
    <row r="113" spans="1:17" x14ac:dyDescent="0.2">
      <c r="C113" s="54" t="s">
        <v>64</v>
      </c>
      <c r="E113" s="111"/>
      <c r="F113" s="3"/>
      <c r="G113" s="54" t="s">
        <v>64</v>
      </c>
      <c r="I113" s="111"/>
      <c r="K113" s="54" t="s">
        <v>64</v>
      </c>
      <c r="M113" s="111"/>
      <c r="N113" s="3"/>
      <c r="O113" s="54" t="s">
        <v>64</v>
      </c>
      <c r="Q113" s="111"/>
    </row>
    <row r="114" spans="1:17" x14ac:dyDescent="0.2">
      <c r="C114" s="54" t="str">
        <f>C96</f>
        <v>Loan Instalment</v>
      </c>
      <c r="D114" s="55">
        <f>LoanSchedule!X55</f>
        <v>0</v>
      </c>
      <c r="E114" s="76"/>
      <c r="G114" s="54" t="str">
        <f>C114</f>
        <v>Loan Instalment</v>
      </c>
      <c r="H114" s="55">
        <f>LoanSchedule!Y55</f>
        <v>0</v>
      </c>
      <c r="I114" s="76"/>
      <c r="K114" s="54" t="str">
        <f>K96</f>
        <v>Loan Instalment</v>
      </c>
      <c r="L114" s="55">
        <f>LoanSchedule!Z55</f>
        <v>0</v>
      </c>
      <c r="M114" s="76"/>
      <c r="O114" s="54" t="str">
        <f>K114</f>
        <v>Loan Instalment</v>
      </c>
      <c r="P114" s="55">
        <f>LoanSchedule!AA55</f>
        <v>0</v>
      </c>
      <c r="Q114" s="76"/>
    </row>
    <row r="115" spans="1:17" x14ac:dyDescent="0.2">
      <c r="C115" s="54" t="str">
        <f>C97</f>
        <v>Absence Deduction</v>
      </c>
      <c r="D115" s="56">
        <f>ROUNDDOWN(LoanSchedule!X23,1)</f>
        <v>0</v>
      </c>
      <c r="E115" s="76"/>
      <c r="G115" s="54" t="str">
        <f>C115</f>
        <v>Absence Deduction</v>
      </c>
      <c r="H115" s="56">
        <f>ROUNDDOWN(LoanSchedule!Y23,1)</f>
        <v>0</v>
      </c>
      <c r="I115" s="76"/>
      <c r="K115" s="54" t="str">
        <f>K97</f>
        <v>Absence Deduction</v>
      </c>
      <c r="L115" s="56">
        <f>ROUNDDOWN(LoanSchedule!Z23,1)</f>
        <v>0</v>
      </c>
      <c r="M115" s="76"/>
      <c r="O115" s="54" t="str">
        <f>K115</f>
        <v>Absence Deduction</v>
      </c>
      <c r="P115" s="56">
        <f>ROUNDDOWN(LoanSchedule!AA23,1)</f>
        <v>0</v>
      </c>
      <c r="Q115" s="76"/>
    </row>
    <row r="116" spans="1:17" s="64" customFormat="1" x14ac:dyDescent="0.2">
      <c r="A116"/>
      <c r="C116" s="74" t="str">
        <f>C98</f>
        <v>Total Deductions</v>
      </c>
      <c r="D116" s="66">
        <f>SUM(D111:D115)</f>
        <v>0</v>
      </c>
      <c r="E116" s="78"/>
      <c r="G116" s="74" t="str">
        <f>G98</f>
        <v>Total Deductions</v>
      </c>
      <c r="H116" s="66">
        <f>SUM(H111:H115)</f>
        <v>0</v>
      </c>
      <c r="I116" s="78"/>
      <c r="K116" s="74" t="str">
        <f>K98</f>
        <v>Total Deductions</v>
      </c>
      <c r="L116" s="577">
        <f>SUM(L111:L115)</f>
        <v>0</v>
      </c>
      <c r="M116" s="78"/>
      <c r="N116" s="65"/>
      <c r="O116" s="74" t="str">
        <f>K116</f>
        <v>Total Deductions</v>
      </c>
      <c r="P116" s="66">
        <f>+P114+P115</f>
        <v>0</v>
      </c>
      <c r="Q116" s="78"/>
    </row>
    <row r="117" spans="1:17" x14ac:dyDescent="0.2">
      <c r="C117" s="54" t="str">
        <f>C99</f>
        <v>Loan Balance</v>
      </c>
      <c r="D117" s="57">
        <f>LoanSchedule!X54</f>
        <v>0</v>
      </c>
      <c r="E117" s="76"/>
      <c r="G117" s="54" t="str">
        <f>C117</f>
        <v>Loan Balance</v>
      </c>
      <c r="H117" s="57">
        <f>LoanSchedule!Y54</f>
        <v>0</v>
      </c>
      <c r="I117" s="76"/>
      <c r="K117" s="54" t="str">
        <f>K99</f>
        <v>Loan Balance</v>
      </c>
      <c r="L117" s="57">
        <f>LoanSchedule!Z54</f>
        <v>0</v>
      </c>
      <c r="M117" s="76"/>
      <c r="O117" s="54" t="str">
        <f>K117</f>
        <v>Loan Balance</v>
      </c>
      <c r="P117" s="57">
        <f>LoanSchedule!AA54</f>
        <v>0</v>
      </c>
      <c r="Q117" s="76"/>
    </row>
    <row r="118" spans="1:17" x14ac:dyDescent="0.2">
      <c r="A118" s="64"/>
      <c r="C118" s="54"/>
      <c r="D118" s="3"/>
      <c r="E118" s="76"/>
      <c r="G118" s="54"/>
      <c r="H118" s="3"/>
      <c r="I118" s="76"/>
      <c r="K118" s="54"/>
      <c r="L118" s="57"/>
      <c r="M118" s="76"/>
      <c r="O118" s="54"/>
      <c r="P118" s="57"/>
      <c r="Q118" s="76"/>
    </row>
    <row r="119" spans="1:17" x14ac:dyDescent="0.2">
      <c r="C119" s="133" t="s">
        <v>60</v>
      </c>
      <c r="D119" s="134"/>
      <c r="E119" s="135">
        <f>SUM(E109+E110+E112-D116)</f>
        <v>0</v>
      </c>
      <c r="F119" s="134"/>
      <c r="G119" s="133" t="s">
        <v>60</v>
      </c>
      <c r="H119" s="134"/>
      <c r="I119" s="135">
        <f>SUM(I109+I110+I112-H116)</f>
        <v>150000</v>
      </c>
      <c r="J119" s="138"/>
      <c r="K119" s="133" t="s">
        <v>60</v>
      </c>
      <c r="L119" s="134"/>
      <c r="M119" s="585">
        <f>SUM(M109+M110+M112-L116)</f>
        <v>0</v>
      </c>
      <c r="N119" s="134"/>
      <c r="O119" s="133" t="s">
        <v>60</v>
      </c>
      <c r="P119" s="134"/>
      <c r="Q119" s="135">
        <f>SUM(Q109+Q110+Q112-P116)</f>
        <v>0</v>
      </c>
    </row>
    <row r="120" spans="1:17" x14ac:dyDescent="0.2">
      <c r="C120" s="140" t="str">
        <f>C102</f>
        <v>Net Pay mid and end of Month</v>
      </c>
      <c r="D120" s="141"/>
      <c r="E120" s="142">
        <f>E119/2</f>
        <v>0</v>
      </c>
      <c r="F120" s="139"/>
      <c r="G120" s="140" t="str">
        <f>C120</f>
        <v>Net Pay mid and end of Month</v>
      </c>
      <c r="H120" s="141"/>
      <c r="I120" s="142">
        <f>I119/2</f>
        <v>75000</v>
      </c>
      <c r="J120" s="139"/>
      <c r="K120" s="140" t="str">
        <f>C120</f>
        <v>Net Pay mid and end of Month</v>
      </c>
      <c r="L120" s="141"/>
      <c r="M120" s="586">
        <f>M119/2</f>
        <v>0</v>
      </c>
      <c r="N120" s="139"/>
      <c r="O120" s="140" t="str">
        <f>C120</f>
        <v>Net Pay mid and end of Month</v>
      </c>
      <c r="P120" s="141"/>
      <c r="Q120" s="142">
        <f>Q119/2</f>
        <v>0</v>
      </c>
    </row>
    <row r="121" spans="1:17" s="86" customFormat="1" x14ac:dyDescent="0.2">
      <c r="A121"/>
      <c r="C121" s="128"/>
      <c r="E121" s="129"/>
      <c r="G121" s="128"/>
      <c r="I121" s="129"/>
      <c r="K121" s="128"/>
      <c r="M121" s="129"/>
      <c r="O121" s="128"/>
      <c r="Q121" s="129"/>
    </row>
    <row r="122" spans="1:17" s="86" customFormat="1" ht="15.75" x14ac:dyDescent="0.25">
      <c r="A122"/>
      <c r="C122" s="667" t="s">
        <v>85</v>
      </c>
      <c r="D122" s="668"/>
      <c r="E122" s="669"/>
      <c r="G122" s="667" t="s">
        <v>85</v>
      </c>
      <c r="H122" s="668"/>
      <c r="I122" s="669"/>
      <c r="K122" s="667" t="s">
        <v>85</v>
      </c>
      <c r="L122" s="668"/>
      <c r="M122" s="669"/>
      <c r="O122" s="667" t="s">
        <v>85</v>
      </c>
      <c r="P122" s="668"/>
      <c r="Q122" s="669"/>
    </row>
    <row r="123" spans="1:17" s="86" customFormat="1" ht="15" x14ac:dyDescent="0.2">
      <c r="C123" s="74" t="s">
        <v>53</v>
      </c>
      <c r="D123" s="670" t="str">
        <f>CONCATENATE(+Biodata!B65,+" ",+Biodata!C65)</f>
        <v xml:space="preserve">vacant  </v>
      </c>
      <c r="E123" s="671"/>
      <c r="G123" s="74" t="s">
        <v>53</v>
      </c>
      <c r="H123" s="670" t="str">
        <f>CONCATENATE(+Biodata!B66,+" ",+Biodata!C66)</f>
        <v>Yankho Gulani</v>
      </c>
      <c r="I123" s="671"/>
      <c r="K123" s="74" t="s">
        <v>53</v>
      </c>
      <c r="L123" s="670" t="str">
        <f>CONCATENATE(+Biodata!B73,+" ",+Biodata!C73)</f>
        <v>Agness  Mponda</v>
      </c>
      <c r="M123" s="671"/>
      <c r="O123" s="74" t="s">
        <v>53</v>
      </c>
      <c r="P123" s="670" t="str">
        <f>CONCATENATE(+Biodata!B74,+" ",+Biodata!C74)</f>
        <v>Elizabeth Chinkono</v>
      </c>
      <c r="Q123" s="671"/>
    </row>
    <row r="124" spans="1:17" s="86" customFormat="1" x14ac:dyDescent="0.2">
      <c r="C124" s="665" t="s">
        <v>63</v>
      </c>
      <c r="D124" s="666"/>
      <c r="E124" s="75" t="str">
        <f>Biodata!A65</f>
        <v>CITI26</v>
      </c>
      <c r="G124" s="665" t="s">
        <v>63</v>
      </c>
      <c r="H124" s="666"/>
      <c r="I124" s="75" t="str">
        <f>Biodata!A66</f>
        <v>CITI27</v>
      </c>
      <c r="K124" s="665" t="s">
        <v>63</v>
      </c>
      <c r="L124" s="666"/>
      <c r="M124" s="75" t="str">
        <f>Biodata!A73</f>
        <v>CITI28</v>
      </c>
      <c r="O124" s="665" t="s">
        <v>63</v>
      </c>
      <c r="P124" s="666"/>
      <c r="Q124" s="75" t="str">
        <f>Biodata!A74</f>
        <v>CITI29</v>
      </c>
    </row>
    <row r="125" spans="1:17" s="86" customFormat="1" x14ac:dyDescent="0.2">
      <c r="C125" s="665" t="s">
        <v>54</v>
      </c>
      <c r="D125" s="666"/>
      <c r="E125" s="75" t="str">
        <f>$B$18</f>
        <v>January 2026</v>
      </c>
      <c r="G125" s="665" t="s">
        <v>54</v>
      </c>
      <c r="H125" s="666"/>
      <c r="I125" s="75" t="str">
        <f>$B$18</f>
        <v>January 2026</v>
      </c>
      <c r="K125" s="665" t="s">
        <v>54</v>
      </c>
      <c r="L125" s="666"/>
      <c r="M125" s="75" t="str">
        <f>$B$18</f>
        <v>January 2026</v>
      </c>
      <c r="O125" s="665" t="s">
        <v>54</v>
      </c>
      <c r="P125" s="666"/>
      <c r="Q125" s="75" t="str">
        <f>$B$18</f>
        <v>January 2026</v>
      </c>
    </row>
    <row r="126" spans="1:17" s="86" customFormat="1" x14ac:dyDescent="0.2">
      <c r="C126" s="161" t="s">
        <v>61</v>
      </c>
      <c r="D126" s="162"/>
      <c r="E126" s="242">
        <f>LoanSchedule!AB14</f>
        <v>0</v>
      </c>
      <c r="G126" s="161" t="s">
        <v>61</v>
      </c>
      <c r="H126" s="162"/>
      <c r="I126" s="242">
        <f>LoanSchedule!AC14</f>
        <v>120000</v>
      </c>
      <c r="K126" s="161" t="s">
        <v>61</v>
      </c>
      <c r="L126" s="162"/>
      <c r="M126" s="242">
        <f>LoanSchedule!AD14</f>
        <v>80000</v>
      </c>
      <c r="O126" s="161" t="s">
        <v>61</v>
      </c>
      <c r="P126" s="162"/>
      <c r="Q126" s="242">
        <f>LoanSchedule!AE14</f>
        <v>100000</v>
      </c>
    </row>
    <row r="127" spans="1:17" s="86" customFormat="1" x14ac:dyDescent="0.2">
      <c r="C127" s="54" t="s">
        <v>66</v>
      </c>
      <c r="D127" s="3"/>
      <c r="E127" s="77">
        <f>LoanSchedule!AB20</f>
        <v>0</v>
      </c>
      <c r="G127" s="54" t="s">
        <v>66</v>
      </c>
      <c r="H127" s="3"/>
      <c r="I127" s="77">
        <f>LoanSchedule!AC20</f>
        <v>0</v>
      </c>
      <c r="K127" s="54" t="s">
        <v>66</v>
      </c>
      <c r="L127" s="3"/>
      <c r="M127" s="77">
        <f>LoanSchedule!AD20</f>
        <v>0</v>
      </c>
      <c r="O127" s="54" t="s">
        <v>66</v>
      </c>
      <c r="P127" s="3"/>
      <c r="Q127" s="77">
        <f>LoanSchedule!AE20</f>
        <v>0</v>
      </c>
    </row>
    <row r="128" spans="1:17" s="86" customFormat="1" x14ac:dyDescent="0.2">
      <c r="C128" s="54" t="s">
        <v>55</v>
      </c>
      <c r="D128" s="247">
        <f>IF(AND(SUM(E126-$H$3)&lt;$I$3,E126&lt;$I$3),0,IF(AND(SUM(E126-$H$3)&lt;$I$4,E126&gt;$I$3),SUM((E126-$H$3)*$J$4),IF(AND(SUM(E126-$H$3)&lt;$I$5,E126&gt;$I$4),SUM($L$4+(E126-$H$3-$H$4)*$J$5),SUM($L$4+$L$5+(E126-$H$3-$H$4-$H$5)*$J$6))))</f>
        <v>0</v>
      </c>
      <c r="E128" s="77"/>
      <c r="G128" s="54" t="s">
        <v>55</v>
      </c>
      <c r="H128" s="247">
        <f>IF(AND(SUM(I126-$H$3)&lt;$I$3,I126&lt;$I$3),0,IF(AND(SUM(I126-$H$3)&lt;$I$4,I126&gt;$I$3),SUM((I126-$H$3)*$J$4),IF(AND(SUM(I126-$H$3)&lt;$I$5,I126&gt;$I$4),SUM($L$4+(I126-$H$3-$H$4)*$J$5),SUM($L$4+$L$5+(I126-$H$3-$H$4-$H$5)*$J$6))))</f>
        <v>0</v>
      </c>
      <c r="I128" s="77"/>
      <c r="K128" s="54" t="s">
        <v>55</v>
      </c>
      <c r="L128" s="247">
        <f>IF(AND(SUM(M126-$H$3)&lt;$I$3,M126&lt;$I$3),0,IF(AND(SUM(M126-$H$3)&lt;$I$4,M126&gt;$I$3),SUM((M126-$H$3)*$J$4),IF(AND(SUM(M126-$H$3)&lt;$I$5,M126&gt;$I$4),SUM($L$4+(M126-$H$3-$H$4)*$J$5),SUM($L$4+$L$5+(M126-$H$3-$H$4-$H$5)*$J$6))))</f>
        <v>0</v>
      </c>
      <c r="M128" s="77"/>
      <c r="O128" s="54" t="s">
        <v>55</v>
      </c>
      <c r="P128" s="247">
        <f>IF(AND(SUM(Q126-$H$3)&lt;$I$3,Q126&lt;$I$3),0,IF(AND(SUM(Q126-$H$3)&lt;$I$4,Q126&gt;$I$3),SUM((Q126-$H$3)*$J$4),IF(AND(SUM(Q126-$H$3)&lt;$I$5,Q126&gt;$I$4),SUM($L$4+(Q126-$H$3-$H$4)*$J$5),SUM($L$4+$L$5+(Q126-$H$3-$H$4-$H$5)*$J$6))))</f>
        <v>0</v>
      </c>
      <c r="Q128" s="77"/>
    </row>
    <row r="129" spans="3:17" s="86" customFormat="1" x14ac:dyDescent="0.2">
      <c r="C129" s="54" t="s">
        <v>73</v>
      </c>
      <c r="D129"/>
      <c r="E129" s="111">
        <f>LoanSchedule!AB27</f>
        <v>0</v>
      </c>
      <c r="G129" s="54" t="s">
        <v>73</v>
      </c>
      <c r="H129"/>
      <c r="I129" s="111">
        <f>LoanSchedule!AC27</f>
        <v>0</v>
      </c>
      <c r="K129" s="54" t="s">
        <v>73</v>
      </c>
      <c r="L129"/>
      <c r="M129" s="111">
        <f>LoanSchedule!AD27</f>
        <v>0</v>
      </c>
      <c r="O129" s="54" t="s">
        <v>73</v>
      </c>
      <c r="P129"/>
      <c r="Q129" s="111">
        <f>LoanSchedule!AE27</f>
        <v>0</v>
      </c>
    </row>
    <row r="130" spans="3:17" s="86" customFormat="1" x14ac:dyDescent="0.2">
      <c r="C130" s="54" t="s">
        <v>64</v>
      </c>
      <c r="D130"/>
      <c r="E130" s="111"/>
      <c r="G130" s="54" t="s">
        <v>64</v>
      </c>
      <c r="H130"/>
      <c r="I130" s="111"/>
      <c r="K130" s="54" t="s">
        <v>64</v>
      </c>
      <c r="L130"/>
      <c r="M130" s="111"/>
      <c r="O130" s="54" t="s">
        <v>64</v>
      </c>
      <c r="P130"/>
      <c r="Q130" s="111"/>
    </row>
    <row r="131" spans="3:17" s="86" customFormat="1" x14ac:dyDescent="0.2">
      <c r="C131" s="54" t="s">
        <v>56</v>
      </c>
      <c r="D131" s="55">
        <f>LoanSchedule!AB55</f>
        <v>0</v>
      </c>
      <c r="E131" s="76"/>
      <c r="G131" s="54" t="s">
        <v>56</v>
      </c>
      <c r="H131" s="55">
        <f>LoanSchedule!AC55</f>
        <v>0</v>
      </c>
      <c r="I131" s="76"/>
      <c r="K131" s="54" t="s">
        <v>56</v>
      </c>
      <c r="L131" s="55">
        <f>LoanSchedule!AD55</f>
        <v>0</v>
      </c>
      <c r="M131" s="76"/>
      <c r="O131" s="54" t="s">
        <v>56</v>
      </c>
      <c r="P131" s="55">
        <f>LoanSchedule!AE55</f>
        <v>0</v>
      </c>
      <c r="Q131" s="76"/>
    </row>
    <row r="132" spans="3:17" s="86" customFormat="1" x14ac:dyDescent="0.2">
      <c r="C132" s="54" t="s">
        <v>57</v>
      </c>
      <c r="D132" s="56">
        <f>ROUNDDOWN(LoanSchedule!AB23,1)</f>
        <v>0</v>
      </c>
      <c r="E132" s="76"/>
      <c r="G132" s="54" t="s">
        <v>57</v>
      </c>
      <c r="H132" s="56">
        <f>ROUNDDOWN(LoanSchedule!AC23,1)</f>
        <v>0</v>
      </c>
      <c r="I132" s="76"/>
      <c r="K132" s="54" t="s">
        <v>57</v>
      </c>
      <c r="L132" s="56">
        <f>ROUNDDOWN(LoanSchedule!AD23,1)</f>
        <v>0</v>
      </c>
      <c r="M132" s="76"/>
      <c r="O132" s="54" t="s">
        <v>57</v>
      </c>
      <c r="P132" s="56">
        <f>ROUNDDOWN(LoanSchedule!AE23,1)</f>
        <v>0</v>
      </c>
      <c r="Q132" s="76"/>
    </row>
    <row r="133" spans="3:17" s="86" customFormat="1" x14ac:dyDescent="0.2">
      <c r="C133" s="74" t="s">
        <v>58</v>
      </c>
      <c r="D133" s="66">
        <f>SUM(D128:D132)</f>
        <v>0</v>
      </c>
      <c r="E133" s="78"/>
      <c r="G133" s="74" t="s">
        <v>58</v>
      </c>
      <c r="H133" s="66">
        <f>SUM(H128:H132)</f>
        <v>0</v>
      </c>
      <c r="I133" s="78"/>
      <c r="K133" s="74" t="s">
        <v>58</v>
      </c>
      <c r="L133" s="66">
        <f>SUM(L128:L132)</f>
        <v>0</v>
      </c>
      <c r="M133" s="78"/>
      <c r="O133" s="74" t="s">
        <v>58</v>
      </c>
      <c r="P133" s="66">
        <f>SUM(P128:P132)</f>
        <v>0</v>
      </c>
      <c r="Q133" s="78"/>
    </row>
    <row r="134" spans="3:17" s="86" customFormat="1" x14ac:dyDescent="0.2">
      <c r="C134" s="54" t="s">
        <v>59</v>
      </c>
      <c r="D134" s="57">
        <f>LoanSchedule!AB54</f>
        <v>0</v>
      </c>
      <c r="E134" s="76"/>
      <c r="G134" s="54" t="s">
        <v>59</v>
      </c>
      <c r="H134" s="57">
        <f>LoanSchedule!AC54</f>
        <v>0</v>
      </c>
      <c r="I134" s="76"/>
      <c r="K134" s="54" t="s">
        <v>59</v>
      </c>
      <c r="L134" s="57">
        <f>LoanSchedule!AD54</f>
        <v>0</v>
      </c>
      <c r="M134" s="76"/>
      <c r="O134" s="54" t="s">
        <v>59</v>
      </c>
      <c r="P134" s="57">
        <f>LoanSchedule!AE54</f>
        <v>0</v>
      </c>
      <c r="Q134" s="76"/>
    </row>
    <row r="135" spans="3:17" s="86" customFormat="1" x14ac:dyDescent="0.2">
      <c r="C135" s="54"/>
      <c r="D135" s="3"/>
      <c r="E135" s="76"/>
      <c r="G135" s="54"/>
      <c r="H135" s="3"/>
      <c r="I135" s="76"/>
      <c r="K135" s="54"/>
      <c r="L135" s="3"/>
      <c r="M135" s="76"/>
      <c r="O135" s="54"/>
      <c r="P135" s="3"/>
      <c r="Q135" s="76"/>
    </row>
    <row r="136" spans="3:17" s="86" customFormat="1" x14ac:dyDescent="0.2">
      <c r="C136" s="133" t="s">
        <v>60</v>
      </c>
      <c r="D136" s="134"/>
      <c r="E136" s="135">
        <f>SUM(E126+E127+E129-D133)</f>
        <v>0</v>
      </c>
      <c r="G136" s="133" t="s">
        <v>60</v>
      </c>
      <c r="H136" s="134"/>
      <c r="I136" s="135">
        <f>SUM(I126+I127+I129-H133)</f>
        <v>120000</v>
      </c>
      <c r="K136" s="133" t="s">
        <v>60</v>
      </c>
      <c r="L136" s="134"/>
      <c r="M136" s="135">
        <f>SUM(M126+M127+M129-L133)</f>
        <v>80000</v>
      </c>
      <c r="O136" s="133" t="s">
        <v>60</v>
      </c>
      <c r="P136" s="134"/>
      <c r="Q136" s="135">
        <f>SUM(Q126+Q127+Q129-P133)</f>
        <v>100000</v>
      </c>
    </row>
    <row r="137" spans="3:17" s="86" customFormat="1" x14ac:dyDescent="0.2">
      <c r="C137" s="58" t="s">
        <v>125</v>
      </c>
      <c r="D137" s="141"/>
      <c r="E137" s="142">
        <f>E136/2</f>
        <v>0</v>
      </c>
      <c r="G137" s="58" t="s">
        <v>125</v>
      </c>
      <c r="H137" s="141"/>
      <c r="I137" s="142">
        <f>I136/2</f>
        <v>60000</v>
      </c>
      <c r="K137" s="58" t="s">
        <v>125</v>
      </c>
      <c r="L137" s="141"/>
      <c r="M137" s="142">
        <f>M136/2</f>
        <v>40000</v>
      </c>
      <c r="O137" s="58" t="s">
        <v>125</v>
      </c>
      <c r="P137" s="141"/>
      <c r="Q137" s="142">
        <f>Q136/2</f>
        <v>50000</v>
      </c>
    </row>
    <row r="138" spans="3:17" s="86" customFormat="1" x14ac:dyDescent="0.2">
      <c r="C138" s="128"/>
      <c r="E138" s="129"/>
      <c r="G138" s="128"/>
      <c r="I138" s="129"/>
      <c r="K138" s="128"/>
      <c r="M138" s="129"/>
      <c r="O138" s="128"/>
      <c r="Q138" s="129"/>
    </row>
    <row r="139" spans="3:17" s="86" customFormat="1" x14ac:dyDescent="0.2">
      <c r="C139" s="128"/>
      <c r="E139" s="129"/>
      <c r="G139" s="128"/>
      <c r="I139" s="129"/>
      <c r="K139" s="128"/>
      <c r="M139" s="129"/>
      <c r="O139" s="128"/>
      <c r="Q139" s="129"/>
    </row>
    <row r="140" spans="3:17" s="86" customFormat="1" ht="15.75" x14ac:dyDescent="0.25">
      <c r="C140" s="667" t="s">
        <v>85</v>
      </c>
      <c r="D140" s="668"/>
      <c r="E140" s="669"/>
      <c r="G140" s="667" t="s">
        <v>85</v>
      </c>
      <c r="H140" s="668"/>
      <c r="I140" s="669"/>
      <c r="K140" s="667" t="s">
        <v>85</v>
      </c>
      <c r="L140" s="668"/>
      <c r="M140" s="669"/>
      <c r="O140" s="667" t="s">
        <v>85</v>
      </c>
      <c r="P140" s="668"/>
      <c r="Q140" s="669"/>
    </row>
    <row r="141" spans="3:17" s="86" customFormat="1" ht="15" x14ac:dyDescent="0.2">
      <c r="C141" s="74" t="s">
        <v>53</v>
      </c>
      <c r="D141" s="670" t="str">
        <f>CONCATENATE(+Biodata!B75,+" ",+Biodata!C75)</f>
        <v xml:space="preserve">vacant  </v>
      </c>
      <c r="E141" s="671"/>
      <c r="G141" s="74" t="s">
        <v>53</v>
      </c>
      <c r="H141" s="670" t="str">
        <f>CONCATENATE(+Biodata!B76,+" ",+Biodata!C76)</f>
        <v>Dancan Botha</v>
      </c>
      <c r="I141" s="671"/>
      <c r="K141" s="74" t="s">
        <v>53</v>
      </c>
      <c r="L141" s="670" t="str">
        <f>CONCATENATE(+Biodata!B77,+" ",+Biodata!C77)</f>
        <v>Ibrahim Amadu</v>
      </c>
      <c r="M141" s="671"/>
      <c r="O141" s="74" t="s">
        <v>53</v>
      </c>
      <c r="P141" s="670" t="str">
        <f>CONCATENATE(+Biodata!B17,+" ",+Biodata!C17)</f>
        <v xml:space="preserve">vacant  </v>
      </c>
      <c r="Q141" s="671"/>
    </row>
    <row r="142" spans="3:17" s="86" customFormat="1" x14ac:dyDescent="0.2">
      <c r="C142" s="665" t="s">
        <v>63</v>
      </c>
      <c r="D142" s="666"/>
      <c r="E142" s="75" t="str">
        <f>Biodata!A75</f>
        <v>CITI30</v>
      </c>
      <c r="G142" s="665" t="s">
        <v>63</v>
      </c>
      <c r="H142" s="666"/>
      <c r="I142" s="75" t="str">
        <f>Biodata!A76</f>
        <v>CITI30</v>
      </c>
      <c r="K142" s="665" t="s">
        <v>63</v>
      </c>
      <c r="L142" s="666"/>
      <c r="M142" s="75" t="str">
        <f>Biodata!A77</f>
        <v>CITI31</v>
      </c>
      <c r="O142" s="665" t="s">
        <v>63</v>
      </c>
      <c r="P142" s="666"/>
      <c r="Q142" s="75" t="str">
        <f>Biodata!A17</f>
        <v>CITI03</v>
      </c>
    </row>
    <row r="143" spans="3:17" s="86" customFormat="1" x14ac:dyDescent="0.2">
      <c r="C143" s="665" t="s">
        <v>54</v>
      </c>
      <c r="D143" s="666"/>
      <c r="E143" s="75" t="str">
        <f>$B$18</f>
        <v>January 2026</v>
      </c>
      <c r="G143" s="665" t="s">
        <v>54</v>
      </c>
      <c r="H143" s="666"/>
      <c r="I143" s="75" t="str">
        <f>$B$18</f>
        <v>January 2026</v>
      </c>
      <c r="K143" s="665" t="s">
        <v>54</v>
      </c>
      <c r="L143" s="666"/>
      <c r="M143" s="75" t="str">
        <f>$B$18</f>
        <v>January 2026</v>
      </c>
      <c r="O143" s="665" t="s">
        <v>54</v>
      </c>
      <c r="P143" s="666"/>
      <c r="Q143" s="75" t="str">
        <f>$B$18</f>
        <v>January 2026</v>
      </c>
    </row>
    <row r="144" spans="3:17" s="86" customFormat="1" x14ac:dyDescent="0.2">
      <c r="C144" s="161" t="s">
        <v>61</v>
      </c>
      <c r="D144" s="162"/>
      <c r="E144" s="242">
        <f>LoanSchedule!AF14</f>
        <v>0</v>
      </c>
      <c r="G144" s="161" t="s">
        <v>61</v>
      </c>
      <c r="H144" s="162"/>
      <c r="I144" s="242">
        <f>LoanSchedule!AG14</f>
        <v>94000</v>
      </c>
      <c r="K144" s="161" t="s">
        <v>61</v>
      </c>
      <c r="L144" s="162"/>
      <c r="M144" s="242">
        <f>LoanSchedule!AH14</f>
        <v>80000</v>
      </c>
      <c r="O144" s="161" t="s">
        <v>61</v>
      </c>
      <c r="P144" s="162"/>
      <c r="Q144" s="242">
        <f>LoanSchedule!E14</f>
        <v>0</v>
      </c>
    </row>
    <row r="145" spans="1:18" s="86" customFormat="1" x14ac:dyDescent="0.2">
      <c r="C145" s="54" t="s">
        <v>66</v>
      </c>
      <c r="D145" s="3"/>
      <c r="E145" s="77">
        <f>LoanSchedule!AF20</f>
        <v>0</v>
      </c>
      <c r="G145" s="54" t="s">
        <v>66</v>
      </c>
      <c r="H145" s="3"/>
      <c r="I145" s="77">
        <f>LoanSchedule!AG20</f>
        <v>0</v>
      </c>
      <c r="K145" s="54" t="s">
        <v>66</v>
      </c>
      <c r="L145" s="3"/>
      <c r="M145" s="77">
        <f>LoanSchedule!AH20</f>
        <v>0</v>
      </c>
      <c r="O145" s="54" t="s">
        <v>66</v>
      </c>
      <c r="P145" s="3"/>
      <c r="Q145" s="77">
        <f>LoanSchedule!E20</f>
        <v>0</v>
      </c>
    </row>
    <row r="146" spans="1:18" s="86" customFormat="1" x14ac:dyDescent="0.2">
      <c r="C146" s="54" t="s">
        <v>55</v>
      </c>
      <c r="D146" s="247">
        <f>IF(AND(SUM(E144-$H$3)&lt;$I$3,E144&lt;$I$3),0,IF(AND(SUM(E144-$H$3)&lt;$I$4,E144&gt;$I$3),SUM((E144-$H$3)*$J$4),IF(AND(SUM(E144-$H$3)&lt;$I$5,E144&gt;$I$4),SUM($L$4+(E144-$H$3-$H$4)*$J$5),SUM($L$4+$L$5+(E144-$H$3-$H$4-$H$5)*$J$6))))</f>
        <v>0</v>
      </c>
      <c r="E146" s="77"/>
      <c r="G146" s="54" t="s">
        <v>55</v>
      </c>
      <c r="H146" s="247">
        <f>IF(AND(SUM(I144-$H$3)&lt;$I$3,I144&lt;$I$3),0,IF(AND(SUM(I144-$H$3)&lt;$I$4,I144&gt;$I$3),SUM((I144-$H$3)*$J$4),IF(AND(SUM(I144-$H$3)&lt;$I$5,I144&gt;$I$4),SUM($L$4+(I144-$H$3-$H$4)*$J$5),SUM($L$4+$L$5+(I144-$H$3-$H$4-$H$5)*$J$6))))</f>
        <v>0</v>
      </c>
      <c r="I146" s="77"/>
      <c r="K146" s="54" t="s">
        <v>55</v>
      </c>
      <c r="L146" s="247">
        <f>IF(AND(SUM(M144-$H$3)&lt;$I$3,M144&lt;$I$3),0,IF(AND(SUM(M144-$H$3)&lt;$I$4,M144&gt;$I$3),SUM((M144-$H$3)*$J$4),IF(AND(SUM(M144-$H$3)&lt;$I$5,M144&gt;$I$4),SUM($L$4+(M144-$H$3-$H$4)*$J$5),SUM($L$4+$L$5+(M144-$H$3-$H$4-$H$5)*$J$6))))</f>
        <v>0</v>
      </c>
      <c r="M146" s="77"/>
      <c r="O146" s="54" t="s">
        <v>55</v>
      </c>
      <c r="P146" s="247">
        <f>IF(AND(SUM(Q144-$H$3)&lt;$I$3,Q144&lt;$I$3),0,IF(AND(SUM(Q144-$H$3)&lt;$I$4,Q144&gt;$I$3),SUM((Q144-$H$3)*$J$4),IF(AND(SUM(Q144-$H$3)&lt;$I$5,Q144&gt;$I$4),SUM($L$4+(Q144-$H$3-$H$4)*$J$5),SUM($L$4+$L$5+(Q144-$H$3-$H$4-$H$5)*$J$6))))</f>
        <v>0</v>
      </c>
      <c r="Q146" s="77"/>
    </row>
    <row r="147" spans="1:18" s="86" customFormat="1" x14ac:dyDescent="0.2">
      <c r="C147" s="54" t="s">
        <v>73</v>
      </c>
      <c r="D147"/>
      <c r="E147" s="111">
        <f>LoanSchedule!AF27</f>
        <v>0</v>
      </c>
      <c r="G147" s="54" t="s">
        <v>73</v>
      </c>
      <c r="H147"/>
      <c r="I147" s="111">
        <f>LoanSchedule!AG27</f>
        <v>0</v>
      </c>
      <c r="K147" s="54" t="s">
        <v>73</v>
      </c>
      <c r="L147"/>
      <c r="M147" s="111">
        <f>LoanSchedule!AH27</f>
        <v>0</v>
      </c>
      <c r="O147" s="54" t="s">
        <v>73</v>
      </c>
      <c r="P147"/>
      <c r="Q147" s="111">
        <f>LoanSchedule!E27</f>
        <v>0</v>
      </c>
    </row>
    <row r="148" spans="1:18" s="86" customFormat="1" x14ac:dyDescent="0.2">
      <c r="C148" s="54" t="s">
        <v>64</v>
      </c>
      <c r="D148"/>
      <c r="E148" s="111"/>
      <c r="G148" s="54" t="s">
        <v>64</v>
      </c>
      <c r="H148"/>
      <c r="I148" s="111"/>
      <c r="K148" s="54" t="s">
        <v>64</v>
      </c>
      <c r="L148"/>
      <c r="M148" s="111"/>
      <c r="O148" s="54" t="s">
        <v>64</v>
      </c>
      <c r="P148"/>
      <c r="Q148" s="111"/>
    </row>
    <row r="149" spans="1:18" s="86" customFormat="1" x14ac:dyDescent="0.2">
      <c r="C149" s="54" t="s">
        <v>56</v>
      </c>
      <c r="D149" s="55">
        <f>LoanSchedule!AF55</f>
        <v>0</v>
      </c>
      <c r="E149" s="76"/>
      <c r="G149" s="54" t="s">
        <v>56</v>
      </c>
      <c r="H149" s="55">
        <f>LoanSchedule!AG55</f>
        <v>0</v>
      </c>
      <c r="I149" s="76"/>
      <c r="K149" s="54" t="s">
        <v>56</v>
      </c>
      <c r="L149" s="55">
        <f>LoanSchedule!AH55</f>
        <v>0</v>
      </c>
      <c r="M149" s="76"/>
      <c r="O149" s="54" t="s">
        <v>56</v>
      </c>
      <c r="P149" s="55">
        <f>LoanSchedule!E55</f>
        <v>0</v>
      </c>
      <c r="Q149" s="76"/>
    </row>
    <row r="150" spans="1:18" s="86" customFormat="1" x14ac:dyDescent="0.2">
      <c r="C150" s="54" t="s">
        <v>57</v>
      </c>
      <c r="D150" s="56">
        <f>ROUNDDOWN(LoanSchedule!AF23,1)</f>
        <v>0</v>
      </c>
      <c r="E150" s="76"/>
      <c r="G150" s="54" t="s">
        <v>57</v>
      </c>
      <c r="H150" s="56">
        <f>ROUNDDOWN(LoanSchedule!AG23,1)</f>
        <v>0</v>
      </c>
      <c r="I150" s="76"/>
      <c r="K150" s="54" t="s">
        <v>57</v>
      </c>
      <c r="L150" s="56">
        <f>ROUNDDOWN(LoanSchedule!AH23,1)</f>
        <v>0</v>
      </c>
      <c r="M150" s="76"/>
      <c r="O150" s="54" t="s">
        <v>57</v>
      </c>
      <c r="P150" s="56">
        <f>ROUNDDOWN(LoanSchedule!E23,1)</f>
        <v>0</v>
      </c>
      <c r="Q150" s="76"/>
    </row>
    <row r="151" spans="1:18" s="86" customFormat="1" x14ac:dyDescent="0.2">
      <c r="C151" s="74" t="s">
        <v>58</v>
      </c>
      <c r="D151" s="66">
        <f>SUM(D146:D150)</f>
        <v>0</v>
      </c>
      <c r="E151" s="78"/>
      <c r="G151" s="74" t="s">
        <v>58</v>
      </c>
      <c r="H151" s="66">
        <f>SUM(H146:H150)</f>
        <v>0</v>
      </c>
      <c r="I151" s="78"/>
      <c r="K151" s="74" t="s">
        <v>58</v>
      </c>
      <c r="L151" s="66">
        <f>SUM(L146:L150)</f>
        <v>0</v>
      </c>
      <c r="M151" s="78"/>
      <c r="O151" s="74" t="s">
        <v>58</v>
      </c>
      <c r="P151" s="66">
        <f>SUM(P146:P150)</f>
        <v>0</v>
      </c>
      <c r="Q151" s="78"/>
    </row>
    <row r="152" spans="1:18" s="86" customFormat="1" x14ac:dyDescent="0.2">
      <c r="C152" s="54" t="s">
        <v>59</v>
      </c>
      <c r="D152" s="57">
        <f>LoanSchedule!AF54</f>
        <v>0</v>
      </c>
      <c r="E152" s="76"/>
      <c r="G152" s="54" t="s">
        <v>59</v>
      </c>
      <c r="H152" s="57">
        <f>LoanSchedule!AG54</f>
        <v>0</v>
      </c>
      <c r="I152" s="76"/>
      <c r="K152" s="54" t="s">
        <v>59</v>
      </c>
      <c r="L152" s="57">
        <f>LoanSchedule!AH54</f>
        <v>0</v>
      </c>
      <c r="M152" s="76"/>
      <c r="O152" s="54" t="s">
        <v>59</v>
      </c>
      <c r="P152" s="57">
        <f>LoanSchedule!E54</f>
        <v>0</v>
      </c>
      <c r="Q152" s="76"/>
    </row>
    <row r="153" spans="1:18" s="86" customFormat="1" x14ac:dyDescent="0.2">
      <c r="C153" s="54"/>
      <c r="D153" s="3"/>
      <c r="E153" s="76"/>
      <c r="G153" s="54"/>
      <c r="H153" s="3"/>
      <c r="I153" s="76"/>
      <c r="K153" s="54"/>
      <c r="L153" s="3"/>
      <c r="M153" s="76"/>
      <c r="O153" s="54"/>
      <c r="P153" s="3"/>
      <c r="Q153" s="76"/>
    </row>
    <row r="154" spans="1:18" s="86" customFormat="1" x14ac:dyDescent="0.2">
      <c r="C154" s="133" t="s">
        <v>60</v>
      </c>
      <c r="D154" s="134"/>
      <c r="E154" s="135">
        <f>SUM(E144+E145+E147-D151)</f>
        <v>0</v>
      </c>
      <c r="G154" s="133" t="s">
        <v>60</v>
      </c>
      <c r="H154" s="134"/>
      <c r="I154" s="135">
        <f>SUM(I144+I145+I147-H151)</f>
        <v>94000</v>
      </c>
      <c r="K154" s="133" t="s">
        <v>60</v>
      </c>
      <c r="L154" s="134"/>
      <c r="M154" s="135">
        <f>SUM(M144+M145+M147-L151)</f>
        <v>80000</v>
      </c>
      <c r="O154" s="133" t="s">
        <v>60</v>
      </c>
      <c r="P154" s="134"/>
      <c r="Q154" s="135">
        <f>SUM(Q144+Q145+Q147-P151)</f>
        <v>0</v>
      </c>
    </row>
    <row r="155" spans="1:18" s="86" customFormat="1" x14ac:dyDescent="0.2">
      <c r="C155" s="58" t="s">
        <v>125</v>
      </c>
      <c r="D155" s="141"/>
      <c r="E155" s="142">
        <f>E154/2</f>
        <v>0</v>
      </c>
      <c r="G155" s="58" t="s">
        <v>125</v>
      </c>
      <c r="H155" s="141"/>
      <c r="I155" s="142">
        <f>I154/2</f>
        <v>47000</v>
      </c>
      <c r="K155" s="58" t="s">
        <v>125</v>
      </c>
      <c r="L155" s="141"/>
      <c r="M155" s="142">
        <f>M154/2</f>
        <v>40000</v>
      </c>
      <c r="O155" s="58" t="s">
        <v>125</v>
      </c>
      <c r="P155" s="141"/>
      <c r="Q155" s="142">
        <f>Q154/2</f>
        <v>0</v>
      </c>
    </row>
    <row r="156" spans="1:18" s="86" customFormat="1" x14ac:dyDescent="0.2">
      <c r="C156" s="128"/>
      <c r="E156" s="129"/>
      <c r="G156" s="128"/>
      <c r="I156" s="129"/>
      <c r="K156" s="128"/>
      <c r="M156" s="129"/>
      <c r="O156" s="128"/>
      <c r="Q156" s="129"/>
    </row>
    <row r="157" spans="1:18" s="86" customFormat="1" x14ac:dyDescent="0.2">
      <c r="C157" s="128"/>
      <c r="E157" s="129"/>
      <c r="G157" s="128"/>
      <c r="I157" s="129"/>
      <c r="K157" s="128"/>
      <c r="M157" s="129"/>
      <c r="O157" s="128"/>
      <c r="Q157" s="129"/>
    </row>
    <row r="158" spans="1:18" s="73" customFormat="1" x14ac:dyDescent="0.2">
      <c r="A158" s="86"/>
      <c r="E158" s="249"/>
      <c r="I158" s="249"/>
    </row>
    <row r="159" spans="1:18" ht="13.5" thickBot="1" x14ac:dyDescent="0.25">
      <c r="A159" s="86"/>
      <c r="G159" s="81" t="s">
        <v>78</v>
      </c>
      <c r="O159">
        <f>17500+20000+15000+15000+15000</f>
        <v>82500</v>
      </c>
    </row>
    <row r="160" spans="1:18" ht="21" thickBot="1" x14ac:dyDescent="0.35">
      <c r="A160" s="73"/>
      <c r="C160" s="682" t="s">
        <v>281</v>
      </c>
      <c r="D160" s="683"/>
      <c r="E160" s="684"/>
      <c r="G160" s="687" t="s">
        <v>75</v>
      </c>
      <c r="H160" s="688"/>
      <c r="I160" s="688"/>
      <c r="J160" s="688"/>
      <c r="K160" s="688"/>
      <c r="L160" s="689"/>
      <c r="M160" s="689"/>
      <c r="N160" s="690"/>
      <c r="P160" s="682" t="s">
        <v>236</v>
      </c>
      <c r="Q160" s="683"/>
      <c r="R160" s="684"/>
    </row>
    <row r="161" spans="1:24 16381:16381" ht="26.25" thickBot="1" x14ac:dyDescent="0.25">
      <c r="A161" s="319" t="s">
        <v>52</v>
      </c>
      <c r="B161" s="320" t="s">
        <v>21</v>
      </c>
      <c r="C161" s="250" t="s">
        <v>282</v>
      </c>
      <c r="D161" s="251" t="s">
        <v>283</v>
      </c>
      <c r="E161" s="252" t="s">
        <v>284</v>
      </c>
      <c r="F161" s="67"/>
      <c r="G161" s="321" t="s">
        <v>79</v>
      </c>
      <c r="H161" s="322" t="s">
        <v>76</v>
      </c>
      <c r="I161" s="323" t="s">
        <v>80</v>
      </c>
      <c r="J161" s="694" t="s">
        <v>77</v>
      </c>
      <c r="K161" s="695"/>
      <c r="L161" s="696"/>
      <c r="M161" s="691" t="s">
        <v>82</v>
      </c>
      <c r="N161" s="692"/>
      <c r="O161" s="67"/>
      <c r="P161" s="448" t="s">
        <v>237</v>
      </c>
      <c r="Q161" s="450" t="s">
        <v>288</v>
      </c>
      <c r="R161" s="449" t="s">
        <v>285</v>
      </c>
      <c r="S161" s="449" t="s">
        <v>320</v>
      </c>
      <c r="T161" s="252" t="s">
        <v>285</v>
      </c>
      <c r="U161" s="449" t="s">
        <v>319</v>
      </c>
    </row>
    <row r="162" spans="1:24 16381:16381" ht="21.95" customHeight="1" x14ac:dyDescent="0.2">
      <c r="A162" s="564" t="str">
        <f>Biodata!A15</f>
        <v>CITI01</v>
      </c>
      <c r="B162" s="324" t="str">
        <f>Biodata!B15</f>
        <v>Sapulene</v>
      </c>
      <c r="C162" s="433">
        <v>0</v>
      </c>
      <c r="D162" s="434">
        <v>0</v>
      </c>
      <c r="E162" s="433">
        <v>0</v>
      </c>
      <c r="F162" s="328">
        <f>Biodata!F15</f>
        <v>0</v>
      </c>
      <c r="G162" s="107">
        <v>1</v>
      </c>
      <c r="H162" s="227">
        <v>0</v>
      </c>
      <c r="I162" s="108">
        <v>12</v>
      </c>
      <c r="J162" s="672"/>
      <c r="K162" s="673"/>
      <c r="L162" s="674"/>
      <c r="M162" s="230" t="str">
        <f>IF(B162="vacant","employee does not exist",IF(G162&gt;$C$4,"wrong month, loan not granted",IF(G162&lt;&gt;INT(G162),"wrong month, loan not granted",IF(F162=0,"employee exited",IF(G162=0,"   ",IF(H162=0,"loan not require","recommend for approval"))))))</f>
        <v>employee exited</v>
      </c>
      <c r="N162" s="231"/>
      <c r="P162" s="444">
        <f>IF(B162="vacant","",Biodata!M15)</f>
        <v>35799</v>
      </c>
      <c r="Q162" s="442">
        <f>DATEVALUE($G$4)</f>
        <v>46023</v>
      </c>
      <c r="R162" s="445">
        <f t="shared" ref="R162:R189" si="9">IF(B162="vacant",0,DATEDIF(P162,Q162,"D"))</f>
        <v>10224</v>
      </c>
      <c r="S162" s="445">
        <f t="shared" ref="S162:S189" si="10">IF(B162="vacant",0,R162/30)</f>
        <v>340.8</v>
      </c>
      <c r="U162" s="445">
        <f t="shared" ref="U162:U189" si="11">IF(B162="vacant",0,S162/12)</f>
        <v>28.400000000000002</v>
      </c>
    </row>
    <row r="163" spans="1:24 16381:16381" ht="21.95" customHeight="1" x14ac:dyDescent="0.2">
      <c r="A163" s="564" t="str">
        <f>Biodata!A16</f>
        <v>CITI02</v>
      </c>
      <c r="B163" s="324" t="str">
        <f>Biodata!B16</f>
        <v>George</v>
      </c>
      <c r="C163" s="433">
        <v>0</v>
      </c>
      <c r="D163" s="434">
        <v>0</v>
      </c>
      <c r="E163" s="433">
        <v>0</v>
      </c>
      <c r="F163" s="328">
        <f>Biodata!F16</f>
        <v>120000</v>
      </c>
      <c r="G163" s="107">
        <v>1</v>
      </c>
      <c r="H163" s="227">
        <v>0</v>
      </c>
      <c r="I163" s="108">
        <v>12</v>
      </c>
      <c r="J163" s="672"/>
      <c r="K163" s="673"/>
      <c r="L163" s="674"/>
      <c r="M163" s="230" t="str">
        <f>IF(B163="vacant","employee does not exist",IF(G163&gt;$C$4,"wrong month, loan not granted",IF(G163&lt;&gt;INT(G163),"wrong month, loan not granted",IF(F163=0,"employee exited",IF(G163=0,"   ",IF(H163=0,"loan not require","recommend for approval"))))))</f>
        <v>loan not require</v>
      </c>
      <c r="N163" s="231"/>
      <c r="P163" s="444">
        <f>IF(B163="vacant","",Biodata!M16)</f>
        <v>41630</v>
      </c>
      <c r="Q163" s="442">
        <f>DATEVALUE($G$4)</f>
        <v>46023</v>
      </c>
      <c r="R163" s="445">
        <f t="shared" si="9"/>
        <v>4393</v>
      </c>
      <c r="S163" s="445">
        <f t="shared" si="10"/>
        <v>146.43333333333334</v>
      </c>
      <c r="U163" s="445">
        <f t="shared" si="11"/>
        <v>12.202777777777778</v>
      </c>
    </row>
    <row r="164" spans="1:24 16381:16381" ht="21.95" customHeight="1" x14ac:dyDescent="0.2">
      <c r="A164" s="565" t="str">
        <f>Biodata!A16</f>
        <v>CITI02</v>
      </c>
      <c r="B164" s="325" t="str">
        <f>Biodata!B17</f>
        <v>vacant</v>
      </c>
      <c r="C164" s="433">
        <v>0</v>
      </c>
      <c r="D164" s="435">
        <v>0</v>
      </c>
      <c r="E164" s="436">
        <v>0</v>
      </c>
      <c r="F164" s="328">
        <f>Biodata!F17</f>
        <v>0</v>
      </c>
      <c r="G164" s="109">
        <v>1</v>
      </c>
      <c r="H164" s="227">
        <v>0</v>
      </c>
      <c r="I164" s="108">
        <v>12</v>
      </c>
      <c r="J164" s="672"/>
      <c r="K164" s="673"/>
      <c r="L164" s="674"/>
      <c r="M164" s="230" t="str">
        <f t="shared" ref="M164:M187" si="12">IF(B164="vacant","employee does not exist",IF(G164&gt;$C$4,"wrong month, loan not granted",IF(G164&lt;&gt;INT(G164),"wrong month, loan not granted",IF(F164=0,"employee exited",IF(G164=0,"   ",IF(H164=0,"loan not require","recommend for approval"))))))</f>
        <v>employee does not exist</v>
      </c>
      <c r="N164" s="231"/>
      <c r="P164" s="444" t="str">
        <f>IF(B164="vacant","",Biodata!M17)</f>
        <v/>
      </c>
      <c r="Q164" s="442">
        <f>DATEVALUE($G$4)</f>
        <v>46023</v>
      </c>
      <c r="R164" s="445">
        <f t="shared" si="9"/>
        <v>0</v>
      </c>
      <c r="S164" s="445">
        <f t="shared" si="10"/>
        <v>0</v>
      </c>
      <c r="U164" s="445">
        <f t="shared" si="11"/>
        <v>0</v>
      </c>
    </row>
    <row r="165" spans="1:24 16381:16381" ht="21.95" customHeight="1" x14ac:dyDescent="0.2">
      <c r="A165" s="565" t="str">
        <f>Biodata!A22</f>
        <v>CITI04</v>
      </c>
      <c r="B165" s="325" t="str">
        <f>Biodata!B22</f>
        <v>Alinafe</v>
      </c>
      <c r="C165" s="433">
        <v>0</v>
      </c>
      <c r="D165" s="435">
        <v>0</v>
      </c>
      <c r="E165" s="436">
        <v>0</v>
      </c>
      <c r="F165" s="328">
        <f>Biodata!F22</f>
        <v>80000</v>
      </c>
      <c r="G165" s="109">
        <v>1</v>
      </c>
      <c r="H165" s="227">
        <v>0</v>
      </c>
      <c r="I165" s="108">
        <v>12</v>
      </c>
      <c r="J165" s="672"/>
      <c r="K165" s="673"/>
      <c r="L165" s="674"/>
      <c r="M165" s="230" t="str">
        <f t="shared" si="12"/>
        <v>loan not require</v>
      </c>
      <c r="N165" s="231"/>
      <c r="P165" s="444">
        <f>IF(B165="vacant","",Biodata!M22)</f>
        <v>44854</v>
      </c>
      <c r="Q165" s="442">
        <f t="shared" ref="Q165:Q194" si="13">DATEVALUE($G$4)</f>
        <v>46023</v>
      </c>
      <c r="R165" s="445">
        <f t="shared" si="9"/>
        <v>1169</v>
      </c>
      <c r="S165" s="445">
        <f t="shared" si="10"/>
        <v>38.966666666666669</v>
      </c>
      <c r="U165" s="445">
        <f t="shared" si="11"/>
        <v>3.2472222222222222</v>
      </c>
    </row>
    <row r="166" spans="1:24 16381:16381" ht="21.95" customHeight="1" x14ac:dyDescent="0.2">
      <c r="A166" s="565" t="str">
        <f>Biodata!A23</f>
        <v>CITI05</v>
      </c>
      <c r="B166" s="325" t="str">
        <f>Biodata!B23</f>
        <v>Chimwemwe</v>
      </c>
      <c r="C166" s="433">
        <v>0</v>
      </c>
      <c r="D166" s="435">
        <v>0</v>
      </c>
      <c r="E166" s="436">
        <v>0</v>
      </c>
      <c r="F166" s="328">
        <f>Biodata!F23</f>
        <v>80000</v>
      </c>
      <c r="G166" s="107">
        <v>1</v>
      </c>
      <c r="H166" s="227">
        <v>0</v>
      </c>
      <c r="I166" s="108">
        <v>12</v>
      </c>
      <c r="J166" s="672"/>
      <c r="K166" s="673"/>
      <c r="L166" s="674"/>
      <c r="M166" s="230" t="str">
        <f t="shared" si="12"/>
        <v>loan not require</v>
      </c>
      <c r="N166" s="231"/>
      <c r="P166" s="444">
        <f>IF(B166="vacant","",Biodata!M23)</f>
        <v>45204</v>
      </c>
      <c r="Q166" s="442">
        <f t="shared" si="13"/>
        <v>46023</v>
      </c>
      <c r="R166" s="445">
        <f t="shared" si="9"/>
        <v>819</v>
      </c>
      <c r="S166" s="445">
        <f t="shared" si="10"/>
        <v>27.3</v>
      </c>
      <c r="U166" s="445">
        <f t="shared" si="11"/>
        <v>2.2749999999999999</v>
      </c>
    </row>
    <row r="167" spans="1:24 16381:16381" ht="21.95" customHeight="1" x14ac:dyDescent="0.2">
      <c r="A167" s="565" t="str">
        <f>Biodata!A24</f>
        <v>CITI06</v>
      </c>
      <c r="B167" s="325" t="str">
        <f>Biodata!B24</f>
        <v>vacant</v>
      </c>
      <c r="C167" s="433">
        <v>0</v>
      </c>
      <c r="D167" s="435">
        <v>0</v>
      </c>
      <c r="E167" s="436">
        <v>0</v>
      </c>
      <c r="F167" s="328">
        <f>Biodata!F24</f>
        <v>0</v>
      </c>
      <c r="G167" s="107">
        <v>1</v>
      </c>
      <c r="H167" s="227">
        <v>0</v>
      </c>
      <c r="I167" s="108">
        <v>12</v>
      </c>
      <c r="J167" s="672"/>
      <c r="K167" s="673"/>
      <c r="L167" s="674"/>
      <c r="M167" s="230" t="str">
        <f t="shared" si="12"/>
        <v>employee does not exist</v>
      </c>
      <c r="N167" s="231"/>
      <c r="P167" s="444" t="str">
        <f>IF(B167="vacant","",Biodata!M24)</f>
        <v/>
      </c>
      <c r="Q167" s="442">
        <f t="shared" si="13"/>
        <v>46023</v>
      </c>
      <c r="R167" s="445">
        <f t="shared" si="9"/>
        <v>0</v>
      </c>
      <c r="S167" s="445">
        <f t="shared" si="10"/>
        <v>0</v>
      </c>
      <c r="U167" s="445">
        <f t="shared" si="11"/>
        <v>0</v>
      </c>
    </row>
    <row r="168" spans="1:24 16381:16381" ht="21.95" customHeight="1" x14ac:dyDescent="0.2">
      <c r="A168" s="565" t="str">
        <f>Biodata!A25</f>
        <v>CITI07</v>
      </c>
      <c r="B168" s="325" t="str">
        <f>Biodata!B25</f>
        <v>Maureen</v>
      </c>
      <c r="C168" s="433">
        <v>0</v>
      </c>
      <c r="D168" s="435">
        <v>0</v>
      </c>
      <c r="E168" s="436">
        <v>0</v>
      </c>
      <c r="F168" s="328">
        <f>Biodata!F25</f>
        <v>80000</v>
      </c>
      <c r="G168" s="107">
        <v>1</v>
      </c>
      <c r="H168" s="227">
        <v>0</v>
      </c>
      <c r="I168" s="108">
        <v>12</v>
      </c>
      <c r="J168" s="672"/>
      <c r="K168" s="673"/>
      <c r="L168" s="674"/>
      <c r="M168" s="230" t="str">
        <f t="shared" si="12"/>
        <v>loan not require</v>
      </c>
      <c r="N168" s="231"/>
      <c r="P168" s="444">
        <f>IF(B168="vacant","",Biodata!M25)</f>
        <v>45809</v>
      </c>
      <c r="Q168" s="442">
        <f t="shared" si="13"/>
        <v>46023</v>
      </c>
      <c r="R168" s="445">
        <f t="shared" si="9"/>
        <v>214</v>
      </c>
      <c r="S168" s="445">
        <f t="shared" si="10"/>
        <v>7.1333333333333337</v>
      </c>
      <c r="U168" s="445">
        <f t="shared" si="11"/>
        <v>0.59444444444444444</v>
      </c>
    </row>
    <row r="169" spans="1:24 16381:16381" ht="21.95" customHeight="1" x14ac:dyDescent="0.2">
      <c r="A169" s="565" t="str">
        <f>Biodata!A26</f>
        <v>CITI08</v>
      </c>
      <c r="B169" s="325" t="str">
        <f>Biodata!B26</f>
        <v>Francis</v>
      </c>
      <c r="C169" s="433">
        <v>0</v>
      </c>
      <c r="D169" s="435">
        <v>0</v>
      </c>
      <c r="E169" s="436">
        <v>0</v>
      </c>
      <c r="F169" s="328">
        <f>Biodata!F26</f>
        <v>70000</v>
      </c>
      <c r="G169" s="107">
        <v>1</v>
      </c>
      <c r="H169" s="227">
        <v>0</v>
      </c>
      <c r="I169" s="108">
        <v>12</v>
      </c>
      <c r="J169" s="672"/>
      <c r="K169" s="673"/>
      <c r="L169" s="674"/>
      <c r="M169" s="230" t="str">
        <f t="shared" si="12"/>
        <v>loan not require</v>
      </c>
      <c r="N169" s="231"/>
      <c r="P169" s="444">
        <f>IF(B169="vacant","",Biodata!M26)</f>
        <v>45241</v>
      </c>
      <c r="Q169" s="442">
        <f t="shared" si="13"/>
        <v>46023</v>
      </c>
      <c r="R169" s="445">
        <f t="shared" si="9"/>
        <v>782</v>
      </c>
      <c r="S169" s="445">
        <f t="shared" si="10"/>
        <v>26.066666666666666</v>
      </c>
      <c r="U169" s="445">
        <f t="shared" si="11"/>
        <v>2.1722222222222221</v>
      </c>
    </row>
    <row r="170" spans="1:24 16381:16381" ht="21.95" customHeight="1" x14ac:dyDescent="0.2">
      <c r="A170" s="565" t="str">
        <f>Biodata!A27</f>
        <v>CITI09</v>
      </c>
      <c r="B170" s="325" t="str">
        <f>Biodata!B27</f>
        <v>Stenala</v>
      </c>
      <c r="C170" s="433">
        <v>0</v>
      </c>
      <c r="D170" s="435">
        <v>0</v>
      </c>
      <c r="E170" s="436">
        <v>0</v>
      </c>
      <c r="F170" s="328">
        <f>Biodata!F27</f>
        <v>70000</v>
      </c>
      <c r="G170" s="107">
        <v>1</v>
      </c>
      <c r="H170" s="227">
        <v>0</v>
      </c>
      <c r="I170" s="108">
        <v>12</v>
      </c>
      <c r="J170" s="672"/>
      <c r="K170" s="673"/>
      <c r="L170" s="674"/>
      <c r="M170" s="230" t="str">
        <f t="shared" si="12"/>
        <v>loan not require</v>
      </c>
      <c r="N170" s="231"/>
      <c r="P170" s="444">
        <f>IF(B170="vacant","",Biodata!M27)</f>
        <v>45533</v>
      </c>
      <c r="Q170" s="442">
        <f t="shared" si="13"/>
        <v>46023</v>
      </c>
      <c r="R170" s="445">
        <f t="shared" si="9"/>
        <v>490</v>
      </c>
      <c r="S170" s="445">
        <f t="shared" si="10"/>
        <v>16.333333333333332</v>
      </c>
      <c r="U170" s="445">
        <f t="shared" si="11"/>
        <v>1.3611111111111109</v>
      </c>
    </row>
    <row r="171" spans="1:24 16381:16381" s="64" customFormat="1" ht="21.95" customHeight="1" x14ac:dyDescent="0.2">
      <c r="A171" s="565" t="str">
        <f>Biodata!A28</f>
        <v>CITI10</v>
      </c>
      <c r="B171" s="325" t="str">
        <f>Biodata!B28</f>
        <v>Simikizani</v>
      </c>
      <c r="C171" s="433">
        <v>0</v>
      </c>
      <c r="D171" s="435">
        <v>0</v>
      </c>
      <c r="E171" s="436">
        <v>0</v>
      </c>
      <c r="F171" s="328">
        <f>Biodata!F28</f>
        <v>70000</v>
      </c>
      <c r="G171" s="107">
        <v>1</v>
      </c>
      <c r="H171" s="227">
        <v>0</v>
      </c>
      <c r="I171" s="108">
        <v>12</v>
      </c>
      <c r="J171" s="693"/>
      <c r="K171" s="673"/>
      <c r="L171" s="674"/>
      <c r="M171" s="230" t="str">
        <f t="shared" si="12"/>
        <v>loan not require</v>
      </c>
      <c r="N171" s="231"/>
      <c r="P171" s="444">
        <f>IF(B171="vacant","",Biodata!M28)</f>
        <v>45163</v>
      </c>
      <c r="Q171" s="442">
        <f t="shared" si="13"/>
        <v>46023</v>
      </c>
      <c r="R171" s="445">
        <f t="shared" si="9"/>
        <v>860</v>
      </c>
      <c r="S171" s="445">
        <f t="shared" si="10"/>
        <v>28.666666666666668</v>
      </c>
      <c r="T171"/>
      <c r="U171" s="445">
        <f t="shared" si="11"/>
        <v>2.3888888888888888</v>
      </c>
      <c r="V171"/>
      <c r="W171"/>
      <c r="X171"/>
    </row>
    <row r="172" spans="1:24 16381:16381" ht="21.95" customHeight="1" x14ac:dyDescent="0.2">
      <c r="A172" s="565" t="str">
        <f>Biodata!A29</f>
        <v>CITI11</v>
      </c>
      <c r="B172" s="325" t="str">
        <f>Biodata!B29</f>
        <v>Amini</v>
      </c>
      <c r="C172" s="433">
        <v>0</v>
      </c>
      <c r="D172" s="435">
        <v>0</v>
      </c>
      <c r="E172" s="436">
        <v>0</v>
      </c>
      <c r="F172" s="328">
        <f>Biodata!F29</f>
        <v>70000</v>
      </c>
      <c r="G172" s="107">
        <v>1</v>
      </c>
      <c r="H172" s="227">
        <v>0</v>
      </c>
      <c r="I172" s="108">
        <v>12</v>
      </c>
      <c r="J172" s="672"/>
      <c r="K172" s="673"/>
      <c r="L172" s="674"/>
      <c r="M172" s="230" t="str">
        <f t="shared" si="12"/>
        <v>loan not require</v>
      </c>
      <c r="N172" s="231"/>
      <c r="P172" s="444">
        <f>IF(B172="vacant","",Biodata!M29)</f>
        <v>45838</v>
      </c>
      <c r="Q172" s="442">
        <f t="shared" si="13"/>
        <v>46023</v>
      </c>
      <c r="R172" s="445">
        <f t="shared" si="9"/>
        <v>185</v>
      </c>
      <c r="S172" s="445">
        <f t="shared" si="10"/>
        <v>6.166666666666667</v>
      </c>
      <c r="U172" s="445">
        <f t="shared" si="11"/>
        <v>0.51388888888888895</v>
      </c>
    </row>
    <row r="173" spans="1:24 16381:16381" ht="21.95" customHeight="1" x14ac:dyDescent="0.2">
      <c r="A173" s="565" t="str">
        <f>Biodata!A35</f>
        <v>CITI12</v>
      </c>
      <c r="B173" s="325" t="str">
        <f>Biodata!B35</f>
        <v>Tayifolo</v>
      </c>
      <c r="C173" s="433">
        <v>0</v>
      </c>
      <c r="D173" s="435">
        <v>0</v>
      </c>
      <c r="E173" s="436">
        <v>0</v>
      </c>
      <c r="F173" s="328">
        <f>Biodata!F35</f>
        <v>120000</v>
      </c>
      <c r="G173" s="107">
        <v>1</v>
      </c>
      <c r="H173" s="227">
        <v>0</v>
      </c>
      <c r="I173" s="108">
        <v>12</v>
      </c>
      <c r="J173" s="672"/>
      <c r="K173" s="673"/>
      <c r="L173" s="674"/>
      <c r="M173" s="230" t="str">
        <f t="shared" si="12"/>
        <v>loan not require</v>
      </c>
      <c r="N173" s="231"/>
      <c r="P173" s="444">
        <f>IF(B173="vacant","",Biodata!M35)</f>
        <v>45533</v>
      </c>
      <c r="Q173" s="442">
        <f t="shared" si="13"/>
        <v>46023</v>
      </c>
      <c r="R173" s="445">
        <f t="shared" si="9"/>
        <v>490</v>
      </c>
      <c r="S173" s="445">
        <f t="shared" si="10"/>
        <v>16.333333333333332</v>
      </c>
      <c r="U173" s="445">
        <f t="shared" si="11"/>
        <v>1.3611111111111109</v>
      </c>
    </row>
    <row r="174" spans="1:24 16381:16381" ht="21.95" customHeight="1" x14ac:dyDescent="0.2">
      <c r="A174" s="565" t="str">
        <f>Biodata!A36</f>
        <v>CITI13</v>
      </c>
      <c r="B174" s="325" t="str">
        <f>Biodata!B36</f>
        <v>Monica</v>
      </c>
      <c r="C174" s="433">
        <v>0</v>
      </c>
      <c r="D174" s="435">
        <v>0</v>
      </c>
      <c r="E174" s="436">
        <v>0</v>
      </c>
      <c r="F174" s="328">
        <f>Biodata!F36</f>
        <v>80000</v>
      </c>
      <c r="G174" s="107">
        <v>1</v>
      </c>
      <c r="H174" s="227">
        <v>0</v>
      </c>
      <c r="I174" s="108">
        <v>12</v>
      </c>
      <c r="J174" s="672"/>
      <c r="K174" s="673"/>
      <c r="L174" s="674"/>
      <c r="M174" s="230" t="str">
        <f t="shared" si="12"/>
        <v>loan not require</v>
      </c>
      <c r="N174" s="231"/>
      <c r="P174" s="444">
        <f>IF(B174="vacant","",Biodata!M36)</f>
        <v>45385</v>
      </c>
      <c r="Q174" s="442">
        <f t="shared" si="13"/>
        <v>46023</v>
      </c>
      <c r="R174" s="445">
        <f t="shared" si="9"/>
        <v>638</v>
      </c>
      <c r="S174" s="445">
        <f t="shared" si="10"/>
        <v>21.266666666666666</v>
      </c>
      <c r="U174" s="445">
        <f t="shared" si="11"/>
        <v>1.7722222222222221</v>
      </c>
    </row>
    <row r="175" spans="1:24 16381:16381" ht="21.95" customHeight="1" x14ac:dyDescent="0.2">
      <c r="A175" s="565" t="str">
        <f>Biodata!A37</f>
        <v>CITI14</v>
      </c>
      <c r="B175" s="325" t="str">
        <f>Biodata!B37</f>
        <v>Madalitso</v>
      </c>
      <c r="C175" s="433">
        <v>0</v>
      </c>
      <c r="D175" s="435">
        <v>0</v>
      </c>
      <c r="E175" s="436">
        <v>0</v>
      </c>
      <c r="F175" s="328">
        <f>Biodata!F37</f>
        <v>90000</v>
      </c>
      <c r="G175" s="107">
        <v>1</v>
      </c>
      <c r="H175" s="227">
        <v>0</v>
      </c>
      <c r="I175" s="108">
        <v>12</v>
      </c>
      <c r="J175" s="672"/>
      <c r="K175" s="673"/>
      <c r="L175" s="674"/>
      <c r="M175" s="230" t="str">
        <f t="shared" si="12"/>
        <v>loan not require</v>
      </c>
      <c r="N175" s="231"/>
      <c r="P175" s="444">
        <f>IF(B175="vacant","",Biodata!M37)</f>
        <v>45663</v>
      </c>
      <c r="Q175" s="442">
        <f t="shared" si="13"/>
        <v>46023</v>
      </c>
      <c r="R175" s="445">
        <f t="shared" si="9"/>
        <v>360</v>
      </c>
      <c r="S175" s="445">
        <f t="shared" si="10"/>
        <v>12</v>
      </c>
      <c r="U175" s="445">
        <f t="shared" si="11"/>
        <v>1</v>
      </c>
    </row>
    <row r="176" spans="1:24 16381:16381" ht="21.95" customHeight="1" x14ac:dyDescent="0.2">
      <c r="A176" s="565" t="str">
        <f>Biodata!A43</f>
        <v>CITI15</v>
      </c>
      <c r="B176" s="325" t="str">
        <f>Biodata!B43</f>
        <v>Peter</v>
      </c>
      <c r="C176" s="433">
        <v>0</v>
      </c>
      <c r="D176" s="435">
        <v>0</v>
      </c>
      <c r="E176" s="436">
        <v>0</v>
      </c>
      <c r="F176" s="328">
        <f>Biodata!F43</f>
        <v>60000</v>
      </c>
      <c r="G176" s="107">
        <v>1</v>
      </c>
      <c r="H176" s="227">
        <v>0</v>
      </c>
      <c r="I176" s="108">
        <v>12</v>
      </c>
      <c r="J176" s="672"/>
      <c r="K176" s="673"/>
      <c r="L176" s="674"/>
      <c r="M176" s="230" t="str">
        <f t="shared" si="12"/>
        <v>loan not require</v>
      </c>
      <c r="N176" s="231"/>
      <c r="P176" s="444">
        <f>IF(B176="vacant","",Biodata!M43)</f>
        <v>45558</v>
      </c>
      <c r="Q176" s="442">
        <f t="shared" si="13"/>
        <v>46023</v>
      </c>
      <c r="R176" s="445">
        <f t="shared" si="9"/>
        <v>465</v>
      </c>
      <c r="S176" s="445">
        <f t="shared" si="10"/>
        <v>15.5</v>
      </c>
      <c r="U176" s="445">
        <f t="shared" si="11"/>
        <v>1.2916666666666667</v>
      </c>
      <c r="XFA176" s="73" t="s">
        <v>81</v>
      </c>
    </row>
    <row r="177" spans="1:21" ht="21.95" customHeight="1" x14ac:dyDescent="0.2">
      <c r="A177" s="565" t="str">
        <f>Biodata!A44</f>
        <v>CITI16</v>
      </c>
      <c r="B177" s="325" t="str">
        <f>Biodata!B44</f>
        <v>Maggie</v>
      </c>
      <c r="C177" s="433">
        <v>0</v>
      </c>
      <c r="D177" s="435">
        <v>0</v>
      </c>
      <c r="E177" s="436">
        <v>0</v>
      </c>
      <c r="F177" s="328">
        <f>Biodata!F44</f>
        <v>80000</v>
      </c>
      <c r="G177" s="107">
        <v>1</v>
      </c>
      <c r="H177" s="227">
        <v>0</v>
      </c>
      <c r="I177" s="108">
        <v>12</v>
      </c>
      <c r="J177" s="672"/>
      <c r="K177" s="673"/>
      <c r="L177" s="674"/>
      <c r="M177" s="230" t="str">
        <f t="shared" si="12"/>
        <v>loan not require</v>
      </c>
      <c r="N177" s="231"/>
      <c r="P177" s="444">
        <f>IF(B177="vacant","",Biodata!M44)</f>
        <v>45421</v>
      </c>
      <c r="Q177" s="442">
        <f t="shared" si="13"/>
        <v>46023</v>
      </c>
      <c r="R177" s="445">
        <f t="shared" si="9"/>
        <v>602</v>
      </c>
      <c r="S177" s="445">
        <f t="shared" si="10"/>
        <v>20.066666666666666</v>
      </c>
      <c r="U177" s="445">
        <f t="shared" si="11"/>
        <v>1.6722222222222223</v>
      </c>
    </row>
    <row r="178" spans="1:21" ht="21.95" customHeight="1" x14ac:dyDescent="0.2">
      <c r="A178" s="565" t="str">
        <f>Biodata!A45</f>
        <v>CITI17</v>
      </c>
      <c r="B178" s="325" t="str">
        <f>Biodata!B45</f>
        <v>vacant</v>
      </c>
      <c r="C178" s="433">
        <v>0</v>
      </c>
      <c r="D178" s="435">
        <v>0</v>
      </c>
      <c r="E178" s="436">
        <v>0</v>
      </c>
      <c r="F178" s="328">
        <f>Biodata!F45</f>
        <v>0</v>
      </c>
      <c r="G178" s="107">
        <v>9</v>
      </c>
      <c r="H178" s="227">
        <v>100000</v>
      </c>
      <c r="I178" s="108">
        <v>10</v>
      </c>
      <c r="J178" s="672"/>
      <c r="K178" s="673"/>
      <c r="L178" s="674"/>
      <c r="M178" s="230" t="str">
        <f t="shared" si="12"/>
        <v>employee does not exist</v>
      </c>
      <c r="N178" s="231"/>
      <c r="P178" s="444" t="str">
        <f>IF(B178="vacant","",Biodata!M45)</f>
        <v/>
      </c>
      <c r="Q178" s="442">
        <f t="shared" si="13"/>
        <v>46023</v>
      </c>
      <c r="R178" s="445">
        <f t="shared" si="9"/>
        <v>0</v>
      </c>
      <c r="S178" s="445">
        <f t="shared" si="10"/>
        <v>0</v>
      </c>
      <c r="U178" s="445">
        <f t="shared" si="11"/>
        <v>0</v>
      </c>
    </row>
    <row r="179" spans="1:21" ht="21.95" customHeight="1" x14ac:dyDescent="0.2">
      <c r="A179" s="565" t="str">
        <f>Biodata!A46</f>
        <v>CITI18</v>
      </c>
      <c r="B179" s="325" t="str">
        <f>Biodata!B46</f>
        <v>Esnat</v>
      </c>
      <c r="C179" s="433">
        <v>0</v>
      </c>
      <c r="D179" s="435">
        <v>0</v>
      </c>
      <c r="E179" s="436">
        <v>0</v>
      </c>
      <c r="F179" s="328">
        <f>Biodata!F46</f>
        <v>80000</v>
      </c>
      <c r="G179" s="107">
        <v>1</v>
      </c>
      <c r="H179" s="227">
        <v>0</v>
      </c>
      <c r="I179" s="108">
        <v>12</v>
      </c>
      <c r="J179" s="672"/>
      <c r="K179" s="673"/>
      <c r="L179" s="674"/>
      <c r="M179" s="230" t="str">
        <f t="shared" si="12"/>
        <v>loan not require</v>
      </c>
      <c r="N179" s="231"/>
      <c r="P179" s="444">
        <f>IF(B179="vacant","",Biodata!M46)</f>
        <v>45901</v>
      </c>
      <c r="Q179" s="442">
        <f t="shared" si="13"/>
        <v>46023</v>
      </c>
      <c r="R179" s="445">
        <f t="shared" si="9"/>
        <v>122</v>
      </c>
      <c r="S179" s="445">
        <f t="shared" si="10"/>
        <v>4.0666666666666664</v>
      </c>
      <c r="U179" s="445">
        <f t="shared" si="11"/>
        <v>0.33888888888888885</v>
      </c>
    </row>
    <row r="180" spans="1:21" ht="21.95" customHeight="1" x14ac:dyDescent="0.2">
      <c r="A180" s="565" t="str">
        <f>Biodata!A53</f>
        <v>CITI19</v>
      </c>
      <c r="B180" s="325" t="str">
        <f>Biodata!B53</f>
        <v>Martin</v>
      </c>
      <c r="C180" s="433">
        <v>0</v>
      </c>
      <c r="D180" s="435">
        <v>0</v>
      </c>
      <c r="E180" s="436">
        <v>0</v>
      </c>
      <c r="F180" s="328">
        <f>Biodata!F53</f>
        <v>70000</v>
      </c>
      <c r="G180" s="107">
        <v>1</v>
      </c>
      <c r="H180" s="227">
        <v>0</v>
      </c>
      <c r="I180" s="108">
        <v>12</v>
      </c>
      <c r="J180" s="672"/>
      <c r="K180" s="673"/>
      <c r="L180" s="674"/>
      <c r="M180" s="230" t="str">
        <f t="shared" si="12"/>
        <v>loan not require</v>
      </c>
      <c r="N180" s="231"/>
      <c r="P180" s="444">
        <f>IF(B180="vacant","",Biodata!M53)</f>
        <v>45870</v>
      </c>
      <c r="Q180" s="442">
        <f t="shared" si="13"/>
        <v>46023</v>
      </c>
      <c r="R180" s="445">
        <f t="shared" si="9"/>
        <v>153</v>
      </c>
      <c r="S180" s="445">
        <f t="shared" si="10"/>
        <v>5.0999999999999996</v>
      </c>
      <c r="U180" s="445">
        <f t="shared" si="11"/>
        <v>0.42499999999999999</v>
      </c>
    </row>
    <row r="181" spans="1:21" ht="21.95" customHeight="1" x14ac:dyDescent="0.2">
      <c r="A181" s="565" t="str">
        <f>Biodata!A54</f>
        <v>CITI20</v>
      </c>
      <c r="B181" s="325" t="str">
        <f>Biodata!B54</f>
        <v>Daniel</v>
      </c>
      <c r="C181" s="433">
        <v>0</v>
      </c>
      <c r="D181" s="435">
        <v>0</v>
      </c>
      <c r="E181" s="436">
        <v>0</v>
      </c>
      <c r="F181" s="328">
        <f>Biodata!F54</f>
        <v>70000</v>
      </c>
      <c r="G181" s="107">
        <v>1</v>
      </c>
      <c r="H181" s="227">
        <v>0</v>
      </c>
      <c r="I181" s="108">
        <v>12</v>
      </c>
      <c r="J181" s="672"/>
      <c r="K181" s="673"/>
      <c r="L181" s="674"/>
      <c r="M181" s="230" t="str">
        <f t="shared" si="12"/>
        <v>loan not require</v>
      </c>
      <c r="N181" s="231"/>
      <c r="P181" s="444">
        <f>IF(B181="vacant","",Biodata!M54)</f>
        <v>45658</v>
      </c>
      <c r="Q181" s="442">
        <f t="shared" si="13"/>
        <v>46023</v>
      </c>
      <c r="R181" s="445">
        <f t="shared" si="9"/>
        <v>365</v>
      </c>
      <c r="S181" s="445">
        <f t="shared" si="10"/>
        <v>12.166666666666666</v>
      </c>
      <c r="U181" s="445">
        <f t="shared" si="11"/>
        <v>1.0138888888888888</v>
      </c>
    </row>
    <row r="182" spans="1:21" ht="21.95" customHeight="1" x14ac:dyDescent="0.2">
      <c r="A182" s="565" t="str">
        <f>Biodata!A55</f>
        <v>CITI21</v>
      </c>
      <c r="B182" s="325" t="str">
        <f>Biodata!B55</f>
        <v>Elizabeth</v>
      </c>
      <c r="C182" s="433">
        <v>0</v>
      </c>
      <c r="D182" s="435">
        <v>0</v>
      </c>
      <c r="E182" s="436">
        <v>0</v>
      </c>
      <c r="F182" s="328">
        <f>Biodata!F55</f>
        <v>20000</v>
      </c>
      <c r="G182" s="107">
        <v>1</v>
      </c>
      <c r="H182" s="227">
        <v>0</v>
      </c>
      <c r="I182" s="108">
        <v>12</v>
      </c>
      <c r="J182" s="672"/>
      <c r="K182" s="673"/>
      <c r="L182" s="674"/>
      <c r="M182" s="230" t="str">
        <f t="shared" si="12"/>
        <v>loan not require</v>
      </c>
      <c r="N182" s="231"/>
      <c r="P182" s="444">
        <f>IF(B182="vacant","",Biodata!M55)</f>
        <v>45870</v>
      </c>
      <c r="Q182" s="442">
        <f t="shared" si="13"/>
        <v>46023</v>
      </c>
      <c r="R182" s="445">
        <f t="shared" si="9"/>
        <v>153</v>
      </c>
      <c r="S182" s="445">
        <f t="shared" si="10"/>
        <v>5.0999999999999996</v>
      </c>
      <c r="U182" s="445">
        <f t="shared" si="11"/>
        <v>0.42499999999999999</v>
      </c>
    </row>
    <row r="183" spans="1:21" ht="21.95" customHeight="1" x14ac:dyDescent="0.2">
      <c r="A183" s="565" t="str">
        <f>Biodata!A56</f>
        <v>CITI22</v>
      </c>
      <c r="B183" s="325" t="str">
        <f>Biodata!B56</f>
        <v>vacant</v>
      </c>
      <c r="C183" s="433">
        <v>0</v>
      </c>
      <c r="D183" s="435">
        <v>0</v>
      </c>
      <c r="E183" s="436">
        <v>0</v>
      </c>
      <c r="F183" s="328">
        <f>Biodata!F56</f>
        <v>0</v>
      </c>
      <c r="G183" s="107">
        <v>1</v>
      </c>
      <c r="H183" s="227">
        <v>0</v>
      </c>
      <c r="I183" s="108">
        <v>12</v>
      </c>
      <c r="J183" s="334"/>
      <c r="K183" s="335"/>
      <c r="L183" s="336"/>
      <c r="M183" s="230" t="str">
        <f t="shared" si="12"/>
        <v>employee does not exist</v>
      </c>
      <c r="N183" s="231"/>
      <c r="P183" s="444" t="str">
        <f>IF(B183="vacant","",Biodata!M61)</f>
        <v/>
      </c>
      <c r="Q183" s="442">
        <f t="shared" si="13"/>
        <v>46023</v>
      </c>
      <c r="R183" s="445">
        <f t="shared" si="9"/>
        <v>0</v>
      </c>
      <c r="S183" s="445">
        <f t="shared" si="10"/>
        <v>0</v>
      </c>
      <c r="U183" s="445">
        <f t="shared" si="11"/>
        <v>0</v>
      </c>
    </row>
    <row r="184" spans="1:21" ht="21.95" customHeight="1" x14ac:dyDescent="0.2">
      <c r="A184" s="565" t="str">
        <f>Biodata!A62</f>
        <v>CITI23</v>
      </c>
      <c r="B184" s="325" t="str">
        <f>Biodata!B62</f>
        <v>William</v>
      </c>
      <c r="C184" s="433">
        <v>0</v>
      </c>
      <c r="D184" s="435">
        <v>0</v>
      </c>
      <c r="E184" s="436">
        <v>0</v>
      </c>
      <c r="F184" s="328">
        <f>Biodata!F62</f>
        <v>150000</v>
      </c>
      <c r="G184" s="107">
        <v>0</v>
      </c>
      <c r="H184" s="227">
        <v>0</v>
      </c>
      <c r="I184" s="108">
        <v>10</v>
      </c>
      <c r="J184" s="672" t="s">
        <v>335</v>
      </c>
      <c r="K184" s="673"/>
      <c r="L184" s="674"/>
      <c r="M184" s="230" t="str">
        <f t="shared" si="12"/>
        <v xml:space="preserve">   </v>
      </c>
      <c r="N184" s="231"/>
      <c r="P184" s="444">
        <f>IF(B184="vacant","",Biodata!M62)</f>
        <v>45962</v>
      </c>
      <c r="Q184" s="442">
        <f t="shared" si="13"/>
        <v>46023</v>
      </c>
      <c r="R184" s="445">
        <f t="shared" si="9"/>
        <v>61</v>
      </c>
      <c r="S184" s="445">
        <f t="shared" si="10"/>
        <v>2.0333333333333332</v>
      </c>
      <c r="U184" s="445">
        <f t="shared" si="11"/>
        <v>0.16944444444444443</v>
      </c>
    </row>
    <row r="185" spans="1:21" ht="21.95" customHeight="1" x14ac:dyDescent="0.2">
      <c r="A185" s="565" t="str">
        <f>Biodata!A63</f>
        <v>CITI24</v>
      </c>
      <c r="B185" s="325" t="str">
        <f>Biodata!B63</f>
        <v>vacant</v>
      </c>
      <c r="C185" s="433">
        <v>0</v>
      </c>
      <c r="D185" s="435">
        <v>0</v>
      </c>
      <c r="E185" s="436">
        <v>0</v>
      </c>
      <c r="F185" s="328">
        <f>Biodata!F63</f>
        <v>0</v>
      </c>
      <c r="G185" s="107">
        <v>1</v>
      </c>
      <c r="H185" s="227">
        <v>0</v>
      </c>
      <c r="I185" s="108">
        <v>12</v>
      </c>
      <c r="J185" s="672"/>
      <c r="K185" s="673"/>
      <c r="L185" s="674"/>
      <c r="M185" s="230" t="str">
        <f t="shared" si="12"/>
        <v>employee does not exist</v>
      </c>
      <c r="N185" s="231"/>
      <c r="P185" s="444" t="str">
        <f>IF(B185="vacant","",Biodata!M63)</f>
        <v/>
      </c>
      <c r="Q185" s="442">
        <f t="shared" si="13"/>
        <v>46023</v>
      </c>
      <c r="R185" s="445">
        <f t="shared" si="9"/>
        <v>0</v>
      </c>
      <c r="S185" s="445">
        <f t="shared" si="10"/>
        <v>0</v>
      </c>
      <c r="U185" s="445">
        <f t="shared" si="11"/>
        <v>0</v>
      </c>
    </row>
    <row r="186" spans="1:21" ht="21.95" customHeight="1" x14ac:dyDescent="0.2">
      <c r="A186" s="565" t="str">
        <f>Biodata!A64</f>
        <v>CITI25</v>
      </c>
      <c r="B186" s="325">
        <f>Biodata!B64</f>
        <v>0</v>
      </c>
      <c r="C186" s="433">
        <v>0</v>
      </c>
      <c r="D186" s="435">
        <v>0</v>
      </c>
      <c r="E186" s="436">
        <v>0</v>
      </c>
      <c r="F186" s="328">
        <f>Biodata!F64</f>
        <v>0</v>
      </c>
      <c r="G186" s="150">
        <v>1</v>
      </c>
      <c r="H186" s="228">
        <v>0</v>
      </c>
      <c r="I186" s="108">
        <v>12</v>
      </c>
      <c r="J186" s="672"/>
      <c r="K186" s="673"/>
      <c r="L186" s="674"/>
      <c r="M186" s="230" t="str">
        <f t="shared" si="12"/>
        <v>employee exited</v>
      </c>
      <c r="N186" s="231"/>
      <c r="P186" s="444">
        <f>IF(B186="vacant","",Biodata!M64)</f>
        <v>45386</v>
      </c>
      <c r="Q186" s="442">
        <f t="shared" si="13"/>
        <v>46023</v>
      </c>
      <c r="R186" s="445">
        <f t="shared" si="9"/>
        <v>637</v>
      </c>
      <c r="S186" s="445">
        <f t="shared" si="10"/>
        <v>21.233333333333334</v>
      </c>
      <c r="U186" s="445">
        <f t="shared" si="11"/>
        <v>1.7694444444444446</v>
      </c>
    </row>
    <row r="187" spans="1:21" ht="21.95" customHeight="1" x14ac:dyDescent="0.2">
      <c r="A187" s="565" t="str">
        <f>Biodata!A65</f>
        <v>CITI26</v>
      </c>
      <c r="B187" s="325" t="str">
        <f>Biodata!B65</f>
        <v>vacant</v>
      </c>
      <c r="C187" s="433">
        <v>0</v>
      </c>
      <c r="D187" s="435">
        <v>0</v>
      </c>
      <c r="E187" s="436">
        <v>0</v>
      </c>
      <c r="F187" s="328">
        <f>Biodata!F65</f>
        <v>0</v>
      </c>
      <c r="G187" s="150">
        <v>1</v>
      </c>
      <c r="H187" s="228">
        <v>0</v>
      </c>
      <c r="I187" s="108">
        <v>12</v>
      </c>
      <c r="J187" s="672"/>
      <c r="K187" s="673"/>
      <c r="L187" s="674"/>
      <c r="M187" s="230" t="str">
        <f t="shared" si="12"/>
        <v>employee does not exist</v>
      </c>
      <c r="N187" s="231"/>
      <c r="P187" s="444" t="str">
        <f>IF(B187="vacant","",Biodata!M65)</f>
        <v/>
      </c>
      <c r="Q187" s="442">
        <f t="shared" si="13"/>
        <v>46023</v>
      </c>
      <c r="R187" s="445">
        <f t="shared" si="9"/>
        <v>0</v>
      </c>
      <c r="S187" s="445">
        <f t="shared" si="10"/>
        <v>0</v>
      </c>
      <c r="U187" s="445">
        <f t="shared" si="11"/>
        <v>0</v>
      </c>
    </row>
    <row r="188" spans="1:21" ht="21.95" customHeight="1" x14ac:dyDescent="0.2">
      <c r="A188" s="565" t="str">
        <f>Biodata!A66</f>
        <v>CITI27</v>
      </c>
      <c r="B188" s="325" t="str">
        <f>Biodata!B66</f>
        <v>Yankho</v>
      </c>
      <c r="C188" s="433">
        <v>0</v>
      </c>
      <c r="D188" s="435">
        <v>0</v>
      </c>
      <c r="E188" s="436">
        <v>0</v>
      </c>
      <c r="F188" s="328">
        <f>Biodata!F66</f>
        <v>120000</v>
      </c>
      <c r="G188" s="150">
        <v>1</v>
      </c>
      <c r="H188" s="228">
        <v>0</v>
      </c>
      <c r="I188" s="108">
        <v>12</v>
      </c>
      <c r="J188" s="672"/>
      <c r="K188" s="673"/>
      <c r="L188" s="674"/>
      <c r="M188" s="230" t="str">
        <f t="shared" ref="M188:M193" si="14">IF(B188="vacant","employee does not exist",IF(G188&gt;$C$4,"wrong month, loan not granted",IF(G188&lt;&gt;INT(G188),"wrong month, loan not granted",IF(F188=0,"employee exited",IF(G188=0,"   ",IF(H188=0,"loan not require","recommend for approval"))))))</f>
        <v>loan not require</v>
      </c>
      <c r="N188" s="231"/>
      <c r="P188" s="444">
        <f>IF(B188="vacant","",Biodata!M66)</f>
        <v>45481</v>
      </c>
      <c r="Q188" s="442">
        <f t="shared" si="13"/>
        <v>46023</v>
      </c>
      <c r="R188" s="445">
        <f t="shared" si="9"/>
        <v>542</v>
      </c>
      <c r="S188" s="445">
        <f t="shared" si="10"/>
        <v>18.066666666666666</v>
      </c>
      <c r="U188" s="445">
        <f t="shared" si="11"/>
        <v>1.5055555555555555</v>
      </c>
    </row>
    <row r="189" spans="1:21" ht="21.95" customHeight="1" x14ac:dyDescent="0.2">
      <c r="A189" s="565" t="str">
        <f>Biodata!A73</f>
        <v>CITI28</v>
      </c>
      <c r="B189" s="325" t="str">
        <f>Biodata!B73</f>
        <v xml:space="preserve">Agness </v>
      </c>
      <c r="C189" s="433">
        <v>0</v>
      </c>
      <c r="D189" s="435">
        <v>0</v>
      </c>
      <c r="E189" s="436">
        <v>0</v>
      </c>
      <c r="F189" s="328">
        <f>Biodata!F73</f>
        <v>80000</v>
      </c>
      <c r="G189" s="150">
        <v>1</v>
      </c>
      <c r="H189" s="228">
        <v>0</v>
      </c>
      <c r="I189" s="108">
        <v>12</v>
      </c>
      <c r="J189" s="672"/>
      <c r="K189" s="673"/>
      <c r="L189" s="674"/>
      <c r="M189" s="230" t="str">
        <f t="shared" si="14"/>
        <v>loan not require</v>
      </c>
      <c r="N189" s="231"/>
      <c r="P189" s="444">
        <f>IF(B189="vacant","",Biodata!M73)</f>
        <v>45853</v>
      </c>
      <c r="Q189" s="442">
        <f t="shared" si="13"/>
        <v>46023</v>
      </c>
      <c r="R189" s="445">
        <f t="shared" si="9"/>
        <v>170</v>
      </c>
      <c r="S189" s="445">
        <f t="shared" si="10"/>
        <v>5.666666666666667</v>
      </c>
      <c r="U189" s="445">
        <f t="shared" si="11"/>
        <v>0.47222222222222227</v>
      </c>
    </row>
    <row r="190" spans="1:21" ht="21.95" customHeight="1" x14ac:dyDescent="0.2">
      <c r="A190" s="565" t="str">
        <f>Biodata!A74</f>
        <v>CITI29</v>
      </c>
      <c r="B190" s="325" t="str">
        <f>Biodata!B74</f>
        <v>Elizabeth</v>
      </c>
      <c r="C190" s="433">
        <v>0</v>
      </c>
      <c r="D190" s="435">
        <v>0</v>
      </c>
      <c r="E190" s="436">
        <v>0</v>
      </c>
      <c r="F190" s="328">
        <f>Biodata!F74</f>
        <v>100000</v>
      </c>
      <c r="G190" s="150">
        <v>1</v>
      </c>
      <c r="H190" s="228">
        <v>0</v>
      </c>
      <c r="I190" s="108">
        <v>12</v>
      </c>
      <c r="J190" s="672"/>
      <c r="K190" s="673"/>
      <c r="L190" s="674"/>
      <c r="M190" s="230" t="str">
        <f t="shared" si="14"/>
        <v>loan not require</v>
      </c>
      <c r="N190" s="231"/>
      <c r="P190" s="444">
        <f>IF(B190="vacant","",Biodata!M74)</f>
        <v>45890</v>
      </c>
      <c r="Q190" s="442">
        <f t="shared" si="13"/>
        <v>46023</v>
      </c>
      <c r="R190" s="445">
        <f>IF(B190="vacant",0,DATEDIF(P190,Q190,"D"))</f>
        <v>133</v>
      </c>
      <c r="S190" s="445">
        <f>IF(B190="vacant",0,R190/30)</f>
        <v>4.4333333333333336</v>
      </c>
      <c r="U190" s="445">
        <f>IF(B190="vacant",0,S190/12)</f>
        <v>0.36944444444444446</v>
      </c>
    </row>
    <row r="191" spans="1:21" ht="21.95" customHeight="1" x14ac:dyDescent="0.2">
      <c r="A191" s="565" t="str">
        <f>Biodata!A75</f>
        <v>CITI30</v>
      </c>
      <c r="B191" s="325" t="str">
        <f>Biodata!B75</f>
        <v>vacant</v>
      </c>
      <c r="C191" s="433">
        <v>0</v>
      </c>
      <c r="D191" s="435">
        <v>0</v>
      </c>
      <c r="E191" s="436">
        <v>0</v>
      </c>
      <c r="F191" s="328">
        <f>Biodata!F75</f>
        <v>0</v>
      </c>
      <c r="G191" s="150">
        <v>1</v>
      </c>
      <c r="H191" s="228">
        <v>0</v>
      </c>
      <c r="I191" s="108">
        <v>12</v>
      </c>
      <c r="J191" s="672"/>
      <c r="K191" s="673"/>
      <c r="L191" s="674"/>
      <c r="M191" s="230" t="str">
        <f t="shared" si="14"/>
        <v>employee does not exist</v>
      </c>
      <c r="N191" s="231"/>
      <c r="P191" s="444" t="str">
        <f>IF(B191="vacant","",Biodata!M75)</f>
        <v/>
      </c>
      <c r="Q191" s="442">
        <f t="shared" si="13"/>
        <v>46023</v>
      </c>
      <c r="R191" s="445">
        <f>IF(B191="vacant",0,DATEDIF(P191,Q191,"D"))</f>
        <v>0</v>
      </c>
      <c r="S191" s="445">
        <f>IF(B191="vacant",0,R191/30)</f>
        <v>0</v>
      </c>
      <c r="U191" s="445">
        <f>IF(B191="vacant",0,S191/12)</f>
        <v>0</v>
      </c>
    </row>
    <row r="192" spans="1:21" ht="21.95" customHeight="1" x14ac:dyDescent="0.2">
      <c r="A192" s="565" t="str">
        <f>Biodata!A76</f>
        <v>CITI30</v>
      </c>
      <c r="B192" s="325" t="str">
        <f>Biodata!B76</f>
        <v>Dancan</v>
      </c>
      <c r="C192" s="433">
        <v>0</v>
      </c>
      <c r="D192" s="435">
        <v>0</v>
      </c>
      <c r="E192" s="436">
        <v>0</v>
      </c>
      <c r="F192" s="328">
        <f>Biodata!F76</f>
        <v>94000</v>
      </c>
      <c r="G192" s="150">
        <v>1</v>
      </c>
      <c r="H192" s="228">
        <v>0</v>
      </c>
      <c r="I192" s="108">
        <v>12</v>
      </c>
      <c r="J192" s="672"/>
      <c r="K192" s="673"/>
      <c r="L192" s="674"/>
      <c r="M192" s="230" t="str">
        <f t="shared" si="14"/>
        <v>loan not require</v>
      </c>
      <c r="N192" s="231"/>
      <c r="P192" s="444">
        <f>IF(B192="vacant","",Biodata!M76)</f>
        <v>45901</v>
      </c>
      <c r="Q192" s="442">
        <f t="shared" si="13"/>
        <v>46023</v>
      </c>
      <c r="R192" s="445">
        <f>IF(B192="vacant",0,DATEDIF(P192,Q192,"D"))</f>
        <v>122</v>
      </c>
      <c r="S192" s="445">
        <f>IF(B192="vacant",0,R192/30)</f>
        <v>4.0666666666666664</v>
      </c>
      <c r="U192" s="445">
        <f>IF(B192="vacant",0,S192/12)</f>
        <v>0.33888888888888885</v>
      </c>
    </row>
    <row r="193" spans="1:24" ht="21.95" customHeight="1" thickBot="1" x14ac:dyDescent="0.25">
      <c r="A193" s="566" t="str">
        <f>Biodata!A77</f>
        <v>CITI31</v>
      </c>
      <c r="B193" s="326" t="str">
        <f>Biodata!B77</f>
        <v>Ibrahim</v>
      </c>
      <c r="C193" s="567">
        <v>0</v>
      </c>
      <c r="D193" s="437">
        <v>0</v>
      </c>
      <c r="E193" s="438">
        <v>0</v>
      </c>
      <c r="F193" s="329">
        <f>Biodata!F77</f>
        <v>80000</v>
      </c>
      <c r="G193" s="568">
        <v>1</v>
      </c>
      <c r="H193" s="229">
        <v>0</v>
      </c>
      <c r="I193" s="110">
        <v>12</v>
      </c>
      <c r="J193" s="662"/>
      <c r="K193" s="663"/>
      <c r="L193" s="664"/>
      <c r="M193" s="337" t="str">
        <f t="shared" si="14"/>
        <v>loan not require</v>
      </c>
      <c r="N193" s="327"/>
      <c r="O193" s="569"/>
      <c r="P193" s="446">
        <f>IF(B193="vacant","",Biodata!M77)</f>
        <v>45839</v>
      </c>
      <c r="Q193" s="447">
        <f t="shared" si="13"/>
        <v>46023</v>
      </c>
      <c r="R193" s="570">
        <f>IF(B193="vacant",0,DATEDIF(P193,Q193,"D"))</f>
        <v>184</v>
      </c>
      <c r="S193" s="570">
        <f>IF(B193="vacant",0,R193/30)</f>
        <v>6.1333333333333337</v>
      </c>
      <c r="T193" s="569"/>
      <c r="U193" s="570">
        <f>IF(B193="vacant",0,S193/12)</f>
        <v>0.51111111111111118</v>
      </c>
    </row>
    <row r="194" spans="1:24" ht="21.95" customHeight="1" x14ac:dyDescent="0.2">
      <c r="A194" s="554" t="str">
        <f>Biodata!A66</f>
        <v>CITI27</v>
      </c>
      <c r="B194" s="324">
        <f>Biodata!B78</f>
        <v>0</v>
      </c>
      <c r="C194" s="551"/>
      <c r="D194" s="555"/>
      <c r="E194" s="551"/>
      <c r="F194" s="328"/>
      <c r="G194" s="556"/>
      <c r="H194" s="557"/>
      <c r="I194" s="558"/>
      <c r="J194" s="559"/>
      <c r="K194" s="560"/>
      <c r="L194" s="561"/>
      <c r="M194" s="562"/>
      <c r="N194" s="563"/>
      <c r="P194" s="444">
        <f>IF(B194="vacant","",Biodata!M78)</f>
        <v>0</v>
      </c>
      <c r="Q194" s="442">
        <f t="shared" si="13"/>
        <v>46023</v>
      </c>
      <c r="R194" s="445">
        <f>IF(B194="vacant",0,DATEDIF(P194,Q194,"D"))</f>
        <v>46023</v>
      </c>
      <c r="S194" s="445">
        <f>IF(B194="vacant",0,R194/30)</f>
        <v>1534.1</v>
      </c>
      <c r="U194" s="445">
        <f>IF(B194="vacant",0,S194/12)</f>
        <v>127.84166666666665</v>
      </c>
    </row>
    <row r="195" spans="1:24" ht="21.95" customHeight="1" x14ac:dyDescent="0.2">
      <c r="E195"/>
      <c r="I195"/>
    </row>
    <row r="196" spans="1:24" ht="21.95" customHeight="1" x14ac:dyDescent="0.2">
      <c r="E196"/>
      <c r="I196"/>
    </row>
    <row r="197" spans="1:24" ht="21.95" customHeight="1" x14ac:dyDescent="0.2">
      <c r="E197"/>
      <c r="I197"/>
    </row>
    <row r="198" spans="1:24" ht="21.95" customHeight="1" x14ac:dyDescent="0.2">
      <c r="E198"/>
      <c r="I198"/>
    </row>
    <row r="199" spans="1:24" ht="21.95" customHeight="1" x14ac:dyDescent="0.2">
      <c r="E199"/>
      <c r="I199"/>
    </row>
    <row r="200" spans="1:24" ht="21.95" customHeight="1" x14ac:dyDescent="0.2">
      <c r="E200"/>
      <c r="I200"/>
    </row>
    <row r="201" spans="1:24" ht="21.95" customHeight="1" x14ac:dyDescent="0.2">
      <c r="E201"/>
      <c r="I201"/>
    </row>
    <row r="202" spans="1:24" ht="21.95" customHeight="1" x14ac:dyDescent="0.2">
      <c r="A202" s="68" t="s">
        <v>0</v>
      </c>
      <c r="C202" s="254"/>
      <c r="E202" s="255">
        <f>E19+I19+M19+Q19+E37+I37+M37+Q37+E55+I55+M55+Q55+E73+I73+M73+Q73+E91+I91+M91+Q91+E109+I109+M109+Q109+E126+I126+M126+Q126+E144+I144+M144+Q144</f>
        <v>1934000</v>
      </c>
      <c r="G202" s="81" t="s">
        <v>22</v>
      </c>
    </row>
    <row r="203" spans="1:24" ht="21.95" customHeight="1" x14ac:dyDescent="0.2">
      <c r="A203" s="68" t="s">
        <v>83</v>
      </c>
      <c r="C203" s="254"/>
      <c r="E203" s="255">
        <f>D21+H21+L21+P21+D39+H39+L39+P39+D57+H57+L57+P57+D75+H75+L75+P75+D93+H93+L93+P93+D111+H111+L111+P111+D128+H128+L128+P128+D146+H146+L146+P146</f>
        <v>0</v>
      </c>
      <c r="G203" s="81"/>
    </row>
    <row r="204" spans="1:24" ht="21.95" customHeight="1" x14ac:dyDescent="0.2">
      <c r="A204" s="68" t="s">
        <v>39</v>
      </c>
      <c r="C204" s="2"/>
      <c r="E204" s="255">
        <f>E22+I22+M22+Q22+E40+I40+M40+Q40+E58+I58+M58+Q58+E76+I76+M76+Q76+E94+I94+M94+Q94+E112+I112+M112+Q112+E129+I129+M129+Q129+E147+I147+M147+Q147</f>
        <v>0</v>
      </c>
    </row>
    <row r="205" spans="1:24" ht="21.95" customHeight="1" x14ac:dyDescent="0.2">
      <c r="A205" s="68" t="s">
        <v>1</v>
      </c>
      <c r="C205" s="2"/>
      <c r="E205" s="255">
        <f>D26+H26+L26+P26+D44+H44+L44+P44+D62+H62+L62+P62+D80+H80+L80+P80+D98+H98+L98+P98+D116+H116+L116+P116+D133+H133+L133+P133+D151+H151+L151+P151</f>
        <v>0</v>
      </c>
    </row>
    <row r="206" spans="1:24" ht="21.95" customHeight="1" x14ac:dyDescent="0.2">
      <c r="A206" s="68" t="s">
        <v>226</v>
      </c>
      <c r="C206" s="2"/>
      <c r="E206" s="418">
        <f>D27+H27+L27+P27+D45+H45+L45+P45+D63+H63+L63+P63+D81+H81+L81+P81+D99+H99+L99+P99+D117+H117+L117+P117+D134+H134+L134+P134+D152+H152+L152+P152</f>
        <v>0</v>
      </c>
    </row>
    <row r="207" spans="1:24" ht="21.95" customHeight="1" thickBot="1" x14ac:dyDescent="0.25">
      <c r="A207" s="310" t="s">
        <v>115</v>
      </c>
      <c r="C207" s="256"/>
      <c r="E207" s="257">
        <f>SUM(E202-E205+E204)</f>
        <v>1934000</v>
      </c>
    </row>
    <row r="208" spans="1:24" s="64" customFormat="1" ht="21.95" customHeight="1" thickBot="1" x14ac:dyDescent="0.25">
      <c r="A208" s="311" t="s">
        <v>116</v>
      </c>
      <c r="B208" s="258"/>
      <c r="C208" s="258"/>
      <c r="D208" s="258"/>
      <c r="E208" s="259">
        <f>E207/2</f>
        <v>967000</v>
      </c>
      <c r="V208"/>
      <c r="W208"/>
      <c r="X208"/>
    </row>
    <row r="209" spans="1:22" ht="21.95" customHeight="1" x14ac:dyDescent="0.2">
      <c r="C209" s="43"/>
      <c r="E209"/>
      <c r="G209" s="43"/>
    </row>
    <row r="210" spans="1:22" ht="21.95" customHeight="1" x14ac:dyDescent="0.2">
      <c r="C210" s="43"/>
      <c r="E210" s="431">
        <f>E29+I29+M29+Q29+Q47+M47+I47+E47+E65+I65+M65+Q65+Q83+Q101+M83+I83+E83+E101+I101+M101+Q101+Q119+M119+I119+E119+E136+I136</f>
        <v>1600000</v>
      </c>
      <c r="G210" s="43"/>
      <c r="M210" t="s">
        <v>22</v>
      </c>
    </row>
    <row r="211" spans="1:22" ht="21.95" customHeight="1" x14ac:dyDescent="0.2">
      <c r="C211" s="43"/>
      <c r="E211"/>
      <c r="G211" s="43"/>
    </row>
    <row r="212" spans="1:22" ht="21.95" customHeight="1" x14ac:dyDescent="0.2">
      <c r="C212" s="43"/>
      <c r="E212"/>
      <c r="G212" s="43"/>
    </row>
    <row r="213" spans="1:22" ht="21.95" customHeight="1" x14ac:dyDescent="0.2">
      <c r="B213" s="63"/>
      <c r="C213" s="260"/>
      <c r="E213"/>
      <c r="G213" s="43"/>
    </row>
    <row r="214" spans="1:22" ht="21.95" customHeight="1" thickBot="1" x14ac:dyDescent="0.25">
      <c r="A214" s="73" t="s">
        <v>134</v>
      </c>
      <c r="B214" s="3"/>
      <c r="C214" s="79"/>
      <c r="E214"/>
      <c r="G214" s="43"/>
      <c r="K214" s="235" t="s">
        <v>184</v>
      </c>
    </row>
    <row r="215" spans="1:22" ht="21.95" customHeight="1" x14ac:dyDescent="0.3">
      <c r="A215" s="415"/>
      <c r="B215" s="309"/>
      <c r="C215" s="309"/>
      <c r="D215" s="67"/>
      <c r="E215" s="67"/>
      <c r="F215" s="67"/>
      <c r="G215" s="266"/>
      <c r="K215" s="708" t="s">
        <v>85</v>
      </c>
      <c r="L215" s="709"/>
      <c r="M215" s="710"/>
      <c r="P215" s="679" t="s">
        <v>179</v>
      </c>
      <c r="Q215" s="680"/>
      <c r="R215" s="680"/>
      <c r="S215" s="680"/>
      <c r="T215" s="680"/>
      <c r="U215" s="680"/>
      <c r="V215" s="300"/>
    </row>
    <row r="216" spans="1:22" ht="21.95" customHeight="1" thickBot="1" x14ac:dyDescent="0.25">
      <c r="A216" s="68" t="s">
        <v>305</v>
      </c>
      <c r="C216" s="43"/>
      <c r="E216"/>
      <c r="F216" s="3"/>
      <c r="G216" s="253"/>
      <c r="K216" s="703" t="s">
        <v>183</v>
      </c>
      <c r="L216" s="704"/>
      <c r="M216" s="705"/>
      <c r="O216" s="297" t="s">
        <v>182</v>
      </c>
      <c r="P216" s="301" t="s">
        <v>61</v>
      </c>
      <c r="Q216" s="298" t="s">
        <v>58</v>
      </c>
      <c r="R216" s="299" t="s">
        <v>180</v>
      </c>
      <c r="S216" s="678" t="s">
        <v>181</v>
      </c>
      <c r="T216" s="678"/>
      <c r="U216" s="299" t="s">
        <v>59</v>
      </c>
      <c r="V216" s="302" t="s">
        <v>189</v>
      </c>
    </row>
    <row r="217" spans="1:22" ht="21.95" customHeight="1" x14ac:dyDescent="0.25">
      <c r="A217" s="308" t="s">
        <v>109</v>
      </c>
      <c r="C217" s="43"/>
      <c r="E217"/>
      <c r="F217" s="697" t="s">
        <v>22</v>
      </c>
      <c r="G217" s="698"/>
      <c r="I217" s="260" t="str">
        <f>G241</f>
        <v>Not applicable</v>
      </c>
      <c r="K217" s="238" t="s">
        <v>291</v>
      </c>
      <c r="L217" s="67"/>
      <c r="M217" s="451" t="str">
        <f>Terminations!B6</f>
        <v>james</v>
      </c>
      <c r="O217" s="368" t="str">
        <f>D16</f>
        <v>Sapulene Mkulichi</v>
      </c>
      <c r="P217" s="369">
        <f>Biodata!F15</f>
        <v>0</v>
      </c>
      <c r="Q217" s="370">
        <f>D26</f>
        <v>0</v>
      </c>
      <c r="R217" s="574">
        <f>E29</f>
        <v>0</v>
      </c>
      <c r="S217" s="371">
        <f>E30</f>
        <v>0</v>
      </c>
      <c r="T217" s="371">
        <f>H29</f>
        <v>0</v>
      </c>
      <c r="U217" s="370">
        <f>D27</f>
        <v>0</v>
      </c>
      <c r="V217" s="372" t="str">
        <f>LoanSchedule!C48</f>
        <v>N/A</v>
      </c>
    </row>
    <row r="218" spans="1:22" ht="21.95" customHeight="1" x14ac:dyDescent="0.2">
      <c r="A218" s="68"/>
      <c r="C218" s="43"/>
      <c r="E218"/>
      <c r="F218" s="403"/>
      <c r="G218" s="267"/>
      <c r="I218" s="260" t="str">
        <f>G277</f>
        <v>Nil</v>
      </c>
      <c r="K218" s="237" t="s">
        <v>292</v>
      </c>
      <c r="M218" s="452">
        <f>Terminations!B7</f>
        <v>45626</v>
      </c>
      <c r="O218" s="368" t="str">
        <f>H16</f>
        <v>George Matemba</v>
      </c>
      <c r="P218" s="369">
        <f>Biodata!F16</f>
        <v>120000</v>
      </c>
      <c r="Q218" s="370">
        <f>H26</f>
        <v>0</v>
      </c>
      <c r="R218" s="371">
        <f>I29</f>
        <v>120000</v>
      </c>
      <c r="S218" s="371">
        <f>I30</f>
        <v>60000</v>
      </c>
      <c r="T218" s="371">
        <f>L29</f>
        <v>0</v>
      </c>
      <c r="U218" s="370">
        <f>H27</f>
        <v>0</v>
      </c>
      <c r="V218" s="372" t="str">
        <f>LoanSchedule!D48</f>
        <v>N/A</v>
      </c>
    </row>
    <row r="219" spans="1:22" ht="21.95" customHeight="1" x14ac:dyDescent="0.25">
      <c r="A219" s="261" t="s">
        <v>53</v>
      </c>
      <c r="C219" s="43"/>
      <c r="E219"/>
      <c r="F219" s="685" t="str">
        <f>IF($M$219=1,$L$224,"Not Applicable")</f>
        <v>Not Applicable</v>
      </c>
      <c r="G219" s="686"/>
      <c r="K219" s="68" t="s">
        <v>293</v>
      </c>
      <c r="L219" s="4"/>
      <c r="M219" s="453">
        <f>IF(Terminations!B8=1,1,IF(Terminations!B8=2,2,"wrong entry"))</f>
        <v>2</v>
      </c>
      <c r="O219" s="368" t="str">
        <f>P141</f>
        <v xml:space="preserve">vacant  </v>
      </c>
      <c r="P219" s="369">
        <f>Biodata!F17</f>
        <v>0</v>
      </c>
      <c r="Q219" s="571">
        <f>P151</f>
        <v>0</v>
      </c>
      <c r="R219" s="571">
        <f>Q154</f>
        <v>0</v>
      </c>
      <c r="S219" s="571">
        <f>Q155</f>
        <v>0</v>
      </c>
      <c r="T219" s="572"/>
      <c r="U219" s="571">
        <f>P152</f>
        <v>0</v>
      </c>
      <c r="V219" s="573" t="str">
        <f>LoanSchedule!E48</f>
        <v>N/A</v>
      </c>
    </row>
    <row r="220" spans="1:22" ht="21.95" customHeight="1" thickBot="1" x14ac:dyDescent="0.25">
      <c r="A220" s="261"/>
      <c r="C220" s="43"/>
      <c r="E220"/>
      <c r="F220" s="403"/>
      <c r="G220" s="268"/>
      <c r="K220" s="68" t="s">
        <v>287</v>
      </c>
      <c r="M220" s="454">
        <f>IF($M$217=$B$162,U162*7,IF(M$217=B$163,U163*7,IF(M$217=B$164,U164*7,IF(M$217=B$165,U165*7,IF(M$217=B$166,U166*7,IF(M$217=B$167,U167*7,IF(M$217=B$168,U168*7,IF(M$217=B$169,U169*7,IF(M$217=B$170,U170*7,IF(M$217=B$171,U171*7,IF(M$217=B$172,U172*7,IF(M$217=B$173,U173*7,IF(M$217=B$174,U174*7,IF(M$217=B$175,U175*7,IF(M$217=B$176,U176*7,IF(M$217=B$177,U177*7,IF(M$217=B$178,U178*7,IF(M$217=B$179,U179*7,IF(M$217=B$180,U180*7,IF(M$217=B$181,U181*7,IF(M$217=B$182,U182*7,IF(M$217=B$183,U183*7,IF(M$217=B$184,U184*7,IF(M$217=B$185,U185*7,IF(M$217=B$186,U186*7,IF(M$217=B$187,U187*7,IF(M$217=B$188,U188*7,IF(M$217=B$189,U$189*7,IF(M$217=B$190,U$190*7,IF(M$217=B$191,U$191*7,IF(M$217=B$192,U$192*7,IF(M$217=B$193,U$193,0))))))))))))))))))))))))))))))))</f>
        <v>0</v>
      </c>
      <c r="O220" s="592" t="s">
        <v>163</v>
      </c>
      <c r="P220" s="593">
        <f>SUM(P217:P219)</f>
        <v>120000</v>
      </c>
      <c r="Q220" s="593">
        <f t="shared" ref="Q220:V220" si="15">SUM(Q217:Q219)</f>
        <v>0</v>
      </c>
      <c r="R220" s="593">
        <f t="shared" si="15"/>
        <v>120000</v>
      </c>
      <c r="S220" s="593">
        <f t="shared" si="15"/>
        <v>60000</v>
      </c>
      <c r="T220" s="593">
        <f t="shared" si="15"/>
        <v>0</v>
      </c>
      <c r="U220" s="593">
        <f t="shared" si="15"/>
        <v>0</v>
      </c>
      <c r="V220" s="593">
        <f t="shared" si="15"/>
        <v>0</v>
      </c>
    </row>
    <row r="221" spans="1:22" ht="21.95" customHeight="1" x14ac:dyDescent="0.2">
      <c r="A221" s="261" t="s">
        <v>173</v>
      </c>
      <c r="C221" s="43"/>
      <c r="D221" s="43"/>
      <c r="F221" s="43"/>
      <c r="G221" s="419" t="str">
        <f>IF($F$219="Employee does not exist","None",IF($M$219=1,$M$218,"Not applicable"))</f>
        <v>Not applicable</v>
      </c>
      <c r="K221" s="68" t="s">
        <v>294</v>
      </c>
      <c r="M221" s="455">
        <f>Terminations!B9</f>
        <v>0</v>
      </c>
      <c r="O221" s="605" t="str">
        <f>L16</f>
        <v>Alinafe James</v>
      </c>
      <c r="P221" s="606">
        <f>Biodata!F22</f>
        <v>80000</v>
      </c>
      <c r="Q221" s="607">
        <f>L26</f>
        <v>0</v>
      </c>
      <c r="R221" s="608">
        <f>M29</f>
        <v>80000</v>
      </c>
      <c r="S221" s="608">
        <f>M30</f>
        <v>40000</v>
      </c>
      <c r="T221" s="608">
        <f>P29</f>
        <v>0</v>
      </c>
      <c r="U221" s="607">
        <f>L27</f>
        <v>0</v>
      </c>
      <c r="V221" s="609" t="str">
        <f>LoanSchedule!F48</f>
        <v>N/A</v>
      </c>
    </row>
    <row r="222" spans="1:22" ht="21.95" customHeight="1" x14ac:dyDescent="0.2">
      <c r="A222" s="261"/>
      <c r="C222" s="43"/>
      <c r="D222" s="43"/>
      <c r="F222" s="43"/>
      <c r="G222" s="269"/>
      <c r="K222" s="68" t="s">
        <v>295</v>
      </c>
      <c r="M222" s="533" t="str">
        <f>IF(Terminations!B10=1,"Yes",IF(Terminations!B10=0,"No","wrong entry"))</f>
        <v>No</v>
      </c>
      <c r="O222" s="605" t="str">
        <f>P16</f>
        <v>Chimwemwe Banda</v>
      </c>
      <c r="P222" s="606">
        <f>Biodata!F23</f>
        <v>80000</v>
      </c>
      <c r="Q222" s="607">
        <f>P26</f>
        <v>0</v>
      </c>
      <c r="R222" s="608">
        <f>Q29</f>
        <v>80000</v>
      </c>
      <c r="S222" s="608">
        <f>Q30</f>
        <v>40000</v>
      </c>
      <c r="T222" s="608" t="e">
        <f>#REF!</f>
        <v>#REF!</v>
      </c>
      <c r="U222" s="607">
        <f>P27</f>
        <v>0</v>
      </c>
      <c r="V222" s="609" t="str">
        <f>LoanSchedule!G48</f>
        <v>N/A</v>
      </c>
    </row>
    <row r="223" spans="1:22" ht="21.95" customHeight="1" x14ac:dyDescent="0.2">
      <c r="A223" s="68" t="s">
        <v>174</v>
      </c>
      <c r="C223" s="43"/>
      <c r="D223" s="43"/>
      <c r="F223" s="43"/>
      <c r="G223" s="416" t="str">
        <f>IF($F$219="Employee does not exist","None",IF($M$219=1,$M$225,"Not applicable"))</f>
        <v>Not applicable</v>
      </c>
      <c r="K223" s="68" t="s">
        <v>286</v>
      </c>
      <c r="L223" s="3"/>
      <c r="M223" s="627">
        <f>IF($M$217=$B$162,S162,IF(M$217=B$163,S163,IF(M$217=B$164,S164,IF(M$217=B$165,S165,IF(M$217=B$166,S166,IF(M$217=B$167,S167,IF(M$217=B$168,S168,IF(M$217=B$169,S169,IF(M$217=B$170,S170,IF(M$217=B$171,S171,IF(M$217=B$172,S172,IF(M$217=B$173,S173,IF(M$217=B$174,S174,IF(M$217=B$175,S175,IF(M$217=B$176,S176,IF(M$217=B$177,S177,IF(M$217=B$178,S178,IF(M$217=B$179,S179,IF(M$217=B$180,S180,IF(M$217=B$181,S181,IF(M$217=B$182,S182,IF(M$217=B$183,S183,IF(M$217=B$184,S184,IF(M$217=B$185,S185,IF(M$217=B$186,S186,IF(M$217=B$187,S187,IF(M$217=B$188,S188,IF(M$217=B$189,S189,IF(M$217=B$190,S190,IF(M$217=B191,S191,IF(M$217=B$192,S192,IF(M$217=B$193,S193,0))))))))))))))))))))))))))))))))</f>
        <v>0</v>
      </c>
      <c r="O223" s="605" t="str">
        <f>D34</f>
        <v xml:space="preserve">vacant  </v>
      </c>
      <c r="P223" s="606">
        <f>Biodata!F24</f>
        <v>0</v>
      </c>
      <c r="Q223" s="607">
        <f>D44</f>
        <v>0</v>
      </c>
      <c r="R223" s="608">
        <f>E47</f>
        <v>0</v>
      </c>
      <c r="S223" s="608">
        <f>E48</f>
        <v>0</v>
      </c>
      <c r="T223" s="608">
        <f>H47</f>
        <v>0</v>
      </c>
      <c r="U223" s="607">
        <f>D45</f>
        <v>0</v>
      </c>
      <c r="V223" s="609" t="str">
        <f>LoanSchedule!H48</f>
        <v>N/A</v>
      </c>
    </row>
    <row r="224" spans="1:22" ht="21.95" customHeight="1" x14ac:dyDescent="0.2">
      <c r="A224" s="68"/>
      <c r="C224" s="43"/>
      <c r="E224"/>
      <c r="F224" s="3"/>
      <c r="G224" s="270"/>
      <c r="K224" s="628" t="s">
        <v>53</v>
      </c>
      <c r="L224" s="706" t="str">
        <f>IF($M$217=$B$162,O$217,IF(M$217=B$163,O$218,IF(M$217=B$164,O$219,IF(M$217=B$165,O$221,IF(M$217=B$166,O$222,IF(M$217=B$167,O$223,IF(M$217=B$168,O$224,IF(M$217=B$169,O$225,IF(M$217=B$170,O$226,IF(M$217=B$171,O$227,IF(M$217=B$172,O$228,IF(M$217=B$173,O$230,IF(M$217=B$174,O$231,IF(M$217=B$175,O$232,IF(M$217=B$176,O$234,IF(M$217=B$177,O$235,IF(M$217=B$178,O$236,IF(M$217=B$179,O$237,IF(M$217=B$180,O$239,IF(M$217=B$181,O$240,IF(M$217=B$182,O$241,IF(M$217=B$183,O$242,IF(M$217=B$184,O$244,IF(M$217=B$185,O$245,IF(M$217=B$186,O$246,IF(M$217=B$187,O$247,IF(M$217=B$188,O$248,IF(M$217=B$189,O$250,IF(M$217=B$190,O$251,IF(M$217=B$191,O$252,IF(M$217=B$192,O$253,IF(M$217=B$193,O$254,"Employee does not exist"))))))))))))))))))))))))))))))))</f>
        <v>Employee does not exist</v>
      </c>
      <c r="M224" s="707"/>
      <c r="O224" s="605" t="str">
        <f>H34</f>
        <v>Maureen Ulaya</v>
      </c>
      <c r="P224" s="606">
        <f>Biodata!F25</f>
        <v>80000</v>
      </c>
      <c r="Q224" s="607">
        <f>H44</f>
        <v>0</v>
      </c>
      <c r="R224" s="608">
        <f>I47</f>
        <v>80000</v>
      </c>
      <c r="S224" s="608">
        <f>I48</f>
        <v>40000</v>
      </c>
      <c r="T224" s="608">
        <f>L47</f>
        <v>0</v>
      </c>
      <c r="U224" s="607">
        <f>H45</f>
        <v>0</v>
      </c>
      <c r="V224" s="609" t="str">
        <f>LoanSchedule!I48</f>
        <v>N/A</v>
      </c>
    </row>
    <row r="225" spans="1:22" ht="21.95" customHeight="1" x14ac:dyDescent="0.2">
      <c r="A225" s="68" t="s">
        <v>128</v>
      </c>
      <c r="C225" s="43"/>
      <c r="E225"/>
      <c r="G225" s="443" t="str">
        <f>IF($F$219="Employee does not exist","Nil",IF($M$219=1,$M$223,"Not applicable"))</f>
        <v>Not applicable</v>
      </c>
      <c r="K225" s="629" t="s">
        <v>61</v>
      </c>
      <c r="L225" s="630"/>
      <c r="M225" s="631" t="str">
        <f>IF($M$217=$B$162,$P$217,IF($M$217=B$163,$P$218,IF($M$217=$B$164,$P$219,IF($M$217=$B$165,$P$221,IF($M$217=$B$166,$P$222,IF($M$217=$B$167,$P$223,IF($M$217=$B$168,$P$224,IF($M$217=$B$169,$P$225,IF($M$217=$B$170,$P$226,IF($M$217=B$171,$P$227,IF($M$217=$B$172,$P$228,IF($M$217=$B$173,$P$230,IF($M$217=$B$174,$P$231,IF($M$217=$B$175,$P$232,IF($M$217=$B$176,$P$234,IF($M$217=$B$177,$P$235,IF($M$217=$B$178,$P$236,IF($M$217=$B$179,$P$237,IF($M$217=$B$180,$P$239,IF($M$217=$B$181,$P$240,IF($M$217=$B$182,$P$241,IF($M$217=$B$183,$P$242,IF($M$217=$B$184,$P$244,IF($M$217=$B$185,$P$245,IF($M$217=$B$186,$P$246,IF($M$217=$B$187,$P$247,IF($M$217=$B$188,$P$248,IF($M$217=$B$189,$P$250,IF($M$217=$B$190,$P$251,IF($M$217=$B$191,$P$252,IF($M$217=$B$192,$P$253,IF($M$217=$B$193,$P$254,"Not applicable"))))))))))))))))))))))))))))))))</f>
        <v>Not applicable</v>
      </c>
      <c r="O225" s="605" t="str">
        <f>L34</f>
        <v>Francis Chatsweka</v>
      </c>
      <c r="P225" s="606">
        <f>Biodata!F26</f>
        <v>70000</v>
      </c>
      <c r="Q225" s="607">
        <f>L44</f>
        <v>0</v>
      </c>
      <c r="R225" s="608">
        <f>M47</f>
        <v>70000</v>
      </c>
      <c r="S225" s="608">
        <f>M48</f>
        <v>35000</v>
      </c>
      <c r="T225" s="608">
        <f>P47</f>
        <v>0</v>
      </c>
      <c r="U225" s="607">
        <f>L45</f>
        <v>0</v>
      </c>
      <c r="V225" s="609" t="str">
        <f>LoanSchedule!J48</f>
        <v>N/A</v>
      </c>
    </row>
    <row r="226" spans="1:22" ht="21.95" customHeight="1" x14ac:dyDescent="0.2">
      <c r="A226" s="68"/>
      <c r="C226" s="43"/>
      <c r="E226"/>
      <c r="G226" s="271"/>
      <c r="K226" s="632" t="s">
        <v>178</v>
      </c>
      <c r="L226" s="633"/>
      <c r="M226" s="631" t="str">
        <f>IF($M$217=$B$162,$Q$217,IF($M$217=B$163,$Q$218,IF($M$217=$B$164,$Q$219,IF($M$217=$B$165,$Q$221,IF($M$217=$B$166,$Q$222,IF($M$217=$B$167,$Q$223,IF($M$217=$B$168,$Q$224,IF($M$217=$B$169,$Q$225,IF($M$217=$B$170,$Q$226,IF($M$217=B$171,$Q$227,IF($M$217=$B$172,$Q$228,IF($M$217=$B$173,$Q$230,IF($M$217=$B$174,$Q$231,IF($M$217=$B$175,$Q$232,IF($M$217=$B$176,$Q$234,IF($M$217=$B$177,$Q$235,IF($M$217=$B$178,$Q$236,IF($M$217=$B$179,$Q$237,IF($M$217=$B$180,$Q$239,IF($M$217=$B$181,$Q$240,IF($M$217=$B$182,$Q$241,IF($M$217=$B$183,$Q$242,IF($M$217=$B$184,$Q$244,IF($M$217=$B$185,$Q$245,IF($M$217=$B$186,$Q$246,IF($M$217=$B$187,$Q$247,IF($M$217=$B$188,$Q$248,IF($M$217=$B$189,$Q$250,IF($M$217=$B$190,$Q$251,IF($M$217=$B$191,$Q$252,IF($M$217=$B$192,$Q$253,IF($M$217=$B$193,$Q$254,"Not applicable"))))))))))))))))))))))))))))))))</f>
        <v>Not applicable</v>
      </c>
      <c r="O226" s="605" t="str">
        <f>P34</f>
        <v>Stenala Mponda</v>
      </c>
      <c r="P226" s="606">
        <f>Biodata!F27</f>
        <v>70000</v>
      </c>
      <c r="Q226" s="607">
        <f>P44</f>
        <v>0</v>
      </c>
      <c r="R226" s="608">
        <f>Q47</f>
        <v>70000</v>
      </c>
      <c r="S226" s="608">
        <f>Q48</f>
        <v>35000</v>
      </c>
      <c r="T226" s="608" t="e">
        <f>#REF!</f>
        <v>#REF!</v>
      </c>
      <c r="U226" s="607">
        <f>P45</f>
        <v>0</v>
      </c>
      <c r="V226" s="609" t="str">
        <f>LoanSchedule!K48</f>
        <v>N/A</v>
      </c>
    </row>
    <row r="227" spans="1:22" ht="21.95" customHeight="1" x14ac:dyDescent="0.2">
      <c r="A227" s="68" t="s">
        <v>136</v>
      </c>
      <c r="C227" s="43"/>
      <c r="E227"/>
      <c r="G227" s="416" t="str">
        <f>IF($F$219="Employee does not exist","Nil",IF($M$219=1,SUM($G$223*0.05*$G$225),"Not applicable"))</f>
        <v>Not applicable</v>
      </c>
      <c r="K227" s="634" t="s">
        <v>59</v>
      </c>
      <c r="L227" s="633"/>
      <c r="M227" s="631" t="str">
        <f>IF($M$217=$B$162,$U$217,IF($M$217=B$163,$U$218,IF($M$217=$B$164,$U$219,IF($M$217=$B$165,$U$221,IF($M$217=$B$166,$U$222,IF($M$217=$B$167,$U$223,IF($M$217=$B$168,$U$224,IF($M$217=$B$169,$U$225,IF($M$217=$B$170,$U$226,IF($M$217=B$171,$U$227,IF($M$217=$B$172,$U$228,IF($M$217=$B$173,$U$230,IF($M$217=$B$174,$U$231,IF($M$217=$B$175,$U$232,IF($M$217=$B$176,$U$234,IF($M$217=$B$177,$U$235,IF($M$217=$B$178,$U$236,IF($M$217=$B$179,$U$237,IF($M$217=$B$180,$U$239,IF($M$217=$B$181,$U$240,IF($M$217=$B$182,$U$241,IF($M$217=$B$183,$U$242,IF($M$217=$B$184,$U$244,IF($M$217=$B$185,$U$245,IF($M$217=$B$186,$U$246,IF($M$217=$B$187,$U$247,IF($M$217=$B$188,$U$248,IF($M$217=$B$189,$U$250,IF($M$217=$B$190,$U$251,IF($M$217=$B$191,$U$252,IF($M$217=$B$192,$U$253,IF($M$217=$B$193,$U$254,"Not applicable"))))))))))))))))))))))))))))))))</f>
        <v>Not applicable</v>
      </c>
      <c r="O227" s="605" t="str">
        <f>D52</f>
        <v>Simikizani Siki</v>
      </c>
      <c r="P227" s="606">
        <f>Biodata!F28</f>
        <v>70000</v>
      </c>
      <c r="Q227" s="607">
        <f>D62</f>
        <v>0</v>
      </c>
      <c r="R227" s="608">
        <f>E65</f>
        <v>70000</v>
      </c>
      <c r="S227" s="608">
        <f>E66</f>
        <v>35000</v>
      </c>
      <c r="T227" s="608">
        <f>H65</f>
        <v>0</v>
      </c>
      <c r="U227" s="607">
        <f>D63</f>
        <v>0</v>
      </c>
      <c r="V227" s="609" t="str">
        <f>LoanSchedule!L48</f>
        <v>N/A</v>
      </c>
    </row>
    <row r="228" spans="1:22" ht="21.95" customHeight="1" x14ac:dyDescent="0.2">
      <c r="A228" s="68"/>
      <c r="C228" s="43"/>
      <c r="E228"/>
      <c r="G228" s="271"/>
      <c r="K228" s="632" t="s">
        <v>60</v>
      </c>
      <c r="L228" s="635"/>
      <c r="M228" s="631" t="str">
        <f>IF($M$217=$B$162,$R$217,IF($M$217=B$163,$R$218,IF($M$217=$B$164,$R$219,IF($M$217=$B$165,$R$221,IF($M$217=$B$166,$R$222,IF($M$217=$B$167,$R$223,IF($M$217=$B$168,$R$224,IF($M$217=$B$169,$R$225,IF($M$217=$B$170,$R$226,IF($M$217=B$171,$R$227,IF($M$217=$B$172,$R$228,IF($M$217=$B$173,$R$230,IF($M$217=$B$174,$R$231,IF($M$217=$B$175,$R$232,IF($M$217=$B$176,$R$234,IF($M$217=$B$177,$R$235,IF($M$217=$B$178,$R$236,IF($M$217=$B$179,$R$237,IF($M$217=$B$180,$R$239,IF($M$217=$B$181,$R$240,IF($M$217=$B$182,$R$241,IF($M$217=$B$183,$R$242,IF($M$217=$B$184,$R$244,IF($M$217=$B$185,$R$245,IF($M$217=$B$186,$R$246,IF($M$217=$B$187,$R$247,IF($M$217=$B$188,$R$248,IF($M$217=$B$189,$R$250,IF($M$217=$B$190,$R$251,IF($M$217=$B$191,$R$252,IF($M$217=$B$192,$R$253,IF($M$217=$B$193,$R$254,"Not applicable"))))))))))))))))))))))))))))))))</f>
        <v>Not applicable</v>
      </c>
      <c r="O228" s="373" t="str">
        <f>H52</f>
        <v>Amini Wecha</v>
      </c>
      <c r="P228" s="374">
        <f>Biodata!F29</f>
        <v>70000</v>
      </c>
      <c r="Q228" s="375">
        <f>H62</f>
        <v>0</v>
      </c>
      <c r="R228" s="376">
        <f>I65</f>
        <v>70000</v>
      </c>
      <c r="S228" s="376">
        <f>I66</f>
        <v>35000</v>
      </c>
      <c r="T228" s="376">
        <f>L65</f>
        <v>0</v>
      </c>
      <c r="U228" s="375">
        <f>H63</f>
        <v>0</v>
      </c>
      <c r="V228" s="377" t="str">
        <f>LoanSchedule!M48</f>
        <v>N/A</v>
      </c>
    </row>
    <row r="229" spans="1:22" ht="21.95" customHeight="1" x14ac:dyDescent="0.2">
      <c r="A229" s="68" t="s">
        <v>129</v>
      </c>
      <c r="C229" s="43"/>
      <c r="E229"/>
      <c r="G229" s="443" t="str">
        <f>IF($F$219="Employee does not exist","Nil",IF($M$219=1,$M$220,"Not applicable"))</f>
        <v>Not applicable</v>
      </c>
      <c r="K229" s="634" t="s">
        <v>382</v>
      </c>
      <c r="L229" s="626"/>
      <c r="M229" s="631" t="str">
        <f>IF($M$217=$B$162,$S$217,IF($M$217=B$163,$S$218,IF($M$217=$B$164,$S$219,IF($M$217=$B$165,$S$221,IF($M$217=$B$166,$S$222,IF($M$217=$B$167,$S$223,IF($M$217=$B$168,$S$224,IF($M$217=$B$169,$S$225,IF($M$217=$B$170,$S$226,IF($M$217=B$171,$S$227,IF($M$217=$B$172,$S$228,IF($M$217=$B$173,$S$230,IF($M$217=$B$174,$S$231,IF($M$217=$B$175,$S$232,IF($M$217=$B$176,$S$234,IF($M$217=$B$177,$S$235,IF($M$217=$B$178,$S$236,IF($M$217=$B$179,$S$237,IF($M$217=$B$180,$S$239,IF($M$217=$B$181,$S$240,IF($M$217=$B$182,$S$241,IF($M$217=$B$183,$S$242,IF($M$217=$B$184,$S$244,IF($M$217=$B$185,$S$245,IF($M$217=$B$186,$S$246,IF($M$217=$B$187,$S$247,IF($M$217=$B$188,$S$248,IF($M$217=$B$189,$S$250,IF($M$217=$B$190,$S$251,IF($M$217=$B$191,$S$252,IF($M$217=$B$192,$S$253,IF($M$217=$B$193,$S$254,"Not applicable"))))))))))))))))))))))))))))))))</f>
        <v>Not applicable</v>
      </c>
      <c r="O229" s="592" t="s">
        <v>163</v>
      </c>
      <c r="P229" s="593">
        <f>SUM(P221:P228)</f>
        <v>520000</v>
      </c>
      <c r="Q229" s="593">
        <f t="shared" ref="Q229:V229" si="16">SUM(Q221:Q228)</f>
        <v>0</v>
      </c>
      <c r="R229" s="593">
        <f t="shared" si="16"/>
        <v>520000</v>
      </c>
      <c r="S229" s="593">
        <f t="shared" si="16"/>
        <v>260000</v>
      </c>
      <c r="T229" s="593" t="e">
        <f t="shared" si="16"/>
        <v>#REF!</v>
      </c>
      <c r="U229" s="593">
        <f t="shared" si="16"/>
        <v>0</v>
      </c>
      <c r="V229" s="593">
        <f t="shared" si="16"/>
        <v>0</v>
      </c>
    </row>
    <row r="230" spans="1:22" ht="21.95" customHeight="1" x14ac:dyDescent="0.2">
      <c r="A230" s="68"/>
      <c r="C230" s="43"/>
      <c r="E230"/>
      <c r="G230" s="272"/>
      <c r="K230" s="701" t="s">
        <v>381</v>
      </c>
      <c r="L230" s="702"/>
      <c r="M230" s="637">
        <f>IF(Terminations!B10=1,M229,0)</f>
        <v>0</v>
      </c>
      <c r="O230" s="600" t="str">
        <f>L52</f>
        <v>Tayifolo Mandowa</v>
      </c>
      <c r="P230" s="601">
        <f>Biodata!F35</f>
        <v>120000</v>
      </c>
      <c r="Q230" s="602">
        <f>L62</f>
        <v>0</v>
      </c>
      <c r="R230" s="603">
        <f>M65</f>
        <v>120000</v>
      </c>
      <c r="S230" s="603">
        <f>M66</f>
        <v>60000</v>
      </c>
      <c r="T230" s="603">
        <f>P65</f>
        <v>0</v>
      </c>
      <c r="U230" s="602">
        <f>L63</f>
        <v>0</v>
      </c>
      <c r="V230" s="604" t="str">
        <f>LoanSchedule!N48</f>
        <v>N/A</v>
      </c>
    </row>
    <row r="231" spans="1:22" ht="21.95" customHeight="1" x14ac:dyDescent="0.2">
      <c r="A231" s="68" t="s">
        <v>130</v>
      </c>
      <c r="C231" s="43"/>
      <c r="E231"/>
      <c r="F231" s="3"/>
      <c r="G231" s="416" t="str">
        <f>IF($F$219="Employee does not exist","Nil",IF($M$219=1,$G$229/12/26*$G$223,"Not applicable"))</f>
        <v>Not applicable</v>
      </c>
      <c r="M231" s="534" t="str">
        <f>IF($M$217=$B$162,S217,IF(M$217=B$164,S218,IF(M$217=B$165,S221,IF(M$217=B$166,S222,IF(M$217=B$167,S223,IF(M$217=B$168,S224,IF(M$217=B$169,S225,IF(M$217=B$170,S226,IF(M$217=B$171,S227,IF(M$217=B$172,S228,IF(M$217=B$173,S230,IF(M$217=B$174,S231,IF(M$217=B$175,S232,IF(M$217=B$176,S234,IF(M$217=B$177,S235,IF(M$217=B$178,S236,IF(M$217=B$179,S237,IF(M$217=B$180,S239,IF(M$217=B$181,S240,IF(M$217=B$182,S241,IF(M$217=B$183,S242,IF(M$217=B$184,S244,IF(M$217=B$185,S245,IF(M$217=B$186,S246,IF(M$217=B$187,S247,IF(M$217=B$194,S248,"Not Applicable"))))))))))))))))))))))))))</f>
        <v>Not Applicable</v>
      </c>
      <c r="O231" s="600" t="str">
        <f>P52</f>
        <v>Monica George</v>
      </c>
      <c r="P231" s="601">
        <f>Biodata!F36</f>
        <v>80000</v>
      </c>
      <c r="Q231" s="602">
        <f>P62</f>
        <v>0</v>
      </c>
      <c r="R231" s="603">
        <f>Q65</f>
        <v>80000</v>
      </c>
      <c r="S231" s="603">
        <f>Q66</f>
        <v>40000</v>
      </c>
      <c r="T231" s="603" t="e">
        <f>#REF!</f>
        <v>#REF!</v>
      </c>
      <c r="U231" s="602">
        <f>P63</f>
        <v>0</v>
      </c>
      <c r="V231" s="604" t="str">
        <f>LoanSchedule!O48</f>
        <v>N/A</v>
      </c>
    </row>
    <row r="232" spans="1:22" ht="21.95" customHeight="1" x14ac:dyDescent="0.2">
      <c r="A232" s="68"/>
      <c r="C232" s="43"/>
      <c r="E232"/>
      <c r="G232" s="272"/>
      <c r="O232" s="600" t="str">
        <f>D70</f>
        <v>Madalitso Baluti</v>
      </c>
      <c r="P232" s="601">
        <f>Biodata!F37</f>
        <v>90000</v>
      </c>
      <c r="Q232" s="602">
        <f>D80</f>
        <v>0</v>
      </c>
      <c r="R232" s="603">
        <f>E83</f>
        <v>90000</v>
      </c>
      <c r="S232" s="603">
        <f>E84</f>
        <v>45000</v>
      </c>
      <c r="T232" s="603">
        <f>H83</f>
        <v>0</v>
      </c>
      <c r="U232" s="602">
        <f>D81</f>
        <v>0</v>
      </c>
      <c r="V232" s="604" t="str">
        <f>LoanSchedule!P48</f>
        <v>N/A</v>
      </c>
    </row>
    <row r="233" spans="1:22" ht="21.95" customHeight="1" x14ac:dyDescent="0.2">
      <c r="A233" s="68" t="s">
        <v>127</v>
      </c>
      <c r="C233" s="43"/>
      <c r="E233"/>
      <c r="F233" s="65"/>
      <c r="G233" s="416" t="str">
        <f>IF($F$219="Employee does not exist","Nil",IF($M$219=1,$G$223,"Not applicable"))</f>
        <v>Not applicable</v>
      </c>
      <c r="O233" s="592" t="s">
        <v>163</v>
      </c>
      <c r="P233" s="593">
        <f>SUM(P230:P232)</f>
        <v>290000</v>
      </c>
      <c r="Q233" s="593">
        <f t="shared" ref="Q233:V233" si="17">SUM(Q230:Q232)</f>
        <v>0</v>
      </c>
      <c r="R233" s="593">
        <f t="shared" si="17"/>
        <v>290000</v>
      </c>
      <c r="S233" s="593">
        <f t="shared" si="17"/>
        <v>145000</v>
      </c>
      <c r="T233" s="593" t="e">
        <f t="shared" si="17"/>
        <v>#REF!</v>
      </c>
      <c r="U233" s="593">
        <f t="shared" si="17"/>
        <v>0</v>
      </c>
      <c r="V233" s="593">
        <f t="shared" si="17"/>
        <v>0</v>
      </c>
    </row>
    <row r="234" spans="1:22" ht="21.95" customHeight="1" x14ac:dyDescent="0.2">
      <c r="A234" s="68"/>
      <c r="B234" s="3"/>
      <c r="C234" s="79"/>
      <c r="E234"/>
      <c r="G234" s="273"/>
      <c r="O234" s="365" t="str">
        <f>H70</f>
        <v>Peter James</v>
      </c>
      <c r="P234" s="366">
        <f>Biodata!F43</f>
        <v>60000</v>
      </c>
      <c r="Q234" s="367">
        <f>H80</f>
        <v>0</v>
      </c>
      <c r="R234" s="378">
        <f>I83</f>
        <v>60000</v>
      </c>
      <c r="S234" s="378">
        <f>I84</f>
        <v>30000</v>
      </c>
      <c r="T234" s="378" t="str">
        <f>L83</f>
        <v xml:space="preserve"> </v>
      </c>
      <c r="U234" s="367">
        <f>H81</f>
        <v>0</v>
      </c>
      <c r="V234" s="379" t="str">
        <f>LoanSchedule!Q48</f>
        <v>N/A</v>
      </c>
    </row>
    <row r="235" spans="1:22" ht="21.95" customHeight="1" x14ac:dyDescent="0.2">
      <c r="A235" s="261" t="s">
        <v>132</v>
      </c>
      <c r="B235" s="3"/>
      <c r="C235" s="79"/>
      <c r="E235"/>
      <c r="G235" s="416" t="str">
        <f>IF($F$219="Employee does not exist","Nil",IF($M$219=1,SUM($G$227+$G$231+$G$233),"Not applicable"))</f>
        <v>Not applicable</v>
      </c>
      <c r="O235" s="365" t="str">
        <f>L70</f>
        <v>Maggie Billy</v>
      </c>
      <c r="P235" s="366">
        <f>Biodata!F44</f>
        <v>80000</v>
      </c>
      <c r="Q235" s="367">
        <f>L80</f>
        <v>0</v>
      </c>
      <c r="R235" s="378">
        <f>M83</f>
        <v>80000</v>
      </c>
      <c r="S235" s="378">
        <f>M84</f>
        <v>40000</v>
      </c>
      <c r="T235" s="378">
        <f>P83</f>
        <v>0</v>
      </c>
      <c r="U235" s="367">
        <f>L81</f>
        <v>0</v>
      </c>
      <c r="V235" s="379" t="str">
        <f>LoanSchedule!R48</f>
        <v>N/A</v>
      </c>
    </row>
    <row r="236" spans="1:22" ht="21.95" customHeight="1" x14ac:dyDescent="0.2">
      <c r="A236" s="68"/>
      <c r="B236" s="3"/>
      <c r="C236" s="79"/>
      <c r="E236"/>
      <c r="G236" s="274"/>
      <c r="O236" s="365" t="str">
        <f>P70</f>
        <v xml:space="preserve">vacant  </v>
      </c>
      <c r="P236" s="366">
        <f>Biodata!F45</f>
        <v>0</v>
      </c>
      <c r="Q236" s="367">
        <f>P80</f>
        <v>0</v>
      </c>
      <c r="R236" s="378">
        <f>Q83</f>
        <v>0</v>
      </c>
      <c r="S236" s="378">
        <f>Q84</f>
        <v>0</v>
      </c>
      <c r="T236" s="378" t="e">
        <f>#REF!</f>
        <v>#REF!</v>
      </c>
      <c r="U236" s="367">
        <f>P81</f>
        <v>0</v>
      </c>
      <c r="V236" s="379" t="str">
        <f>LoanSchedule!S48</f>
        <v>N/A</v>
      </c>
    </row>
    <row r="237" spans="1:22" ht="21.95" customHeight="1" x14ac:dyDescent="0.2">
      <c r="A237" s="68" t="s">
        <v>131</v>
      </c>
      <c r="B237" s="3"/>
      <c r="C237" s="79"/>
      <c r="D237" s="207" t="s">
        <v>22</v>
      </c>
      <c r="E237"/>
      <c r="G237" s="416" t="str">
        <f>IF($F$219="Employee does not exist","Nil",IF($M$219=1,$M$227,"Not applicable"))</f>
        <v>Not applicable</v>
      </c>
      <c r="L237" s="63"/>
      <c r="O237" s="365" t="str">
        <f>D88</f>
        <v>Esnat Adam</v>
      </c>
      <c r="P237" s="366">
        <f>Biodata!F46</f>
        <v>80000</v>
      </c>
      <c r="Q237" s="367">
        <f>D98</f>
        <v>0</v>
      </c>
      <c r="R237" s="378">
        <f>E101</f>
        <v>80000</v>
      </c>
      <c r="S237" s="378">
        <f>E102</f>
        <v>40000</v>
      </c>
      <c r="T237" s="378">
        <f>H101</f>
        <v>0</v>
      </c>
      <c r="U237" s="367">
        <f>D99</f>
        <v>0</v>
      </c>
      <c r="V237" s="379" t="str">
        <f>LoanSchedule!T48</f>
        <v>N/A</v>
      </c>
    </row>
    <row r="238" spans="1:22" ht="21.95" customHeight="1" x14ac:dyDescent="0.2">
      <c r="A238" s="68"/>
      <c r="B238" s="3"/>
      <c r="C238" s="79"/>
      <c r="E238"/>
      <c r="G238" s="273"/>
      <c r="O238" s="592" t="s">
        <v>163</v>
      </c>
      <c r="P238" s="593">
        <f>SUM(P234:P237)</f>
        <v>220000</v>
      </c>
      <c r="Q238" s="593">
        <f t="shared" ref="Q238:V238" si="18">SUM(Q234:Q237)</f>
        <v>0</v>
      </c>
      <c r="R238" s="593">
        <f t="shared" si="18"/>
        <v>220000</v>
      </c>
      <c r="S238" s="593">
        <f t="shared" si="18"/>
        <v>110000</v>
      </c>
      <c r="T238" s="593" t="e">
        <f t="shared" si="18"/>
        <v>#REF!</v>
      </c>
      <c r="U238" s="593">
        <f t="shared" si="18"/>
        <v>0</v>
      </c>
      <c r="V238" s="593">
        <f t="shared" si="18"/>
        <v>0</v>
      </c>
    </row>
    <row r="239" spans="1:22" ht="21.95" customHeight="1" x14ac:dyDescent="0.2">
      <c r="A239" s="68" t="s">
        <v>175</v>
      </c>
      <c r="C239" s="43"/>
      <c r="E239"/>
      <c r="F239" s="65"/>
      <c r="G239" s="416" t="str">
        <f>IF($F$219="Employee does not exist","Nil",IF($M$219=1,$M$230,"Not applicable"))</f>
        <v>Not applicable</v>
      </c>
      <c r="O239" s="380" t="str">
        <f>H88</f>
        <v>Martin Kandalama</v>
      </c>
      <c r="P239" s="381">
        <f>Biodata!F53</f>
        <v>70000</v>
      </c>
      <c r="Q239" s="382">
        <f>H98</f>
        <v>0</v>
      </c>
      <c r="R239" s="383">
        <f>I101</f>
        <v>70000</v>
      </c>
      <c r="S239" s="383">
        <f>I102</f>
        <v>35000</v>
      </c>
      <c r="T239" s="383">
        <f>L101</f>
        <v>0</v>
      </c>
      <c r="U239" s="382">
        <f>H99</f>
        <v>0</v>
      </c>
      <c r="V239" s="384" t="str">
        <f>LoanSchedule!U48</f>
        <v>N/A</v>
      </c>
    </row>
    <row r="240" spans="1:22" s="64" customFormat="1" ht="21.95" customHeight="1" x14ac:dyDescent="0.2">
      <c r="A240" s="68"/>
      <c r="B240"/>
      <c r="C240" s="43"/>
      <c r="D240"/>
      <c r="E240"/>
      <c r="F240"/>
      <c r="G240" s="273"/>
      <c r="O240" s="380" t="str">
        <f>L88</f>
        <v>Daniel Mponda</v>
      </c>
      <c r="P240" s="381">
        <f>Biodata!F54</f>
        <v>70000</v>
      </c>
      <c r="Q240" s="382">
        <f>L98</f>
        <v>0</v>
      </c>
      <c r="R240" s="383">
        <f>M101</f>
        <v>70000</v>
      </c>
      <c r="S240" s="383">
        <f>M102</f>
        <v>35000</v>
      </c>
      <c r="T240" s="383">
        <f>P101</f>
        <v>0</v>
      </c>
      <c r="U240" s="382">
        <f>L99</f>
        <v>0</v>
      </c>
      <c r="V240" s="384" t="str">
        <f>LoanSchedule!V48</f>
        <v>N/A</v>
      </c>
    </row>
    <row r="241" spans="1:23" s="64" customFormat="1" ht="21.95" customHeight="1" x14ac:dyDescent="0.2">
      <c r="A241" s="261" t="s">
        <v>133</v>
      </c>
      <c r="B241"/>
      <c r="C241" s="43"/>
      <c r="D241"/>
      <c r="E241"/>
      <c r="F241"/>
      <c r="G241" s="417" t="str">
        <f>IF($F$219="Employee does not exist","Nil",IF($M$219=1,SUM($G$235-$G$237-$G$239),"Not applicable"))</f>
        <v>Not applicable</v>
      </c>
      <c r="O241" s="380" t="str">
        <f>P88</f>
        <v>Elizabeth Kabudula</v>
      </c>
      <c r="P241" s="381">
        <f>Biodata!F55</f>
        <v>20000</v>
      </c>
      <c r="Q241" s="382">
        <f>P98</f>
        <v>0</v>
      </c>
      <c r="R241" s="383">
        <f>Q101</f>
        <v>20000</v>
      </c>
      <c r="S241" s="383">
        <f>Q102</f>
        <v>10000</v>
      </c>
      <c r="T241" s="383" t="e">
        <f>#REF!</f>
        <v>#REF!</v>
      </c>
      <c r="U241" s="382">
        <f>P99</f>
        <v>0</v>
      </c>
      <c r="V241" s="384" t="str">
        <f>LoanSchedule!W48</f>
        <v>N/A</v>
      </c>
    </row>
    <row r="242" spans="1:23" s="64" customFormat="1" ht="21.95" customHeight="1" x14ac:dyDescent="0.2">
      <c r="A242" s="69"/>
      <c r="B242"/>
      <c r="C242" s="43"/>
      <c r="D242"/>
      <c r="E242"/>
      <c r="F242"/>
      <c r="G242" s="273"/>
      <c r="O242" s="380" t="str">
        <f>D106</f>
        <v xml:space="preserve">vacant  </v>
      </c>
      <c r="P242" s="381">
        <f>Biodata!F56</f>
        <v>0</v>
      </c>
      <c r="Q242" s="382">
        <f>D116</f>
        <v>0</v>
      </c>
      <c r="R242" s="383">
        <f>E119</f>
        <v>0</v>
      </c>
      <c r="S242" s="383">
        <f>E120</f>
        <v>0</v>
      </c>
      <c r="T242" s="383">
        <f>H119</f>
        <v>0</v>
      </c>
      <c r="U242" s="382">
        <f>D117</f>
        <v>0</v>
      </c>
      <c r="V242" s="384" t="str">
        <f>LoanSchedule!X48</f>
        <v>N/A</v>
      </c>
      <c r="W242" s="296" t="s">
        <v>22</v>
      </c>
    </row>
    <row r="243" spans="1:23" ht="21.95" customHeight="1" x14ac:dyDescent="0.2">
      <c r="A243" s="261" t="s">
        <v>301</v>
      </c>
      <c r="B243" s="64"/>
      <c r="C243" s="262"/>
      <c r="D243" s="64"/>
      <c r="E243" s="64"/>
      <c r="F243" s="64"/>
      <c r="G243" s="273"/>
      <c r="O243" s="592" t="s">
        <v>163</v>
      </c>
      <c r="P243" s="594">
        <f>SUM(P239:P242)</f>
        <v>160000</v>
      </c>
      <c r="Q243" s="594">
        <f t="shared" ref="Q243:V243" si="19">SUM(Q239:Q242)</f>
        <v>0</v>
      </c>
      <c r="R243" s="594">
        <f t="shared" si="19"/>
        <v>160000</v>
      </c>
      <c r="S243" s="594">
        <f t="shared" si="19"/>
        <v>80000</v>
      </c>
      <c r="T243" s="594" t="e">
        <f t="shared" si="19"/>
        <v>#REF!</v>
      </c>
      <c r="U243" s="594">
        <f t="shared" si="19"/>
        <v>0</v>
      </c>
      <c r="V243" s="594">
        <f t="shared" si="19"/>
        <v>0</v>
      </c>
      <c r="W243" t="s">
        <v>191</v>
      </c>
    </row>
    <row r="244" spans="1:23" ht="21.95" customHeight="1" x14ac:dyDescent="0.2">
      <c r="A244" s="69"/>
      <c r="B244" s="64"/>
      <c r="C244" s="262"/>
      <c r="D244" s="64"/>
      <c r="E244" s="64"/>
      <c r="F244" s="64"/>
      <c r="G244" s="273"/>
      <c r="O244" s="385" t="str">
        <f>H106</f>
        <v>William Mahinya</v>
      </c>
      <c r="P244" s="386">
        <f>Biodata!F62</f>
        <v>150000</v>
      </c>
      <c r="Q244" s="387">
        <f>H116</f>
        <v>0</v>
      </c>
      <c r="R244" s="388">
        <f>I119</f>
        <v>150000</v>
      </c>
      <c r="S244" s="388">
        <f>I120</f>
        <v>75000</v>
      </c>
      <c r="T244" s="388">
        <f>L119</f>
        <v>0</v>
      </c>
      <c r="U244" s="387">
        <f>H117</f>
        <v>0</v>
      </c>
      <c r="V244" s="389" t="str">
        <f>LoanSchedule!Y48</f>
        <v>N/A</v>
      </c>
    </row>
    <row r="245" spans="1:23" ht="21.95" customHeight="1" x14ac:dyDescent="0.2">
      <c r="A245" s="261" t="s">
        <v>302</v>
      </c>
      <c r="B245" s="64"/>
      <c r="C245" s="262"/>
      <c r="D245" s="64"/>
      <c r="E245" s="64"/>
      <c r="F245" s="64"/>
      <c r="G245" s="273"/>
      <c r="O245" s="385" t="str">
        <f>L106</f>
        <v xml:space="preserve">vacant  </v>
      </c>
      <c r="P245" s="386">
        <f>Biodata!F63</f>
        <v>0</v>
      </c>
      <c r="Q245" s="387">
        <f>L116</f>
        <v>0</v>
      </c>
      <c r="R245" s="388">
        <f>M119</f>
        <v>0</v>
      </c>
      <c r="S245" s="388">
        <f>M120</f>
        <v>0</v>
      </c>
      <c r="T245" s="388">
        <f>P119</f>
        <v>0</v>
      </c>
      <c r="U245" s="387">
        <f>L117</f>
        <v>0</v>
      </c>
      <c r="V245" s="389" t="str">
        <f>LoanSchedule!Z48</f>
        <v>N/A</v>
      </c>
    </row>
    <row r="246" spans="1:23" ht="21.95" customHeight="1" x14ac:dyDescent="0.2">
      <c r="A246" s="261"/>
      <c r="B246" s="64"/>
      <c r="C246" s="262"/>
      <c r="D246" s="64"/>
      <c r="E246" s="64"/>
      <c r="F246" s="64"/>
      <c r="G246" s="273"/>
      <c r="O246" s="385" t="str">
        <f>P106</f>
        <v xml:space="preserve">  </v>
      </c>
      <c r="P246" s="386">
        <f>Biodata!F64</f>
        <v>0</v>
      </c>
      <c r="Q246" s="387">
        <f>P116</f>
        <v>0</v>
      </c>
      <c r="R246" s="388">
        <f>Q119</f>
        <v>0</v>
      </c>
      <c r="S246" s="388">
        <f>Q120</f>
        <v>0</v>
      </c>
      <c r="T246" s="388" t="e">
        <f>#REF!</f>
        <v>#REF!</v>
      </c>
      <c r="U246" s="387">
        <f>P117</f>
        <v>0</v>
      </c>
      <c r="V246" s="389" t="str">
        <f>LoanSchedule!AA48</f>
        <v>N/A</v>
      </c>
    </row>
    <row r="247" spans="1:23" ht="21.95" customHeight="1" x14ac:dyDescent="0.2">
      <c r="A247" s="261" t="s">
        <v>303</v>
      </c>
      <c r="G247" s="236"/>
      <c r="O247" s="385" t="str">
        <f>D123</f>
        <v xml:space="preserve">vacant  </v>
      </c>
      <c r="P247" s="386">
        <f>Biodata!F65</f>
        <v>0</v>
      </c>
      <c r="Q247" s="387">
        <f>D133</f>
        <v>0</v>
      </c>
      <c r="R247" s="388">
        <f>E136</f>
        <v>0</v>
      </c>
      <c r="S247" s="388">
        <f>E137</f>
        <v>0</v>
      </c>
      <c r="T247" s="388">
        <f>H136</f>
        <v>0</v>
      </c>
      <c r="U247" s="387">
        <f>D134</f>
        <v>0</v>
      </c>
      <c r="V247" s="389" t="str">
        <f>LoanSchedule!AB48</f>
        <v>N/A</v>
      </c>
    </row>
    <row r="248" spans="1:23" ht="21.95" customHeight="1" thickBot="1" x14ac:dyDescent="0.25">
      <c r="A248" s="263"/>
      <c r="B248" s="264"/>
      <c r="C248" s="265"/>
      <c r="D248" s="264"/>
      <c r="E248" s="264"/>
      <c r="F248" s="264"/>
      <c r="G248" s="275"/>
      <c r="O248" s="385" t="str">
        <f>H123</f>
        <v>Yankho Gulani</v>
      </c>
      <c r="P248" s="386">
        <f>Biodata!F66</f>
        <v>120000</v>
      </c>
      <c r="Q248" s="390">
        <f>H133</f>
        <v>0</v>
      </c>
      <c r="R248" s="391">
        <f>I136</f>
        <v>120000</v>
      </c>
      <c r="S248" s="391">
        <f>I137</f>
        <v>60000</v>
      </c>
      <c r="T248" s="391">
        <f>L136</f>
        <v>0</v>
      </c>
      <c r="U248" s="390">
        <f>H134</f>
        <v>0</v>
      </c>
      <c r="V248" s="392" t="str">
        <f>LoanSchedule!AC48</f>
        <v>N/A</v>
      </c>
    </row>
    <row r="249" spans="1:23" ht="21.95" customHeight="1" x14ac:dyDescent="0.2">
      <c r="O249" s="592" t="s">
        <v>163</v>
      </c>
      <c r="P249" s="593">
        <f>SUM(P244:P248)</f>
        <v>270000</v>
      </c>
      <c r="Q249" s="593">
        <f t="shared" ref="Q249:V249" si="20">SUM(Q244:Q248)</f>
        <v>0</v>
      </c>
      <c r="R249" s="593">
        <f t="shared" si="20"/>
        <v>270000</v>
      </c>
      <c r="S249" s="593">
        <f t="shared" si="20"/>
        <v>135000</v>
      </c>
      <c r="T249" s="593" t="e">
        <f t="shared" si="20"/>
        <v>#REF!</v>
      </c>
      <c r="U249" s="593">
        <f t="shared" si="20"/>
        <v>0</v>
      </c>
      <c r="V249" s="593">
        <f t="shared" si="20"/>
        <v>0</v>
      </c>
    </row>
    <row r="250" spans="1:23" ht="21.95" customHeight="1" x14ac:dyDescent="0.2">
      <c r="B250" s="3"/>
      <c r="C250" s="79"/>
      <c r="E250"/>
      <c r="G250" s="43"/>
      <c r="O250" s="596" t="str">
        <f>L123</f>
        <v>Agness  Mponda</v>
      </c>
      <c r="P250" s="597">
        <f>Biodata!F73</f>
        <v>80000</v>
      </c>
      <c r="Q250" s="597">
        <f>L133</f>
        <v>0</v>
      </c>
      <c r="R250" s="597">
        <f>M136</f>
        <v>80000</v>
      </c>
      <c r="S250" s="597">
        <f>M137</f>
        <v>40000</v>
      </c>
      <c r="T250" s="598"/>
      <c r="U250" s="597">
        <f>L134</f>
        <v>0</v>
      </c>
      <c r="V250" s="599" t="str">
        <f>LoanSchedule!AD48</f>
        <v>N/A</v>
      </c>
    </row>
    <row r="251" spans="1:23" ht="21.95" customHeight="1" x14ac:dyDescent="0.2">
      <c r="A251" s="398"/>
      <c r="B251" s="399"/>
      <c r="C251" s="399"/>
      <c r="D251" s="400"/>
      <c r="E251" s="400"/>
      <c r="F251" s="400"/>
      <c r="G251" s="401"/>
      <c r="O251" s="596" t="str">
        <f>P123</f>
        <v>Elizabeth Chinkono</v>
      </c>
      <c r="P251" s="597">
        <f>Biodata!F74</f>
        <v>100000</v>
      </c>
      <c r="Q251" s="597">
        <f>P133</f>
        <v>0</v>
      </c>
      <c r="R251" s="597">
        <f>Q136</f>
        <v>100000</v>
      </c>
      <c r="S251" s="597">
        <f>Q137</f>
        <v>50000</v>
      </c>
      <c r="T251" s="598"/>
      <c r="U251" s="597">
        <f>P134</f>
        <v>0</v>
      </c>
      <c r="V251" s="599" t="str">
        <f>LoanSchedule!AE48</f>
        <v>N/A</v>
      </c>
    </row>
    <row r="252" spans="1:23" ht="21.95" customHeight="1" thickBot="1" x14ac:dyDescent="0.25">
      <c r="A252" s="54" t="s">
        <v>135</v>
      </c>
      <c r="C252" s="43"/>
      <c r="E252"/>
      <c r="F252" s="3"/>
      <c r="G252" s="76"/>
      <c r="I252"/>
      <c r="O252" s="596" t="str">
        <f>D141</f>
        <v xml:space="preserve">vacant  </v>
      </c>
      <c r="P252" s="597">
        <f>Biodata!F75</f>
        <v>0</v>
      </c>
      <c r="Q252" s="597">
        <f>D151</f>
        <v>0</v>
      </c>
      <c r="R252" s="597">
        <f>E154</f>
        <v>0</v>
      </c>
      <c r="S252" s="597">
        <f>E155</f>
        <v>0</v>
      </c>
      <c r="T252" s="598"/>
      <c r="U252" s="597">
        <f>D152</f>
        <v>0</v>
      </c>
      <c r="V252" s="599" t="str">
        <f>LoanSchedule!AF48</f>
        <v>N/A</v>
      </c>
    </row>
    <row r="253" spans="1:23" ht="21.95" customHeight="1" x14ac:dyDescent="0.25">
      <c r="A253" s="402" t="s">
        <v>109</v>
      </c>
      <c r="C253" s="43"/>
      <c r="E253"/>
      <c r="G253" s="76"/>
      <c r="I253"/>
      <c r="O253" s="596" t="str">
        <f>H141</f>
        <v>Dancan Botha</v>
      </c>
      <c r="P253" s="597">
        <f>Biodata!F76</f>
        <v>94000</v>
      </c>
      <c r="Q253" s="597">
        <f>H151</f>
        <v>0</v>
      </c>
      <c r="R253" s="597">
        <f>I154</f>
        <v>94000</v>
      </c>
      <c r="S253" s="597">
        <f>I155</f>
        <v>47000</v>
      </c>
      <c r="T253" s="598"/>
      <c r="U253" s="597">
        <f>H152</f>
        <v>0</v>
      </c>
      <c r="V253" s="599" t="str">
        <f>LoanSchedule!AG48</f>
        <v>N/A</v>
      </c>
    </row>
    <row r="254" spans="1:23" ht="21.95" customHeight="1" x14ac:dyDescent="0.2">
      <c r="A254" s="54"/>
      <c r="C254" s="43"/>
      <c r="E254"/>
      <c r="F254" s="403"/>
      <c r="G254" s="404"/>
      <c r="I254"/>
      <c r="O254" s="596" t="str">
        <f>L141</f>
        <v>Ibrahim Amadu</v>
      </c>
      <c r="P254" s="597">
        <f>Biodata!F77</f>
        <v>80000</v>
      </c>
      <c r="Q254" s="597">
        <f>L151</f>
        <v>0</v>
      </c>
      <c r="R254" s="597">
        <f>M154</f>
        <v>80000</v>
      </c>
      <c r="S254" s="597">
        <f>M155</f>
        <v>40000</v>
      </c>
      <c r="T254" s="598"/>
      <c r="U254" s="597">
        <f>L152</f>
        <v>0</v>
      </c>
      <c r="V254" s="599" t="str">
        <f>LoanSchedule!AH48</f>
        <v>N/A</v>
      </c>
    </row>
    <row r="255" spans="1:23" ht="21.95" customHeight="1" x14ac:dyDescent="0.25">
      <c r="A255" s="74" t="s">
        <v>53</v>
      </c>
      <c r="C255" s="43"/>
      <c r="E255"/>
      <c r="F255" s="685" t="str">
        <f>IF($M$219=2,$L$224,"Not Applicable")</f>
        <v>Employee does not exist</v>
      </c>
      <c r="G255" s="686"/>
      <c r="I255"/>
      <c r="O255" s="592" t="s">
        <v>163</v>
      </c>
      <c r="P255" s="593">
        <f>SUM(P250:P254)</f>
        <v>354000</v>
      </c>
      <c r="Q255" s="593">
        <f t="shared" ref="Q255:V255" si="21">SUM(Q250:Q254)</f>
        <v>0</v>
      </c>
      <c r="R255" s="593">
        <f t="shared" si="21"/>
        <v>354000</v>
      </c>
      <c r="S255" s="593">
        <f t="shared" si="21"/>
        <v>177000</v>
      </c>
      <c r="T255" s="593">
        <f t="shared" si="21"/>
        <v>0</v>
      </c>
      <c r="U255" s="593">
        <f t="shared" si="21"/>
        <v>0</v>
      </c>
      <c r="V255" s="593">
        <f t="shared" si="21"/>
        <v>0</v>
      </c>
    </row>
    <row r="256" spans="1:23" ht="21.95" customHeight="1" thickBot="1" x14ac:dyDescent="0.25">
      <c r="A256" s="74"/>
      <c r="C256" s="43"/>
      <c r="E256"/>
      <c r="F256" s="403"/>
      <c r="G256" s="405"/>
      <c r="I256"/>
    </row>
    <row r="257" spans="1:22" ht="21.95" customHeight="1" x14ac:dyDescent="0.25">
      <c r="A257" s="74" t="s">
        <v>173</v>
      </c>
      <c r="C257" s="43"/>
      <c r="D257" s="43"/>
      <c r="F257" s="43"/>
      <c r="G257" s="419" t="str">
        <f>IF($F$255="Employee does not exist","None",IF($M$219=2,$M$218,"Not applicable"))</f>
        <v>None</v>
      </c>
      <c r="I257"/>
      <c r="O257" s="610" t="s">
        <v>229</v>
      </c>
      <c r="P257" s="611">
        <f t="shared" ref="P257:V257" si="22">P220</f>
        <v>120000</v>
      </c>
      <c r="Q257" s="611">
        <f t="shared" si="22"/>
        <v>0</v>
      </c>
      <c r="R257" s="611">
        <f t="shared" si="22"/>
        <v>120000</v>
      </c>
      <c r="S257" s="611">
        <f t="shared" si="22"/>
        <v>60000</v>
      </c>
      <c r="T257" s="611">
        <f t="shared" si="22"/>
        <v>0</v>
      </c>
      <c r="U257" s="611">
        <f t="shared" si="22"/>
        <v>0</v>
      </c>
      <c r="V257" s="611">
        <f t="shared" si="22"/>
        <v>0</v>
      </c>
    </row>
    <row r="258" spans="1:22" ht="21.95" customHeight="1" x14ac:dyDescent="0.25">
      <c r="A258" s="74"/>
      <c r="C258" s="43"/>
      <c r="D258" s="43"/>
      <c r="F258" s="43"/>
      <c r="G258" s="405"/>
      <c r="I258"/>
      <c r="O258" s="612" t="s">
        <v>336</v>
      </c>
      <c r="P258" s="611">
        <f t="shared" ref="P258:V258" si="23">P229</f>
        <v>520000</v>
      </c>
      <c r="Q258" s="611">
        <f t="shared" si="23"/>
        <v>0</v>
      </c>
      <c r="R258" s="611">
        <f t="shared" si="23"/>
        <v>520000</v>
      </c>
      <c r="S258" s="611">
        <f t="shared" si="23"/>
        <v>260000</v>
      </c>
      <c r="T258" s="611" t="e">
        <f t="shared" si="23"/>
        <v>#REF!</v>
      </c>
      <c r="U258" s="611">
        <f t="shared" si="23"/>
        <v>0</v>
      </c>
      <c r="V258" s="611">
        <f t="shared" si="23"/>
        <v>0</v>
      </c>
    </row>
    <row r="259" spans="1:22" ht="21.95" customHeight="1" x14ac:dyDescent="0.25">
      <c r="A259" s="54" t="s">
        <v>219</v>
      </c>
      <c r="C259" s="43"/>
      <c r="D259" s="43"/>
      <c r="F259" s="43"/>
      <c r="G259" s="416" t="str">
        <f>IF($F$255="Employee does not exist","None",IF($M$219=2,$M$225,"Not applicable"))</f>
        <v>None</v>
      </c>
      <c r="I259"/>
      <c r="O259" s="612" t="s">
        <v>230</v>
      </c>
      <c r="P259" s="611">
        <f t="shared" ref="P259:V259" si="24">P233</f>
        <v>290000</v>
      </c>
      <c r="Q259" s="611">
        <f t="shared" si="24"/>
        <v>0</v>
      </c>
      <c r="R259" s="611">
        <f t="shared" si="24"/>
        <v>290000</v>
      </c>
      <c r="S259" s="611">
        <f t="shared" si="24"/>
        <v>145000</v>
      </c>
      <c r="T259" s="611" t="e">
        <f t="shared" si="24"/>
        <v>#REF!</v>
      </c>
      <c r="U259" s="611">
        <f t="shared" si="24"/>
        <v>0</v>
      </c>
      <c r="V259" s="611">
        <f t="shared" si="24"/>
        <v>0</v>
      </c>
    </row>
    <row r="260" spans="1:22" ht="21.95" customHeight="1" x14ac:dyDescent="0.25">
      <c r="A260" s="54"/>
      <c r="C260" s="43"/>
      <c r="D260" s="43"/>
      <c r="F260" s="3"/>
      <c r="G260" s="75"/>
      <c r="I260"/>
      <c r="O260" s="612" t="s">
        <v>231</v>
      </c>
      <c r="P260" s="611">
        <f t="shared" ref="P260:V260" si="25">P238</f>
        <v>220000</v>
      </c>
      <c r="Q260" s="611">
        <f t="shared" si="25"/>
        <v>0</v>
      </c>
      <c r="R260" s="611">
        <f t="shared" si="25"/>
        <v>220000</v>
      </c>
      <c r="S260" s="611">
        <f t="shared" si="25"/>
        <v>110000</v>
      </c>
      <c r="T260" s="611" t="e">
        <f t="shared" si="25"/>
        <v>#REF!</v>
      </c>
      <c r="U260" s="611">
        <f t="shared" si="25"/>
        <v>0</v>
      </c>
      <c r="V260" s="611">
        <f t="shared" si="25"/>
        <v>0</v>
      </c>
    </row>
    <row r="261" spans="1:22" ht="21.95" customHeight="1" x14ac:dyDescent="0.25">
      <c r="A261" s="54" t="s">
        <v>128</v>
      </c>
      <c r="C261" s="43"/>
      <c r="D261" s="43"/>
      <c r="F261" s="3"/>
      <c r="G261" s="416" t="str">
        <f>IF($F$255="Employee does not exist","Nil",IF($M$219=2,$M$223,"Not applicable"))</f>
        <v>Nil</v>
      </c>
      <c r="I261"/>
      <c r="O261" s="612" t="s">
        <v>233</v>
      </c>
      <c r="P261" s="611">
        <f t="shared" ref="P261:V261" si="26">P243</f>
        <v>160000</v>
      </c>
      <c r="Q261" s="611">
        <f t="shared" si="26"/>
        <v>0</v>
      </c>
      <c r="R261" s="611">
        <f t="shared" si="26"/>
        <v>160000</v>
      </c>
      <c r="S261" s="611">
        <f t="shared" si="26"/>
        <v>80000</v>
      </c>
      <c r="T261" s="611" t="e">
        <f t="shared" si="26"/>
        <v>#REF!</v>
      </c>
      <c r="U261" s="611">
        <f t="shared" si="26"/>
        <v>0</v>
      </c>
      <c r="V261" s="611">
        <f t="shared" si="26"/>
        <v>0</v>
      </c>
    </row>
    <row r="262" spans="1:22" ht="21.95" customHeight="1" x14ac:dyDescent="0.25">
      <c r="A262" s="54"/>
      <c r="C262" s="43"/>
      <c r="D262" s="43"/>
      <c r="F262" s="3"/>
      <c r="G262" s="75"/>
      <c r="I262"/>
      <c r="O262" s="612" t="s">
        <v>234</v>
      </c>
      <c r="P262" s="611">
        <f t="shared" ref="P262:V262" si="27">P249</f>
        <v>270000</v>
      </c>
      <c r="Q262" s="611">
        <f t="shared" si="27"/>
        <v>0</v>
      </c>
      <c r="R262" s="611">
        <f t="shared" si="27"/>
        <v>270000</v>
      </c>
      <c r="S262" s="611">
        <f t="shared" si="27"/>
        <v>135000</v>
      </c>
      <c r="T262" s="611" t="e">
        <f t="shared" si="27"/>
        <v>#REF!</v>
      </c>
      <c r="U262" s="611">
        <f t="shared" si="27"/>
        <v>0</v>
      </c>
      <c r="V262" s="611">
        <f t="shared" si="27"/>
        <v>0</v>
      </c>
    </row>
    <row r="263" spans="1:22" ht="21.95" customHeight="1" x14ac:dyDescent="0.25">
      <c r="A263" s="54" t="s">
        <v>177</v>
      </c>
      <c r="C263" s="43"/>
      <c r="D263" s="260"/>
      <c r="G263" s="416" t="str">
        <f>IF($F$255="Employee does not exist","Nil",IF($M$219=2,$M$221,"Not applicable"))</f>
        <v>Nil</v>
      </c>
      <c r="I263"/>
      <c r="O263" s="612" t="s">
        <v>337</v>
      </c>
      <c r="P263" s="611">
        <f>P255</f>
        <v>354000</v>
      </c>
      <c r="Q263" s="611">
        <f t="shared" ref="Q263:V263" si="28">Q255</f>
        <v>0</v>
      </c>
      <c r="R263" s="611">
        <f t="shared" si="28"/>
        <v>354000</v>
      </c>
      <c r="S263" s="611">
        <f t="shared" si="28"/>
        <v>177000</v>
      </c>
      <c r="T263" s="611">
        <f t="shared" si="28"/>
        <v>0</v>
      </c>
      <c r="U263" s="611">
        <f t="shared" si="28"/>
        <v>0</v>
      </c>
      <c r="V263" s="611">
        <f t="shared" si="28"/>
        <v>0</v>
      </c>
    </row>
    <row r="264" spans="1:22" ht="21.95" customHeight="1" x14ac:dyDescent="0.25">
      <c r="A264" s="54"/>
      <c r="C264" s="43"/>
      <c r="E264"/>
      <c r="G264" s="406" t="s">
        <v>22</v>
      </c>
      <c r="I264"/>
      <c r="O264" s="595" t="s">
        <v>160</v>
      </c>
      <c r="P264" s="593">
        <f>SUM(P257:P263)</f>
        <v>1934000</v>
      </c>
      <c r="Q264" s="593">
        <f t="shared" ref="Q264:V264" si="29">SUM(Q257:Q263)</f>
        <v>0</v>
      </c>
      <c r="R264" s="593">
        <f>SUM(R257:R263)</f>
        <v>1934000</v>
      </c>
      <c r="S264" s="593">
        <f t="shared" si="29"/>
        <v>967000</v>
      </c>
      <c r="T264" s="593" t="e">
        <f t="shared" si="29"/>
        <v>#REF!</v>
      </c>
      <c r="U264" s="593">
        <f>SUM(U257:U263)</f>
        <v>0</v>
      </c>
      <c r="V264" s="593">
        <f t="shared" si="29"/>
        <v>0</v>
      </c>
    </row>
    <row r="265" spans="1:22" ht="21.95" customHeight="1" x14ac:dyDescent="0.2">
      <c r="A265" s="54" t="s">
        <v>176</v>
      </c>
      <c r="C265" s="43"/>
      <c r="E265"/>
      <c r="G265" s="416" t="str">
        <f>IF($F$255="Employee does not exist","Nil",IF($M$219=2,SUM($G$259/26*$G$263),"Not applicable"))</f>
        <v>Nil</v>
      </c>
      <c r="I265"/>
    </row>
    <row r="266" spans="1:22" ht="21.95" customHeight="1" x14ac:dyDescent="0.25">
      <c r="A266" s="54"/>
      <c r="C266" s="43"/>
      <c r="E266"/>
      <c r="G266" s="407"/>
      <c r="I266"/>
      <c r="O266" s="428" t="s">
        <v>235</v>
      </c>
      <c r="R266" s="430">
        <f>E207</f>
        <v>1934000</v>
      </c>
      <c r="S266" s="207" t="s">
        <v>22</v>
      </c>
      <c r="T266" s="63">
        <f>I207</f>
        <v>0</v>
      </c>
      <c r="U266" s="207" t="s">
        <v>22</v>
      </c>
      <c r="V266" s="207" t="s">
        <v>22</v>
      </c>
    </row>
    <row r="267" spans="1:22" s="64" customFormat="1" ht="21.95" customHeight="1" x14ac:dyDescent="0.2">
      <c r="A267" s="54" t="s">
        <v>127</v>
      </c>
      <c r="B267"/>
      <c r="C267" s="43"/>
      <c r="D267"/>
      <c r="E267"/>
      <c r="F267"/>
      <c r="G267" s="416" t="str">
        <f>IF($F$255="Employee does not exist","Nil",IF($M$219=2,$G$259,"Not applicable"))</f>
        <v>Nil</v>
      </c>
      <c r="H267"/>
      <c r="I267"/>
      <c r="J267"/>
      <c r="K267"/>
      <c r="L267"/>
      <c r="M267"/>
      <c r="O267"/>
      <c r="P267"/>
      <c r="Q267"/>
      <c r="R267"/>
      <c r="S267"/>
      <c r="T267"/>
      <c r="U267"/>
      <c r="V267"/>
    </row>
    <row r="268" spans="1:22" ht="21.95" customHeight="1" x14ac:dyDescent="0.2">
      <c r="A268" s="54"/>
      <c r="C268" s="43"/>
      <c r="E268"/>
      <c r="G268" s="111"/>
      <c r="I268"/>
      <c r="O268" s="17" t="s">
        <v>232</v>
      </c>
      <c r="P268" s="432" t="s">
        <v>22</v>
      </c>
      <c r="Q268" s="17"/>
      <c r="R268" s="432">
        <f>R264-R266</f>
        <v>0</v>
      </c>
      <c r="S268" s="17"/>
    </row>
    <row r="269" spans="1:22" ht="21.95" customHeight="1" x14ac:dyDescent="0.2">
      <c r="A269" s="54" t="s">
        <v>136</v>
      </c>
      <c r="C269" s="43"/>
      <c r="E269"/>
      <c r="F269" s="3"/>
      <c r="G269" s="416" t="str">
        <f>IF($F$255="Employee does not exist","Nil",IF($M$219=2,SUM($G$259*0.05*$G$261),"Not applicable"))</f>
        <v>Nil</v>
      </c>
      <c r="I269"/>
    </row>
    <row r="270" spans="1:22" ht="21.95" customHeight="1" x14ac:dyDescent="0.2">
      <c r="A270" s="54"/>
      <c r="B270" s="3"/>
      <c r="C270" s="79"/>
      <c r="E270"/>
      <c r="G270" s="111"/>
      <c r="I270"/>
    </row>
    <row r="271" spans="1:22" ht="21.95" customHeight="1" x14ac:dyDescent="0.2">
      <c r="A271" s="74" t="s">
        <v>132</v>
      </c>
      <c r="B271" s="3"/>
      <c r="C271" s="79"/>
      <c r="E271"/>
      <c r="F271" s="65"/>
      <c r="G271" s="416" t="str">
        <f>IF($F$255="Employee does not exist","Nil",IF($M$219=2,SUM($G$265+$G$267+$G$269),"Not applicable"))</f>
        <v>Nil</v>
      </c>
      <c r="I271"/>
    </row>
    <row r="272" spans="1:22" ht="21.95" customHeight="1" x14ac:dyDescent="0.2">
      <c r="A272" s="54"/>
      <c r="B272" s="3"/>
      <c r="C272" s="79"/>
      <c r="E272"/>
      <c r="G272" s="115"/>
      <c r="I272"/>
    </row>
    <row r="273" spans="1:9" ht="21.95" customHeight="1" x14ac:dyDescent="0.2">
      <c r="A273" s="54" t="s">
        <v>131</v>
      </c>
      <c r="B273" s="3"/>
      <c r="C273" s="79"/>
      <c r="D273" s="63"/>
      <c r="E273"/>
      <c r="G273" s="416" t="str">
        <f>IF($F$255="Employee does not exist","Nil",IF($M$219=2,$M$227,"Not applicable"))</f>
        <v>Nil</v>
      </c>
      <c r="I273"/>
    </row>
    <row r="274" spans="1:9" ht="21.95" customHeight="1" x14ac:dyDescent="0.2">
      <c r="A274" s="54"/>
      <c r="B274" s="3"/>
      <c r="C274" s="79"/>
      <c r="E274"/>
      <c r="G274" s="408"/>
      <c r="I274"/>
    </row>
    <row r="275" spans="1:9" ht="21.95" customHeight="1" x14ac:dyDescent="0.2">
      <c r="A275" s="54" t="s">
        <v>175</v>
      </c>
      <c r="C275" s="43"/>
      <c r="E275"/>
      <c r="G275" s="416" t="str">
        <f>IF($F$255="Employee does not exist","Nil",IF($M$219=2,$M$230,0))</f>
        <v>Nil</v>
      </c>
      <c r="I275"/>
    </row>
    <row r="276" spans="1:9" ht="21.95" customHeight="1" x14ac:dyDescent="0.2">
      <c r="A276" s="54"/>
      <c r="C276" s="43"/>
      <c r="E276"/>
      <c r="G276" s="115"/>
      <c r="I276"/>
    </row>
    <row r="277" spans="1:9" ht="21.95" customHeight="1" x14ac:dyDescent="0.2">
      <c r="A277" s="74" t="s">
        <v>133</v>
      </c>
      <c r="C277" s="43"/>
      <c r="E277"/>
      <c r="F277" s="65"/>
      <c r="G277" s="417" t="str">
        <f>IF($F$255="Employee does not exist","Nil",IF($M$219=2,SUM($G$271-$G$273-$G$275),"Not applicable"))</f>
        <v>Nil</v>
      </c>
      <c r="H277" t="s">
        <v>22</v>
      </c>
      <c r="I277"/>
    </row>
    <row r="278" spans="1:9" ht="21.95" customHeight="1" x14ac:dyDescent="0.2">
      <c r="A278" s="409"/>
      <c r="C278" s="43"/>
      <c r="E278"/>
      <c r="G278" s="115"/>
      <c r="I278"/>
    </row>
    <row r="279" spans="1:9" ht="21.95" customHeight="1" x14ac:dyDescent="0.2">
      <c r="A279" s="74" t="s">
        <v>301</v>
      </c>
      <c r="B279" s="64"/>
      <c r="C279" s="262"/>
      <c r="D279" s="64"/>
      <c r="E279" s="64"/>
      <c r="F279" s="64"/>
      <c r="G279" s="115"/>
      <c r="H279" t="s">
        <v>22</v>
      </c>
    </row>
    <row r="280" spans="1:9" ht="21.95" customHeight="1" x14ac:dyDescent="0.2">
      <c r="A280" s="409"/>
      <c r="B280" s="64"/>
      <c r="C280" s="262"/>
      <c r="D280" s="64"/>
      <c r="E280" s="64"/>
      <c r="F280" s="64"/>
      <c r="G280" s="115"/>
    </row>
    <row r="281" spans="1:9" s="64" customFormat="1" ht="21.95" customHeight="1" x14ac:dyDescent="0.2">
      <c r="A281" s="74" t="s">
        <v>308</v>
      </c>
      <c r="C281" s="262"/>
      <c r="G281" s="115"/>
      <c r="H281" s="64" t="s">
        <v>22</v>
      </c>
    </row>
    <row r="282" spans="1:9" s="64" customFormat="1" ht="21.95" customHeight="1" x14ac:dyDescent="0.2">
      <c r="A282" s="74"/>
      <c r="C282" s="262"/>
      <c r="G282" s="115"/>
    </row>
    <row r="283" spans="1:9" s="64" customFormat="1" ht="21.95" customHeight="1" x14ac:dyDescent="0.2">
      <c r="A283" s="74" t="s">
        <v>309</v>
      </c>
      <c r="B283"/>
      <c r="C283"/>
      <c r="D283"/>
      <c r="E283" s="43"/>
      <c r="F283"/>
      <c r="G283" s="410"/>
    </row>
    <row r="284" spans="1:9" ht="21.95" customHeight="1" x14ac:dyDescent="0.2">
      <c r="A284" s="411"/>
      <c r="B284" s="412"/>
      <c r="C284" s="413"/>
      <c r="D284" s="412"/>
      <c r="E284" s="412"/>
      <c r="F284" s="412"/>
      <c r="G284" s="414"/>
    </row>
    <row r="294" spans="11:11" x14ac:dyDescent="0.2">
      <c r="K294" t="s">
        <v>22</v>
      </c>
    </row>
    <row r="316" spans="11:11" x14ac:dyDescent="0.2">
      <c r="K316" s="70" t="e">
        <f>-E204-#REF!</f>
        <v>#REF!</v>
      </c>
    </row>
    <row r="326" ht="20.100000000000001" customHeight="1" x14ac:dyDescent="0.2"/>
    <row r="327" ht="20.100000000000001" customHeight="1" x14ac:dyDescent="0.2"/>
    <row r="328" ht="20.100000000000001" customHeight="1" x14ac:dyDescent="0.2"/>
    <row r="329" ht="20.100000000000001" customHeight="1" x14ac:dyDescent="0.2"/>
    <row r="330" ht="20.100000000000001" customHeight="1" x14ac:dyDescent="0.2"/>
    <row r="331" ht="20.100000000000001" customHeight="1" x14ac:dyDescent="0.2"/>
    <row r="332" ht="20.100000000000001" customHeight="1" x14ac:dyDescent="0.2"/>
    <row r="333" ht="20.100000000000001" customHeight="1" x14ac:dyDescent="0.2"/>
    <row r="334" ht="20.100000000000001" customHeight="1" x14ac:dyDescent="0.2"/>
    <row r="335" ht="20.100000000000001" customHeight="1" x14ac:dyDescent="0.2"/>
    <row r="336" ht="20.100000000000001" customHeight="1" x14ac:dyDescent="0.2"/>
    <row r="337" ht="20.100000000000001" customHeight="1" x14ac:dyDescent="0.2"/>
    <row r="338" ht="20.100000000000001" customHeight="1" x14ac:dyDescent="0.2"/>
    <row r="339" ht="20.100000000000001" customHeight="1" x14ac:dyDescent="0.2"/>
    <row r="340" ht="20.100000000000001" customHeight="1" x14ac:dyDescent="0.2"/>
  </sheetData>
  <sheetProtection formatCells="0" formatColumns="0" formatRows="0" insertColumns="0" insertRows="0" insertHyperlinks="0" deleteColumns="0" deleteRows="0" sort="0" autoFilter="0" pivotTables="0"/>
  <mergeCells count="158">
    <mergeCell ref="K230:L230"/>
    <mergeCell ref="A1:V1"/>
    <mergeCell ref="G108:H108"/>
    <mergeCell ref="C122:E122"/>
    <mergeCell ref="D123:E123"/>
    <mergeCell ref="C124:D124"/>
    <mergeCell ref="C125:D125"/>
    <mergeCell ref="K216:M216"/>
    <mergeCell ref="L224:M224"/>
    <mergeCell ref="D88:E88"/>
    <mergeCell ref="G90:H90"/>
    <mergeCell ref="C160:E160"/>
    <mergeCell ref="D106:E106"/>
    <mergeCell ref="C107:D107"/>
    <mergeCell ref="G107:H107"/>
    <mergeCell ref="J178:L178"/>
    <mergeCell ref="J179:L179"/>
    <mergeCell ref="G72:H72"/>
    <mergeCell ref="G122:I122"/>
    <mergeCell ref="H123:I123"/>
    <mergeCell ref="G124:H124"/>
    <mergeCell ref="G125:H125"/>
    <mergeCell ref="K215:M215"/>
    <mergeCell ref="G36:H36"/>
    <mergeCell ref="C53:D53"/>
    <mergeCell ref="L52:M52"/>
    <mergeCell ref="C105:E105"/>
    <mergeCell ref="G105:I105"/>
    <mergeCell ref="K33:M33"/>
    <mergeCell ref="C54:D54"/>
    <mergeCell ref="G54:H54"/>
    <mergeCell ref="C72:D72"/>
    <mergeCell ref="C90:D90"/>
    <mergeCell ref="C89:D89"/>
    <mergeCell ref="C71:D71"/>
    <mergeCell ref="G53:H53"/>
    <mergeCell ref="D52:E52"/>
    <mergeCell ref="H52:I52"/>
    <mergeCell ref="L88:M88"/>
    <mergeCell ref="K87:M87"/>
    <mergeCell ref="G89:H89"/>
    <mergeCell ref="G71:H71"/>
    <mergeCell ref="G69:I69"/>
    <mergeCell ref="K69:M69"/>
    <mergeCell ref="K105:M105"/>
    <mergeCell ref="K15:M15"/>
    <mergeCell ref="C15:E15"/>
    <mergeCell ref="G15:I15"/>
    <mergeCell ref="G33:I33"/>
    <mergeCell ref="C33:E33"/>
    <mergeCell ref="C51:E51"/>
    <mergeCell ref="G51:I51"/>
    <mergeCell ref="D16:E16"/>
    <mergeCell ref="H16:I16"/>
    <mergeCell ref="D34:E34"/>
    <mergeCell ref="H34:I34"/>
    <mergeCell ref="C17:D17"/>
    <mergeCell ref="G17:H17"/>
    <mergeCell ref="K35:L35"/>
    <mergeCell ref="K17:L17"/>
    <mergeCell ref="K51:M51"/>
    <mergeCell ref="L34:M34"/>
    <mergeCell ref="K36:L36"/>
    <mergeCell ref="K18:L18"/>
    <mergeCell ref="C36:D36"/>
    <mergeCell ref="G35:H35"/>
    <mergeCell ref="C35:D35"/>
    <mergeCell ref="C18:D18"/>
    <mergeCell ref="L16:M16"/>
    <mergeCell ref="G18:H18"/>
    <mergeCell ref="F255:G255"/>
    <mergeCell ref="G160:N160"/>
    <mergeCell ref="M161:N161"/>
    <mergeCell ref="J172:L172"/>
    <mergeCell ref="J173:L173"/>
    <mergeCell ref="J174:L174"/>
    <mergeCell ref="J175:L175"/>
    <mergeCell ref="J176:L176"/>
    <mergeCell ref="J167:L167"/>
    <mergeCell ref="J168:L168"/>
    <mergeCell ref="J169:L169"/>
    <mergeCell ref="J170:L170"/>
    <mergeCell ref="J171:L171"/>
    <mergeCell ref="J161:L161"/>
    <mergeCell ref="J162:L162"/>
    <mergeCell ref="J164:L164"/>
    <mergeCell ref="J165:L165"/>
    <mergeCell ref="J166:L166"/>
    <mergeCell ref="F217:G217"/>
    <mergeCell ref="J177:L177"/>
    <mergeCell ref="F219:G219"/>
    <mergeCell ref="J190:L190"/>
    <mergeCell ref="J191:L191"/>
    <mergeCell ref="C108:D108"/>
    <mergeCell ref="J180:L180"/>
    <mergeCell ref="J181:L181"/>
    <mergeCell ref="J182:L182"/>
    <mergeCell ref="J184:L184"/>
    <mergeCell ref="J185:L185"/>
    <mergeCell ref="J186:L186"/>
    <mergeCell ref="J187:L187"/>
    <mergeCell ref="J163:L163"/>
    <mergeCell ref="K122:M122"/>
    <mergeCell ref="L123:M123"/>
    <mergeCell ref="K124:L124"/>
    <mergeCell ref="K125:L125"/>
    <mergeCell ref="C140:E140"/>
    <mergeCell ref="G140:I140"/>
    <mergeCell ref="K140:M140"/>
    <mergeCell ref="D141:E141"/>
    <mergeCell ref="H141:I141"/>
    <mergeCell ref="L141:M141"/>
    <mergeCell ref="C142:D142"/>
    <mergeCell ref="G142:H142"/>
    <mergeCell ref="K142:L142"/>
    <mergeCell ref="H106:I106"/>
    <mergeCell ref="L106:M106"/>
    <mergeCell ref="P106:Q106"/>
    <mergeCell ref="C69:E69"/>
    <mergeCell ref="D70:E70"/>
    <mergeCell ref="O87:Q87"/>
    <mergeCell ref="H88:I88"/>
    <mergeCell ref="P70:Q70"/>
    <mergeCell ref="L70:M70"/>
    <mergeCell ref="H70:I70"/>
    <mergeCell ref="P88:Q88"/>
    <mergeCell ref="C87:E87"/>
    <mergeCell ref="G87:I87"/>
    <mergeCell ref="P16:Q16"/>
    <mergeCell ref="O15:Q15"/>
    <mergeCell ref="S216:T216"/>
    <mergeCell ref="P215:U215"/>
    <mergeCell ref="O69:Q69"/>
    <mergeCell ref="O51:Q51"/>
    <mergeCell ref="O35:P35"/>
    <mergeCell ref="O36:P36"/>
    <mergeCell ref="P34:Q34"/>
    <mergeCell ref="O33:Q33"/>
    <mergeCell ref="O18:P18"/>
    <mergeCell ref="P52:Q52"/>
    <mergeCell ref="P160:R160"/>
    <mergeCell ref="O122:Q122"/>
    <mergeCell ref="P123:Q123"/>
    <mergeCell ref="O124:P124"/>
    <mergeCell ref="O125:P125"/>
    <mergeCell ref="O17:P17"/>
    <mergeCell ref="O105:Q105"/>
    <mergeCell ref="J193:L193"/>
    <mergeCell ref="C143:D143"/>
    <mergeCell ref="G143:H143"/>
    <mergeCell ref="K143:L143"/>
    <mergeCell ref="O140:Q140"/>
    <mergeCell ref="P141:Q141"/>
    <mergeCell ref="O142:P142"/>
    <mergeCell ref="O143:P143"/>
    <mergeCell ref="J188:L188"/>
    <mergeCell ref="J189:L189"/>
    <mergeCell ref="J192:L192"/>
  </mergeCells>
  <pageMargins left="0.70866141732283505" right="0.70866141732283505" top="0.74803149606299202" bottom="0.74803149606299202" header="0.31496062992126" footer="0.31496062992126"/>
  <pageSetup scale="70" pageOrder="overThenDown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"/>
  <sheetViews>
    <sheetView topLeftCell="A24" workbookViewId="0">
      <selection activeCell="K69" sqref="K69"/>
    </sheetView>
  </sheetViews>
  <sheetFormatPr defaultRowHeight="12.75" x14ac:dyDescent="0.2"/>
  <sheetData>
    <row r="1" spans="12:12" x14ac:dyDescent="0.2">
      <c r="L1" s="73" t="s">
        <v>383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H74"/>
  <sheetViews>
    <sheetView topLeftCell="A58" workbookViewId="0">
      <selection activeCell="B59" sqref="B59"/>
    </sheetView>
  </sheetViews>
  <sheetFormatPr defaultRowHeight="12.75" x14ac:dyDescent="0.2"/>
  <cols>
    <col min="1" max="2" width="10.7109375" customWidth="1"/>
    <col min="3" max="3" width="14.28515625" customWidth="1"/>
    <col min="4" max="10" width="13.7109375" customWidth="1"/>
    <col min="11" max="11" width="12.28515625" customWidth="1"/>
    <col min="12" max="12" width="13" customWidth="1"/>
    <col min="13" max="19" width="12.7109375" customWidth="1"/>
    <col min="20" max="20" width="16" customWidth="1"/>
    <col min="21" max="29" width="12.7109375" customWidth="1"/>
    <col min="30" max="34" width="13.5703125" customWidth="1"/>
  </cols>
  <sheetData>
    <row r="1" spans="1:34" ht="47.25" customHeight="1" x14ac:dyDescent="0.5">
      <c r="A1" s="652"/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</row>
    <row r="2" spans="1:34" ht="59.25" x14ac:dyDescent="0.45">
      <c r="A2" s="216" t="s">
        <v>166</v>
      </c>
      <c r="B2" s="114"/>
      <c r="C2" s="114"/>
      <c r="D2" s="114"/>
      <c r="E2" s="114"/>
      <c r="F2" s="199"/>
      <c r="G2" s="114"/>
      <c r="H2" s="175"/>
      <c r="I2" s="114"/>
      <c r="J2" s="175"/>
      <c r="K2" s="114"/>
      <c r="L2" s="148"/>
      <c r="M2" s="148"/>
      <c r="N2" s="154"/>
      <c r="O2" s="114"/>
      <c r="P2" s="114"/>
      <c r="Q2" s="114"/>
      <c r="R2" s="114"/>
      <c r="S2" s="114"/>
      <c r="T2" s="114"/>
      <c r="U2" s="114"/>
      <c r="V2" s="114"/>
      <c r="W2" s="114"/>
    </row>
    <row r="4" spans="1:34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34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34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34" s="86" customFormat="1" x14ac:dyDescent="0.2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</row>
    <row r="8" spans="1:34" s="86" customFormat="1" x14ac:dyDescent="0.2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</row>
    <row r="9" spans="1:34" s="86" customFormat="1" x14ac:dyDescent="0.2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</row>
    <row r="10" spans="1:34" s="86" customFormat="1" x14ac:dyDescent="0.2">
      <c r="A10" s="91"/>
      <c r="B10" s="92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</row>
    <row r="11" spans="1:34" ht="25.5" x14ac:dyDescent="0.2">
      <c r="A11" s="73" t="s">
        <v>65</v>
      </c>
      <c r="C11" s="49" t="str">
        <f>Wages!D16</f>
        <v>Sapulene Mkulichi</v>
      </c>
      <c r="D11" s="49" t="str">
        <f>Wages!H16</f>
        <v>George Matemba</v>
      </c>
      <c r="E11" s="49" t="str">
        <f>Wages!P141</f>
        <v xml:space="preserve">vacant  </v>
      </c>
      <c r="F11" s="49" t="str">
        <f>Wages!L16</f>
        <v>Alinafe James</v>
      </c>
      <c r="G11" s="49" t="str">
        <f>Wages!P16</f>
        <v>Chimwemwe Banda</v>
      </c>
      <c r="H11" s="49" t="str">
        <f>Wages!D34</f>
        <v xml:space="preserve">vacant  </v>
      </c>
      <c r="I11" s="49" t="str">
        <f>Wages!H34</f>
        <v>Maureen Ulaya</v>
      </c>
      <c r="J11" s="49" t="str">
        <f>Wages!L34</f>
        <v>Francis Chatsweka</v>
      </c>
      <c r="K11" s="49" t="str">
        <f>Wages!P34</f>
        <v>Stenala Mponda</v>
      </c>
      <c r="L11" s="49" t="str">
        <f>Wages!D52</f>
        <v>Simikizani Siki</v>
      </c>
      <c r="M11" s="49" t="str">
        <f>Wages!H52</f>
        <v>Amini Wecha</v>
      </c>
      <c r="N11" s="49" t="str">
        <f>Wages!L52</f>
        <v>Tayifolo Mandowa</v>
      </c>
      <c r="O11" s="49" t="str">
        <f>Wages!P52</f>
        <v>Monica George</v>
      </c>
      <c r="P11" s="49" t="str">
        <f>Wages!D70</f>
        <v>Madalitso Baluti</v>
      </c>
      <c r="Q11" s="49" t="str">
        <f>Wages!H70</f>
        <v>Peter James</v>
      </c>
      <c r="R11" s="49" t="str">
        <f>Wages!L70</f>
        <v>Maggie Billy</v>
      </c>
      <c r="S11" s="49" t="str">
        <f>Wages!P70</f>
        <v xml:space="preserve">vacant  </v>
      </c>
      <c r="T11" t="str">
        <f>Wages!D88</f>
        <v>Esnat Adam</v>
      </c>
      <c r="U11" s="49" t="str">
        <f>Wages!H88</f>
        <v>Martin Kandalama</v>
      </c>
      <c r="V11" s="49" t="str">
        <f>Wages!L88</f>
        <v>Daniel Mponda</v>
      </c>
      <c r="W11" s="49" t="str">
        <f>Wages!P88</f>
        <v>Elizabeth Kabudula</v>
      </c>
      <c r="X11" s="49" t="str">
        <f>Wages!D106</f>
        <v xml:space="preserve">vacant  </v>
      </c>
      <c r="Y11" s="49" t="str">
        <f>Wages!H106</f>
        <v>William Mahinya</v>
      </c>
      <c r="Z11" s="49" t="str">
        <f>Wages!L106</f>
        <v xml:space="preserve">vacant  </v>
      </c>
      <c r="AA11" s="49" t="str">
        <f>Wages!P106</f>
        <v xml:space="preserve">  </v>
      </c>
      <c r="AB11" s="49" t="str">
        <f>Wages!D123</f>
        <v xml:space="preserve">vacant  </v>
      </c>
      <c r="AC11" s="49" t="str">
        <f>Wages!H123</f>
        <v>Yankho Gulani</v>
      </c>
      <c r="AD11" s="49" t="str">
        <f>Wages!L123</f>
        <v>Agness  Mponda</v>
      </c>
      <c r="AE11" s="49" t="str">
        <f>Wages!P123</f>
        <v>Elizabeth Chinkono</v>
      </c>
      <c r="AF11" s="49" t="str">
        <f>Wages!D141</f>
        <v xml:space="preserve">vacant  </v>
      </c>
      <c r="AG11" s="49" t="str">
        <f>Wages!H141</f>
        <v>Dancan Botha</v>
      </c>
      <c r="AH11" s="49" t="str">
        <f>Wages!L141</f>
        <v>Ibrahim Amadu</v>
      </c>
    </row>
    <row r="12" spans="1:34" x14ac:dyDescent="0.2">
      <c r="A12" s="73" t="s">
        <v>62</v>
      </c>
      <c r="C12" s="82" t="str">
        <f>Biodata!A15</f>
        <v>CITI01</v>
      </c>
      <c r="D12" s="82" t="str">
        <f>Biodata!A16</f>
        <v>CITI02</v>
      </c>
      <c r="E12" s="82" t="str">
        <f>Biodata!A17</f>
        <v>CITI03</v>
      </c>
      <c r="F12" s="82" t="str">
        <f>Biodata!A22</f>
        <v>CITI04</v>
      </c>
      <c r="G12" s="82" t="str">
        <f>Biodata!A23</f>
        <v>CITI05</v>
      </c>
      <c r="H12" s="82" t="str">
        <f>Biodata!A24</f>
        <v>CITI06</v>
      </c>
      <c r="I12" s="82" t="str">
        <f>Biodata!A25</f>
        <v>CITI07</v>
      </c>
      <c r="J12" s="82" t="str">
        <f>Biodata!A26</f>
        <v>CITI08</v>
      </c>
      <c r="K12" s="82" t="str">
        <f>Biodata!A27</f>
        <v>CITI09</v>
      </c>
      <c r="L12" s="82" t="str">
        <f>Biodata!A28</f>
        <v>CITI10</v>
      </c>
      <c r="M12" s="82" t="str">
        <f>Biodata!A29</f>
        <v>CITI11</v>
      </c>
      <c r="N12" s="82" t="str">
        <f>Biodata!A35</f>
        <v>CITI12</v>
      </c>
      <c r="O12" s="82" t="str">
        <f>Biodata!A36</f>
        <v>CITI13</v>
      </c>
      <c r="P12" s="82" t="str">
        <f>Biodata!A37</f>
        <v>CITI14</v>
      </c>
      <c r="Q12" s="82" t="str">
        <f>Biodata!A43</f>
        <v>CITI15</v>
      </c>
      <c r="R12" s="82" t="str">
        <f>Biodata!A44</f>
        <v>CITI16</v>
      </c>
      <c r="S12" s="82" t="str">
        <f>Biodata!A45</f>
        <v>CITI17</v>
      </c>
      <c r="T12" s="82" t="str">
        <f>Biodata!A46</f>
        <v>CITI18</v>
      </c>
      <c r="U12" s="82" t="str">
        <f>Biodata!A53</f>
        <v>CITI19</v>
      </c>
      <c r="V12" s="82" t="str">
        <f>Biodata!A54</f>
        <v>CITI20</v>
      </c>
      <c r="W12" s="82" t="str">
        <f>Biodata!A55</f>
        <v>CITI21</v>
      </c>
      <c r="X12" s="82" t="str">
        <f>Biodata!A56</f>
        <v>CITI22</v>
      </c>
      <c r="Y12" s="82" t="str">
        <f>Biodata!A62</f>
        <v>CITI23</v>
      </c>
      <c r="Z12" s="82" t="str">
        <f>Biodata!A63</f>
        <v>CITI24</v>
      </c>
      <c r="AA12" s="82" t="str">
        <f>Biodata!A64</f>
        <v>CITI25</v>
      </c>
      <c r="AB12" s="82" t="str">
        <f>Biodata!A65</f>
        <v>CITI26</v>
      </c>
      <c r="AC12" s="82" t="str">
        <f>Biodata!A66</f>
        <v>CITI27</v>
      </c>
      <c r="AD12" s="82" t="str">
        <f>Biodata!A73</f>
        <v>CITI28</v>
      </c>
      <c r="AE12" s="82" t="str">
        <f>Biodata!A74</f>
        <v>CITI29</v>
      </c>
      <c r="AF12" s="82" t="str">
        <f>Biodata!A75</f>
        <v>CITI30</v>
      </c>
      <c r="AG12" s="82" t="str">
        <f>Biodata!A76</f>
        <v>CITI30</v>
      </c>
      <c r="AH12" s="82" t="str">
        <f>Biodata!A77</f>
        <v>CITI31</v>
      </c>
    </row>
    <row r="13" spans="1:34" x14ac:dyDescent="0.2">
      <c r="A13" s="5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</row>
    <row r="14" spans="1:34" s="112" customFormat="1" x14ac:dyDescent="0.2">
      <c r="A14" s="118" t="s">
        <v>67</v>
      </c>
      <c r="B14" s="119"/>
      <c r="C14" s="120">
        <f>Biodata!F15</f>
        <v>0</v>
      </c>
      <c r="D14" s="120">
        <f>Biodata!$F16</f>
        <v>120000</v>
      </c>
      <c r="E14" s="120">
        <f>Biodata!$F17</f>
        <v>0</v>
      </c>
      <c r="F14" s="120">
        <f>Biodata!F22</f>
        <v>80000</v>
      </c>
      <c r="G14" s="120">
        <f>Biodata!$F23</f>
        <v>80000</v>
      </c>
      <c r="H14" s="120">
        <f>Biodata!$F24</f>
        <v>0</v>
      </c>
      <c r="I14" s="120">
        <f>Biodata!$F25</f>
        <v>80000</v>
      </c>
      <c r="J14" s="120">
        <f>Biodata!$F26</f>
        <v>70000</v>
      </c>
      <c r="K14" s="120">
        <f>Biodata!$F27</f>
        <v>70000</v>
      </c>
      <c r="L14" s="120">
        <f>Biodata!F28</f>
        <v>70000</v>
      </c>
      <c r="M14" s="120">
        <f>Biodata!F29</f>
        <v>70000</v>
      </c>
      <c r="N14" s="120">
        <f>Biodata!$F35</f>
        <v>120000</v>
      </c>
      <c r="O14" s="120">
        <f>Biodata!$F36</f>
        <v>80000</v>
      </c>
      <c r="P14" s="120">
        <f>Biodata!F37</f>
        <v>90000</v>
      </c>
      <c r="Q14" s="120">
        <f>Biodata!$F43</f>
        <v>60000</v>
      </c>
      <c r="R14" s="120">
        <f>Biodata!F44</f>
        <v>80000</v>
      </c>
      <c r="S14" s="120">
        <f>Biodata!F45</f>
        <v>0</v>
      </c>
      <c r="T14" s="120">
        <f>Biodata!F46</f>
        <v>80000</v>
      </c>
      <c r="U14" s="120">
        <f>Biodata!$F53</f>
        <v>70000</v>
      </c>
      <c r="V14" s="120">
        <f>Biodata!$F54</f>
        <v>70000</v>
      </c>
      <c r="W14" s="120">
        <f>Biodata!F55</f>
        <v>20000</v>
      </c>
      <c r="X14" s="120">
        <f>Biodata!F56</f>
        <v>0</v>
      </c>
      <c r="Y14" s="120">
        <f>Biodata!$F62</f>
        <v>150000</v>
      </c>
      <c r="Z14" s="120">
        <f>Biodata!$F63</f>
        <v>0</v>
      </c>
      <c r="AA14" s="120">
        <f>Biodata!$F64</f>
        <v>0</v>
      </c>
      <c r="AB14" s="120">
        <f>Biodata!$F65</f>
        <v>0</v>
      </c>
      <c r="AC14" s="120">
        <f>Biodata!$F66</f>
        <v>120000</v>
      </c>
      <c r="AD14" s="120">
        <f>Biodata!$F73</f>
        <v>80000</v>
      </c>
      <c r="AE14" s="120">
        <f>Biodata!$F74</f>
        <v>100000</v>
      </c>
      <c r="AF14" s="120">
        <f>Biodata!$F75</f>
        <v>0</v>
      </c>
      <c r="AG14" s="120">
        <f>Biodata!$F76</f>
        <v>94000</v>
      </c>
      <c r="AH14" s="120">
        <f>Biodata!$F77</f>
        <v>80000</v>
      </c>
    </row>
    <row r="15" spans="1:34" x14ac:dyDescent="0.2">
      <c r="A15" s="713" t="s">
        <v>69</v>
      </c>
      <c r="B15" s="714"/>
      <c r="C15" s="714"/>
      <c r="D15" s="89">
        <v>28</v>
      </c>
      <c r="E15" s="86"/>
      <c r="F15" s="86"/>
      <c r="G15" s="87"/>
      <c r="H15" s="88" t="s">
        <v>22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</row>
    <row r="16" spans="1:34" x14ac:dyDescent="0.2">
      <c r="A16" s="84" t="s">
        <v>68</v>
      </c>
      <c r="B16" s="7"/>
      <c r="C16" s="61">
        <f t="shared" ref="C16:W16" si="0">INT(ROUND(C14/$D$15,1))</f>
        <v>0</v>
      </c>
      <c r="D16" s="61">
        <f t="shared" si="0"/>
        <v>4285</v>
      </c>
      <c r="E16" s="61">
        <f>INT(ROUND(E14/$D$15,1))</f>
        <v>0</v>
      </c>
      <c r="F16" s="61">
        <f t="shared" si="0"/>
        <v>2857</v>
      </c>
      <c r="G16" s="61">
        <f t="shared" si="0"/>
        <v>2857</v>
      </c>
      <c r="H16" s="61">
        <f t="shared" si="0"/>
        <v>0</v>
      </c>
      <c r="I16" s="61">
        <f t="shared" si="0"/>
        <v>2857</v>
      </c>
      <c r="J16" s="61">
        <f t="shared" si="0"/>
        <v>2500</v>
      </c>
      <c r="K16" s="61">
        <f t="shared" si="0"/>
        <v>2500</v>
      </c>
      <c r="L16" s="61">
        <f t="shared" si="0"/>
        <v>2500</v>
      </c>
      <c r="M16" s="61">
        <f>INT(ROUND(M14/$D$15,1))</f>
        <v>2500</v>
      </c>
      <c r="N16" s="61">
        <f t="shared" si="0"/>
        <v>4285</v>
      </c>
      <c r="O16" s="61">
        <f t="shared" si="0"/>
        <v>2857</v>
      </c>
      <c r="P16" s="61">
        <f t="shared" si="0"/>
        <v>3214</v>
      </c>
      <c r="Q16" s="61">
        <f t="shared" si="0"/>
        <v>2142</v>
      </c>
      <c r="R16" s="61">
        <f t="shared" si="0"/>
        <v>2857</v>
      </c>
      <c r="S16" s="61">
        <f t="shared" si="0"/>
        <v>0</v>
      </c>
      <c r="T16" s="61">
        <f t="shared" si="0"/>
        <v>2857</v>
      </c>
      <c r="U16" s="61">
        <f t="shared" si="0"/>
        <v>2500</v>
      </c>
      <c r="V16" s="61">
        <f t="shared" si="0"/>
        <v>2500</v>
      </c>
      <c r="W16" s="61">
        <f t="shared" si="0"/>
        <v>714</v>
      </c>
      <c r="X16" s="61">
        <f t="shared" ref="X16:AC16" si="1">INT(ROUND(X14/$D$15,1))</f>
        <v>0</v>
      </c>
      <c r="Y16" s="61">
        <f t="shared" si="1"/>
        <v>5357</v>
      </c>
      <c r="Z16" s="61">
        <f t="shared" si="1"/>
        <v>0</v>
      </c>
      <c r="AA16" s="61">
        <f t="shared" si="1"/>
        <v>0</v>
      </c>
      <c r="AB16" s="61">
        <f t="shared" si="1"/>
        <v>0</v>
      </c>
      <c r="AC16" s="61">
        <f t="shared" si="1"/>
        <v>4285</v>
      </c>
      <c r="AD16" s="61">
        <f>INT(ROUND(AD14/$D$15,1))</f>
        <v>2857</v>
      </c>
      <c r="AE16" s="61">
        <f>INT(ROUND(AE14/$D$15,1))</f>
        <v>3571</v>
      </c>
      <c r="AF16" s="61">
        <f>INT(ROUND(AF14/$D$15,1))</f>
        <v>0</v>
      </c>
      <c r="AG16" s="61">
        <f>INT(ROUND(AG14/$D$15,1))</f>
        <v>3357</v>
      </c>
      <c r="AH16" s="61">
        <f>INT(ROUND(AH14/$D$15,1))</f>
        <v>2857</v>
      </c>
    </row>
    <row r="17" spans="1:34" x14ac:dyDescent="0.2">
      <c r="A17" s="90" t="s">
        <v>70</v>
      </c>
      <c r="B17" s="90"/>
      <c r="C17" s="94">
        <f>INT(ROUND(C16/8,1))</f>
        <v>0</v>
      </c>
      <c r="D17" s="94">
        <f t="shared" ref="D17:W17" si="2">INT(ROUND(D16/8,1))</f>
        <v>535</v>
      </c>
      <c r="E17" s="94">
        <f>INT(ROUND(E16/8,1))</f>
        <v>0</v>
      </c>
      <c r="F17" s="94">
        <f t="shared" si="2"/>
        <v>357</v>
      </c>
      <c r="G17" s="94">
        <f t="shared" si="2"/>
        <v>357</v>
      </c>
      <c r="H17" s="94">
        <f t="shared" si="2"/>
        <v>0</v>
      </c>
      <c r="I17" s="94">
        <f t="shared" si="2"/>
        <v>357</v>
      </c>
      <c r="J17" s="94">
        <f t="shared" si="2"/>
        <v>312</v>
      </c>
      <c r="K17" s="94">
        <f t="shared" si="2"/>
        <v>312</v>
      </c>
      <c r="L17" s="94">
        <f t="shared" si="2"/>
        <v>312</v>
      </c>
      <c r="M17" s="94">
        <f t="shared" si="2"/>
        <v>312</v>
      </c>
      <c r="N17" s="94">
        <f t="shared" si="2"/>
        <v>535</v>
      </c>
      <c r="O17" s="94">
        <f t="shared" si="2"/>
        <v>357</v>
      </c>
      <c r="P17" s="94">
        <f t="shared" si="2"/>
        <v>401</v>
      </c>
      <c r="Q17" s="94">
        <f t="shared" si="2"/>
        <v>267</v>
      </c>
      <c r="R17" s="94">
        <f t="shared" si="2"/>
        <v>357</v>
      </c>
      <c r="S17" s="94">
        <f t="shared" si="2"/>
        <v>0</v>
      </c>
      <c r="T17" s="94">
        <f t="shared" si="2"/>
        <v>357</v>
      </c>
      <c r="U17" s="94">
        <f t="shared" si="2"/>
        <v>312</v>
      </c>
      <c r="V17" s="94">
        <f t="shared" si="2"/>
        <v>312</v>
      </c>
      <c r="W17" s="94">
        <f t="shared" si="2"/>
        <v>89</v>
      </c>
      <c r="X17" s="94">
        <f t="shared" ref="X17:AC17" si="3">INT(ROUND(X16/8,1))</f>
        <v>0</v>
      </c>
      <c r="Y17" s="94">
        <f t="shared" si="3"/>
        <v>669</v>
      </c>
      <c r="Z17" s="94">
        <f t="shared" si="3"/>
        <v>0</v>
      </c>
      <c r="AA17" s="94">
        <f t="shared" si="3"/>
        <v>0</v>
      </c>
      <c r="AB17" s="94">
        <f t="shared" si="3"/>
        <v>0</v>
      </c>
      <c r="AC17" s="94">
        <f t="shared" si="3"/>
        <v>535</v>
      </c>
      <c r="AD17" s="94">
        <f>INT(ROUND(AD16/8,1))</f>
        <v>357</v>
      </c>
      <c r="AE17" s="94">
        <f>INT(ROUND(AE16/8,1))</f>
        <v>446</v>
      </c>
      <c r="AF17" s="94">
        <f>INT(ROUND(AF16/8,1))</f>
        <v>0</v>
      </c>
      <c r="AG17" s="94">
        <f>INT(ROUND(AG16/8,1))</f>
        <v>419</v>
      </c>
      <c r="AH17" s="94">
        <f>INT(ROUND(AH16/8,1))</f>
        <v>357</v>
      </c>
    </row>
    <row r="18" spans="1:34" x14ac:dyDescent="0.2">
      <c r="A18" s="95" t="s">
        <v>71</v>
      </c>
      <c r="B18" s="96"/>
      <c r="C18" s="100">
        <f>C17*Wages!$C162</f>
        <v>0</v>
      </c>
      <c r="D18" s="100">
        <f>C17*Wages!$C163</f>
        <v>0</v>
      </c>
      <c r="E18" s="100">
        <f>D17*Wages!$C164</f>
        <v>0</v>
      </c>
      <c r="F18" s="100">
        <f>F17*Wages!$C165</f>
        <v>0</v>
      </c>
      <c r="G18" s="100">
        <f>G17*Wages!$C1656</f>
        <v>0</v>
      </c>
      <c r="H18" s="100">
        <f>H17*Wages!$C167</f>
        <v>0</v>
      </c>
      <c r="I18" s="100">
        <f>I17*Wages!$C168</f>
        <v>0</v>
      </c>
      <c r="J18" s="100">
        <f>J17*Wages!$C169</f>
        <v>0</v>
      </c>
      <c r="K18" s="100">
        <f>K17*Wages!$C170</f>
        <v>0</v>
      </c>
      <c r="L18" s="100">
        <f>L17*Wages!$C171</f>
        <v>0</v>
      </c>
      <c r="M18" s="100">
        <f>M17*Wages!$C172</f>
        <v>0</v>
      </c>
      <c r="N18" s="100">
        <f>N17*Wages!$C173</f>
        <v>0</v>
      </c>
      <c r="O18" s="100">
        <f>O17*Wages!$C174</f>
        <v>0</v>
      </c>
      <c r="P18" s="100">
        <f>P17*Wages!$C175</f>
        <v>0</v>
      </c>
      <c r="Q18" s="100">
        <f>Q17*Wages!$C176</f>
        <v>0</v>
      </c>
      <c r="R18" s="100">
        <f>R17*Wages!$C177</f>
        <v>0</v>
      </c>
      <c r="S18" s="100">
        <f>S17*Wages!$C178</f>
        <v>0</v>
      </c>
      <c r="T18" s="100">
        <f>T17*Wages!$C179</f>
        <v>0</v>
      </c>
      <c r="U18" s="100">
        <f>U17*Wages!$C180</f>
        <v>0</v>
      </c>
      <c r="V18" s="100">
        <f>V17*Wages!$C181</f>
        <v>0</v>
      </c>
      <c r="W18" s="100">
        <f>W17*Wages!$C182</f>
        <v>0</v>
      </c>
      <c r="X18" s="100">
        <f>X17*Wages!$C183</f>
        <v>0</v>
      </c>
      <c r="Y18" s="100">
        <f>Y17*Wages!$C184</f>
        <v>0</v>
      </c>
      <c r="Z18" s="100">
        <f>Z17*Wages!$C185</f>
        <v>0</v>
      </c>
      <c r="AA18" s="100">
        <f>AA17*Wages!$C186</f>
        <v>0</v>
      </c>
      <c r="AB18" s="100">
        <f>AB17*Wages!$C187</f>
        <v>0</v>
      </c>
      <c r="AC18" s="100">
        <f>AC17*Wages!$C188</f>
        <v>0</v>
      </c>
      <c r="AD18" s="100">
        <f>AD17*Wages!$C189</f>
        <v>0</v>
      </c>
      <c r="AE18" s="100">
        <f>AE17*Wages!$C190</f>
        <v>0</v>
      </c>
      <c r="AF18" s="100">
        <f>AF17*Wages!$C191</f>
        <v>0</v>
      </c>
      <c r="AG18" s="100">
        <f>AG17*Wages!$C192</f>
        <v>0</v>
      </c>
      <c r="AH18" s="100">
        <f>AH17*Wages!$C193</f>
        <v>0</v>
      </c>
    </row>
    <row r="19" spans="1:34" x14ac:dyDescent="0.2">
      <c r="A19" s="98" t="s">
        <v>72</v>
      </c>
      <c r="B19" s="99"/>
      <c r="C19" s="100">
        <f>C17*Wages!$C162*1.5</f>
        <v>0</v>
      </c>
      <c r="D19" s="100">
        <f>C17*Wages!$C163*1.5</f>
        <v>0</v>
      </c>
      <c r="E19" s="100">
        <f>D17*Wages!$C164*1.5</f>
        <v>0</v>
      </c>
      <c r="F19" s="100">
        <f>F17*Wages!$C165*1.5</f>
        <v>0</v>
      </c>
      <c r="G19" s="100">
        <f>G17*Wages!$C166*1.5</f>
        <v>0</v>
      </c>
      <c r="H19" s="100">
        <f>H17*Wages!$C167*1.5</f>
        <v>0</v>
      </c>
      <c r="I19" s="100">
        <f>I17*Wages!$C168*1.5</f>
        <v>0</v>
      </c>
      <c r="J19" s="100">
        <f>J17*Wages!$C169*1.5</f>
        <v>0</v>
      </c>
      <c r="K19" s="100">
        <f>K17*Wages!$C170*1.5</f>
        <v>0</v>
      </c>
      <c r="L19" s="100">
        <f>L17*Wages!$C171*1.5</f>
        <v>0</v>
      </c>
      <c r="M19" s="100">
        <f>M17*Wages!$C172*1.5</f>
        <v>0</v>
      </c>
      <c r="N19" s="100">
        <f>N17*Wages!$C173*1.5</f>
        <v>0</v>
      </c>
      <c r="O19" s="100">
        <f>O17*Wages!$C174*1.5</f>
        <v>0</v>
      </c>
      <c r="P19" s="100">
        <f>P17*Wages!$C175*1.5</f>
        <v>0</v>
      </c>
      <c r="Q19" s="100">
        <f>Q17*Wages!$C176*1.5</f>
        <v>0</v>
      </c>
      <c r="R19" s="100">
        <f>R17*Wages!$C177*1.5</f>
        <v>0</v>
      </c>
      <c r="S19" s="100">
        <f>S17*Wages!$C178*1.5</f>
        <v>0</v>
      </c>
      <c r="T19" s="100">
        <f>T17*Wages!$C179*1.5</f>
        <v>0</v>
      </c>
      <c r="U19" s="100">
        <f>U17*Wages!$C180*1.5</f>
        <v>0</v>
      </c>
      <c r="V19" s="100">
        <f>V17*Wages!$C181*1.5</f>
        <v>0</v>
      </c>
      <c r="W19" s="100">
        <f>W17*Wages!$C182*1.5</f>
        <v>0</v>
      </c>
      <c r="X19" s="100">
        <f>X17*Wages!$C183*1.5</f>
        <v>0</v>
      </c>
      <c r="Y19" s="100">
        <f>Y17*Wages!$C184*1.5</f>
        <v>0</v>
      </c>
      <c r="Z19" s="100">
        <f>Z17*Wages!$C185*1.5</f>
        <v>0</v>
      </c>
      <c r="AA19" s="100">
        <f>AA17*Wages!$C186*1.5</f>
        <v>0</v>
      </c>
      <c r="AB19" s="100">
        <f>AB17*Wages!$C187*1.5</f>
        <v>0</v>
      </c>
      <c r="AC19" s="100">
        <f>AC17*Wages!$C188*1.5</f>
        <v>0</v>
      </c>
      <c r="AD19" s="100">
        <f>AD17*Wages!$C189*1.5</f>
        <v>0</v>
      </c>
      <c r="AE19" s="100">
        <f>AE17*Wages!$C190*1.5</f>
        <v>0</v>
      </c>
      <c r="AF19" s="100">
        <f>AF17*Wages!$C191*1.5</f>
        <v>0</v>
      </c>
      <c r="AG19" s="100">
        <f>AG17*Wages!$C192*1.5</f>
        <v>0</v>
      </c>
      <c r="AH19" s="100">
        <f>AH17*Wages!$C193*1.5</f>
        <v>0</v>
      </c>
    </row>
    <row r="20" spans="1:34" x14ac:dyDescent="0.2">
      <c r="A20" s="73" t="s">
        <v>74</v>
      </c>
      <c r="C20" s="101">
        <f>C18+C19</f>
        <v>0</v>
      </c>
      <c r="D20" s="101">
        <f t="shared" ref="D20:W20" si="4">D18+D19</f>
        <v>0</v>
      </c>
      <c r="E20" s="101">
        <f>E18+E19</f>
        <v>0</v>
      </c>
      <c r="F20" s="101">
        <f t="shared" si="4"/>
        <v>0</v>
      </c>
      <c r="G20" s="101">
        <f t="shared" si="4"/>
        <v>0</v>
      </c>
      <c r="H20" s="101">
        <f t="shared" si="4"/>
        <v>0</v>
      </c>
      <c r="I20" s="101">
        <f t="shared" si="4"/>
        <v>0</v>
      </c>
      <c r="J20" s="101">
        <f t="shared" si="4"/>
        <v>0</v>
      </c>
      <c r="K20" s="101">
        <f t="shared" si="4"/>
        <v>0</v>
      </c>
      <c r="L20" s="101">
        <f t="shared" si="4"/>
        <v>0</v>
      </c>
      <c r="M20" s="101">
        <f t="shared" si="4"/>
        <v>0</v>
      </c>
      <c r="N20" s="101">
        <f t="shared" si="4"/>
        <v>0</v>
      </c>
      <c r="O20" s="101">
        <f t="shared" si="4"/>
        <v>0</v>
      </c>
      <c r="P20" s="101">
        <f t="shared" si="4"/>
        <v>0</v>
      </c>
      <c r="Q20" s="101">
        <f t="shared" si="4"/>
        <v>0</v>
      </c>
      <c r="R20" s="101">
        <f t="shared" si="4"/>
        <v>0</v>
      </c>
      <c r="S20" s="101">
        <f t="shared" si="4"/>
        <v>0</v>
      </c>
      <c r="T20" s="101">
        <f t="shared" si="4"/>
        <v>0</v>
      </c>
      <c r="U20" s="101">
        <f t="shared" si="4"/>
        <v>0</v>
      </c>
      <c r="V20" s="101">
        <f t="shared" si="4"/>
        <v>0</v>
      </c>
      <c r="W20" s="101">
        <f t="shared" si="4"/>
        <v>0</v>
      </c>
      <c r="X20" s="101">
        <f t="shared" ref="X20:AC20" si="5">X18+X19</f>
        <v>0</v>
      </c>
      <c r="Y20" s="101">
        <f t="shared" si="5"/>
        <v>0</v>
      </c>
      <c r="Z20" s="101">
        <f t="shared" si="5"/>
        <v>0</v>
      </c>
      <c r="AA20" s="101">
        <f t="shared" si="5"/>
        <v>0</v>
      </c>
      <c r="AB20" s="101">
        <f t="shared" si="5"/>
        <v>0</v>
      </c>
      <c r="AC20" s="101">
        <f t="shared" si="5"/>
        <v>0</v>
      </c>
      <c r="AD20" s="101">
        <f>AD18+AD19</f>
        <v>0</v>
      </c>
      <c r="AE20" s="101">
        <f>AE18+AE19</f>
        <v>0</v>
      </c>
      <c r="AF20" s="101">
        <f>AF18+AF19</f>
        <v>0</v>
      </c>
      <c r="AG20" s="101">
        <f>AG18+AG19</f>
        <v>0</v>
      </c>
      <c r="AH20" s="101">
        <f>AH18+AH19</f>
        <v>0</v>
      </c>
    </row>
    <row r="21" spans="1:34" x14ac:dyDescent="0.2">
      <c r="A21" s="5" t="s">
        <v>17</v>
      </c>
      <c r="C21" s="97">
        <f>Wages!$E162</f>
        <v>0</v>
      </c>
      <c r="D21" s="97">
        <f>Wages!$E162</f>
        <v>0</v>
      </c>
      <c r="E21" s="97">
        <f>Wages!$E162</f>
        <v>0</v>
      </c>
      <c r="F21" s="97">
        <f>Wages!$E164</f>
        <v>0</v>
      </c>
      <c r="G21" s="97">
        <f>Wages!$E165</f>
        <v>0</v>
      </c>
      <c r="H21" s="97">
        <f>Wages!$E166</f>
        <v>0</v>
      </c>
      <c r="I21" s="97">
        <f>Wages!$E167</f>
        <v>0</v>
      </c>
      <c r="J21" s="97">
        <f>Wages!$E168</f>
        <v>0</v>
      </c>
      <c r="K21" s="97">
        <f>Wages!$E169</f>
        <v>0</v>
      </c>
      <c r="L21" s="97">
        <f>Wages!$E170</f>
        <v>0</v>
      </c>
      <c r="M21" s="97">
        <f>Wages!$E171</f>
        <v>0</v>
      </c>
      <c r="N21" s="97">
        <f>Wages!$E172</f>
        <v>0</v>
      </c>
      <c r="O21" s="97">
        <f>Wages!$E173</f>
        <v>0</v>
      </c>
      <c r="P21" s="97">
        <f>Wages!$E174</f>
        <v>0</v>
      </c>
      <c r="Q21" s="97">
        <f>Wages!$E175</f>
        <v>0</v>
      </c>
      <c r="R21" s="97">
        <f>Wages!$E176</f>
        <v>0</v>
      </c>
      <c r="S21" s="97">
        <f>Wages!$E177</f>
        <v>0</v>
      </c>
      <c r="T21" s="97">
        <f>Wages!$E178</f>
        <v>0</v>
      </c>
      <c r="U21" s="97">
        <f>Wages!$E179</f>
        <v>0</v>
      </c>
      <c r="V21" s="97">
        <f>Wages!$E180</f>
        <v>0</v>
      </c>
      <c r="W21" s="97">
        <f>Wages!$E181</f>
        <v>0</v>
      </c>
      <c r="X21" s="97">
        <f>Wages!$E178</f>
        <v>0</v>
      </c>
      <c r="Y21" s="97">
        <f>Wages!$E179</f>
        <v>0</v>
      </c>
      <c r="Z21" s="97">
        <f>Wages!$E180</f>
        <v>0</v>
      </c>
      <c r="AA21" s="97">
        <f>Wages!$E181</f>
        <v>0</v>
      </c>
      <c r="AB21" s="97">
        <f>Wages!$E181</f>
        <v>0</v>
      </c>
      <c r="AC21" s="97">
        <f>Wages!$E181</f>
        <v>0</v>
      </c>
      <c r="AD21" s="97">
        <f>Wages!$E181</f>
        <v>0</v>
      </c>
      <c r="AE21" s="97">
        <f>Wages!$E181</f>
        <v>0</v>
      </c>
      <c r="AF21" s="97">
        <f>Wages!$E181</f>
        <v>0</v>
      </c>
      <c r="AG21" s="97">
        <f>Wages!$E181</f>
        <v>0</v>
      </c>
      <c r="AH21" s="97">
        <f>Wages!$E181</f>
        <v>0</v>
      </c>
    </row>
    <row r="23" spans="1:34" x14ac:dyDescent="0.2">
      <c r="A23" s="5" t="s">
        <v>19</v>
      </c>
      <c r="C23" s="50">
        <f>C16*C21</f>
        <v>0</v>
      </c>
      <c r="D23" s="50">
        <f t="shared" ref="D23:W23" si="6">D16*D21</f>
        <v>0</v>
      </c>
      <c r="E23" s="50">
        <f>E16*E21</f>
        <v>0</v>
      </c>
      <c r="F23" s="50">
        <f t="shared" si="6"/>
        <v>0</v>
      </c>
      <c r="G23" s="50">
        <f t="shared" si="6"/>
        <v>0</v>
      </c>
      <c r="H23" s="50">
        <f t="shared" si="6"/>
        <v>0</v>
      </c>
      <c r="I23" s="50">
        <f t="shared" si="6"/>
        <v>0</v>
      </c>
      <c r="J23" s="50">
        <f t="shared" si="6"/>
        <v>0</v>
      </c>
      <c r="K23" s="50">
        <f t="shared" si="6"/>
        <v>0</v>
      </c>
      <c r="L23" s="50">
        <f t="shared" si="6"/>
        <v>0</v>
      </c>
      <c r="M23" s="50">
        <f t="shared" si="6"/>
        <v>0</v>
      </c>
      <c r="N23" s="50">
        <f t="shared" si="6"/>
        <v>0</v>
      </c>
      <c r="O23" s="50">
        <f t="shared" si="6"/>
        <v>0</v>
      </c>
      <c r="P23" s="50">
        <f t="shared" si="6"/>
        <v>0</v>
      </c>
      <c r="Q23" s="50">
        <f t="shared" si="6"/>
        <v>0</v>
      </c>
      <c r="R23" s="50">
        <f t="shared" si="6"/>
        <v>0</v>
      </c>
      <c r="S23" s="50">
        <f t="shared" si="6"/>
        <v>0</v>
      </c>
      <c r="T23" s="50">
        <f t="shared" si="6"/>
        <v>0</v>
      </c>
      <c r="U23" s="50">
        <f t="shared" si="6"/>
        <v>0</v>
      </c>
      <c r="V23" s="50">
        <f t="shared" si="6"/>
        <v>0</v>
      </c>
      <c r="W23" s="50">
        <f t="shared" si="6"/>
        <v>0</v>
      </c>
      <c r="X23" s="50">
        <f t="shared" ref="X23:AC23" si="7">X16*X21</f>
        <v>0</v>
      </c>
      <c r="Y23" s="50">
        <f t="shared" si="7"/>
        <v>0</v>
      </c>
      <c r="Z23" s="50">
        <f t="shared" si="7"/>
        <v>0</v>
      </c>
      <c r="AA23" s="50">
        <f t="shared" si="7"/>
        <v>0</v>
      </c>
      <c r="AB23" s="50">
        <f t="shared" si="7"/>
        <v>0</v>
      </c>
      <c r="AC23" s="50">
        <f t="shared" si="7"/>
        <v>0</v>
      </c>
      <c r="AD23" s="50">
        <f>AD16*AD21</f>
        <v>0</v>
      </c>
      <c r="AE23" s="50">
        <f>AE16*AE21</f>
        <v>0</v>
      </c>
      <c r="AF23" s="50">
        <f>AF16*AF21</f>
        <v>0</v>
      </c>
      <c r="AG23" s="50">
        <f>AG16*AG21</f>
        <v>0</v>
      </c>
      <c r="AH23" s="50">
        <f>AH16*AH21</f>
        <v>0</v>
      </c>
    </row>
    <row r="25" spans="1:34" x14ac:dyDescent="0.2">
      <c r="A25" s="39" t="s">
        <v>38</v>
      </c>
      <c r="C25" s="60">
        <v>0</v>
      </c>
      <c r="D25" s="60">
        <v>0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0</v>
      </c>
      <c r="AF25" s="60">
        <v>0</v>
      </c>
      <c r="AG25" s="60">
        <v>0</v>
      </c>
      <c r="AH25" s="60">
        <v>0</v>
      </c>
    </row>
    <row r="26" spans="1:34" x14ac:dyDescent="0.2">
      <c r="Q26" t="s">
        <v>22</v>
      </c>
      <c r="U26" t="s">
        <v>22</v>
      </c>
    </row>
    <row r="27" spans="1:34" x14ac:dyDescent="0.2">
      <c r="A27" s="5" t="s">
        <v>18</v>
      </c>
      <c r="C27" s="52">
        <f t="shared" ref="C27:W27" si="8">+C25*C14</f>
        <v>0</v>
      </c>
      <c r="D27" s="52">
        <f t="shared" si="8"/>
        <v>0</v>
      </c>
      <c r="E27" s="52">
        <f>+E25*E14</f>
        <v>0</v>
      </c>
      <c r="F27" s="52">
        <f t="shared" si="8"/>
        <v>0</v>
      </c>
      <c r="G27" s="52">
        <f t="shared" si="8"/>
        <v>0</v>
      </c>
      <c r="H27" s="52">
        <f t="shared" si="8"/>
        <v>0</v>
      </c>
      <c r="I27" s="52">
        <f t="shared" si="8"/>
        <v>0</v>
      </c>
      <c r="J27" s="52">
        <f t="shared" si="8"/>
        <v>0</v>
      </c>
      <c r="K27" s="52">
        <f t="shared" si="8"/>
        <v>0</v>
      </c>
      <c r="L27" s="52">
        <f t="shared" si="8"/>
        <v>0</v>
      </c>
      <c r="M27" s="52">
        <f t="shared" si="8"/>
        <v>0</v>
      </c>
      <c r="N27" s="52">
        <f t="shared" si="8"/>
        <v>0</v>
      </c>
      <c r="O27" s="52">
        <f t="shared" si="8"/>
        <v>0</v>
      </c>
      <c r="P27" s="52">
        <f t="shared" si="8"/>
        <v>0</v>
      </c>
      <c r="Q27" s="52">
        <f t="shared" si="8"/>
        <v>0</v>
      </c>
      <c r="R27" s="52">
        <f t="shared" si="8"/>
        <v>0</v>
      </c>
      <c r="S27" s="52">
        <f t="shared" si="8"/>
        <v>0</v>
      </c>
      <c r="T27" s="52">
        <f t="shared" si="8"/>
        <v>0</v>
      </c>
      <c r="U27" s="52">
        <f t="shared" si="8"/>
        <v>0</v>
      </c>
      <c r="V27" s="52">
        <f t="shared" si="8"/>
        <v>0</v>
      </c>
      <c r="W27" s="52">
        <f t="shared" si="8"/>
        <v>0</v>
      </c>
      <c r="X27" s="52">
        <f t="shared" ref="X27:AC27" si="9">+X25*X14</f>
        <v>0</v>
      </c>
      <c r="Y27" s="52">
        <f t="shared" si="9"/>
        <v>0</v>
      </c>
      <c r="Z27" s="52">
        <f t="shared" si="9"/>
        <v>0</v>
      </c>
      <c r="AA27" s="52">
        <f t="shared" si="9"/>
        <v>0</v>
      </c>
      <c r="AB27" s="52">
        <f t="shared" si="9"/>
        <v>0</v>
      </c>
      <c r="AC27" s="52">
        <f t="shared" si="9"/>
        <v>0</v>
      </c>
      <c r="AD27" s="52">
        <f>+AD25*AD14</f>
        <v>0</v>
      </c>
      <c r="AE27" s="52">
        <f>+AE25*AE14</f>
        <v>0</v>
      </c>
      <c r="AF27" s="52">
        <f>+AF25*AF14</f>
        <v>0</v>
      </c>
      <c r="AG27" s="52">
        <f>+AG25*AG14</f>
        <v>0</v>
      </c>
      <c r="AH27" s="52">
        <f>+AH25*AH14</f>
        <v>0</v>
      </c>
    </row>
    <row r="28" spans="1:34" hidden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idden="1" x14ac:dyDescent="0.2">
      <c r="A29" t="s">
        <v>14</v>
      </c>
      <c r="B29" s="5"/>
      <c r="C29" s="53">
        <f>IF(Wages!$M162="recommend for approval",Wages!$G162,0)</f>
        <v>0</v>
      </c>
      <c r="D29" s="53">
        <f>IF(Wages!$M163="recommend for approval",Wages!$G163,0)</f>
        <v>0</v>
      </c>
      <c r="E29" s="53">
        <f>IF(Wages!$M164="recommend for approval",Wages!$G164,0)</f>
        <v>0</v>
      </c>
      <c r="F29" s="53">
        <f>IF(Wages!$M165="recommend for approval",Wages!$G165,0)</f>
        <v>0</v>
      </c>
      <c r="G29" s="53">
        <f>IF(Wages!$M166="recommend for approval",Wages!$G166,0)</f>
        <v>0</v>
      </c>
      <c r="H29" s="53">
        <f>IF(Wages!$M167="recommend for approval",Wages!$G167,0)</f>
        <v>0</v>
      </c>
      <c r="I29" s="53">
        <f>IF(Wages!$M168="recommend for approval",Wages!$G168,0)</f>
        <v>0</v>
      </c>
      <c r="J29" s="53">
        <f>IF(Wages!$M169="recommend for approval",Wages!$G169,0)</f>
        <v>0</v>
      </c>
      <c r="K29" s="53">
        <f>IF(Wages!$M170="recommend for approval",Wages!$G170,0)</f>
        <v>0</v>
      </c>
      <c r="L29" s="53">
        <f>IF(Wages!$M171="recommend for approval",Wages!$G171,0)</f>
        <v>0</v>
      </c>
      <c r="M29" s="53">
        <f>IF(Wages!$M172="recommend for approval",Wages!$G172,0)</f>
        <v>0</v>
      </c>
      <c r="N29" s="53">
        <f>IF(Wages!$M173="recommend for approval",Wages!$G173,0)</f>
        <v>0</v>
      </c>
      <c r="O29" s="53">
        <f>IF(Wages!$M174="recommend for approval",Wages!$G174,0)</f>
        <v>0</v>
      </c>
      <c r="P29" s="53">
        <f>IF(Wages!$M175="recommend for approval",Wages!$G175,0)</f>
        <v>0</v>
      </c>
      <c r="Q29" s="53">
        <f>IF(Wages!$M176="recommend for approval",Wages!$G176,0)</f>
        <v>0</v>
      </c>
      <c r="R29" s="53">
        <f>IF(Wages!$M177="recommend for approval",Wages!$G177,0)</f>
        <v>0</v>
      </c>
      <c r="S29" s="53">
        <f>IF(Wages!$M178="recommend for approval",Wages!$G178,0)</f>
        <v>0</v>
      </c>
      <c r="T29" s="53">
        <f>IF(Wages!$M179="recommend for approval",Wages!$G179,0)</f>
        <v>0</v>
      </c>
      <c r="U29" s="53">
        <f>IF(Wages!$M180="recommend for approval",Wages!$G180,0)</f>
        <v>0</v>
      </c>
      <c r="V29" s="53">
        <f>IF(Wages!$M181="recommend for approval",Wages!$G181,0)</f>
        <v>0</v>
      </c>
      <c r="W29" s="53">
        <f>IF(Wages!$M182="recommend for approval",Wages!$G182,0)</f>
        <v>0</v>
      </c>
      <c r="X29" s="53">
        <f>IF(Wages!$M183="recommend for approval",Wages!$G183,0)</f>
        <v>0</v>
      </c>
      <c r="Y29" s="53">
        <f>IF(Wages!$M184="recommend for approval",Wages!$G184,0)</f>
        <v>0</v>
      </c>
      <c r="Z29" s="53">
        <f>IF(Wages!$M185="recommend for approval",Wages!$G185,0)</f>
        <v>0</v>
      </c>
      <c r="AA29" s="53">
        <f>IF(Wages!$M186="recommend for approval",Wages!$G186,0)</f>
        <v>0</v>
      </c>
      <c r="AB29" s="53">
        <f>IF(Wages!$M187="recommend for approval",Wages!$G187,0)</f>
        <v>0</v>
      </c>
      <c r="AC29" s="53">
        <f>IF(Wages!$M188="recommend for approval",Wages!$G188,0)</f>
        <v>0</v>
      </c>
      <c r="AD29" s="53">
        <f>IF(Wages!$M189="recommend for approval",Wages!$G189,0)</f>
        <v>0</v>
      </c>
      <c r="AE29" s="53">
        <f>IF(Wages!$M190="recommend for approval",Wages!$G190,0)</f>
        <v>0</v>
      </c>
      <c r="AF29" s="53">
        <f>IF(Wages!$M191="recommend for approval",Wages!$G191,0)</f>
        <v>0</v>
      </c>
      <c r="AG29" s="53">
        <f>IF(Wages!$M192="recommend for approval",Wages!$G192,0)</f>
        <v>0</v>
      </c>
      <c r="AH29" s="53">
        <f>IF(Wages!$M193="recommend for approval",Wages!$G193,0)</f>
        <v>0</v>
      </c>
    </row>
    <row r="30" spans="1:34" hidden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idden="1" x14ac:dyDescent="0.2">
      <c r="A31" t="s">
        <v>28</v>
      </c>
      <c r="B31" s="5"/>
      <c r="C31" s="53">
        <f>IF(Wages!$M162="recommend for approval",Wages!$I162,0)</f>
        <v>0</v>
      </c>
      <c r="D31" s="53">
        <f>IF(Wages!$M163="recommend for approval",Wages!$I163,0)</f>
        <v>0</v>
      </c>
      <c r="E31" s="53">
        <f>IF(Wages!$M164="recommend for approval",Wages!$I164,0)</f>
        <v>0</v>
      </c>
      <c r="F31" s="53">
        <f>IF(Wages!$M165="recommend for approval",Wages!$I165,0)</f>
        <v>0</v>
      </c>
      <c r="G31" s="53">
        <f>IF(Wages!$M166="recommend for approval",Wages!$I166,0)</f>
        <v>0</v>
      </c>
      <c r="H31" s="53">
        <f>IF(Wages!$M167="recommend for approval",Wages!$I167,0)</f>
        <v>0</v>
      </c>
      <c r="I31" s="53">
        <f>IF(Wages!$M168="recommend for approval",Wages!$I168,0)</f>
        <v>0</v>
      </c>
      <c r="J31" s="53">
        <f>IF(Wages!$M169="recommend for approval",Wages!$I169,0)</f>
        <v>0</v>
      </c>
      <c r="K31" s="53">
        <f>IF(Wages!$M170="recommend for approval",Wages!$I170,0)</f>
        <v>0</v>
      </c>
      <c r="L31" s="53">
        <f>IF(Wages!$M171="recommend for approval",Wages!$I171,0)</f>
        <v>0</v>
      </c>
      <c r="M31" s="53">
        <f>IF(Wages!$M172="recommend for approval",Wages!$I172,0)</f>
        <v>0</v>
      </c>
      <c r="N31" s="53">
        <f>IF(Wages!$M173="recommend for approval",Wages!$I173,0)</f>
        <v>0</v>
      </c>
      <c r="O31" s="53">
        <f>IF(Wages!$M174="recommend for approval",Wages!$I174,0)</f>
        <v>0</v>
      </c>
      <c r="P31" s="53">
        <f>IF(Wages!$M175="recommend for approval",Wages!$I175,0)</f>
        <v>0</v>
      </c>
      <c r="Q31" s="53">
        <f>IF(Wages!$M176="recommend for approval",Wages!$I176,0)</f>
        <v>0</v>
      </c>
      <c r="R31" s="53">
        <f>IF(Wages!$M177="recommend for approval",Wages!$I177,0)</f>
        <v>0</v>
      </c>
      <c r="S31" s="53">
        <f>IF(Wages!$M178="recommend for approval",Wages!$I178,0)</f>
        <v>0</v>
      </c>
      <c r="T31" s="53">
        <f>IF(Wages!$M179="recommend for approval",Wages!$I179,0)</f>
        <v>0</v>
      </c>
      <c r="U31" s="53">
        <f>IF(Wages!$M180="recommend for approval",Wages!$I180,0)</f>
        <v>0</v>
      </c>
      <c r="V31" s="53">
        <f>IF(Wages!$M181="recommend for approval",Wages!$I181,0)</f>
        <v>0</v>
      </c>
      <c r="W31" s="53">
        <f>IF(Wages!$M182="recommend for approval",Wages!$I182,0)</f>
        <v>0</v>
      </c>
      <c r="X31" s="53">
        <f>IF(Wages!$M183="recommend for approval",Wages!$I183,0)</f>
        <v>0</v>
      </c>
      <c r="Y31" s="53">
        <f>IF(Wages!$M184="recommend for approval",Wages!$I184,0)</f>
        <v>0</v>
      </c>
      <c r="Z31" s="53">
        <f>IF(Wages!$M185="recommend for approval",Wages!$I185,0)</f>
        <v>0</v>
      </c>
      <c r="AA31" s="53">
        <f>IF(Wages!$M186="recommend for approval",Wages!$I186,0)</f>
        <v>0</v>
      </c>
      <c r="AB31" s="53">
        <f>IF(Wages!$M187="recommend for approval",Wages!$I187,0)</f>
        <v>0</v>
      </c>
      <c r="AC31" s="53">
        <f>IF(Wages!$M188="recommend for approval",Wages!$I188,0)</f>
        <v>0</v>
      </c>
      <c r="AD31" s="53">
        <f>IF(Wages!$M189="recommend for approval",Wages!$I189,0)</f>
        <v>0</v>
      </c>
      <c r="AE31" s="53">
        <f>IF(Wages!$M190="recommend for approval",Wages!$I190,0)</f>
        <v>0</v>
      </c>
      <c r="AF31" s="53">
        <f>IF(Wages!$M191="recommend for approval",Wages!$I191,0)</f>
        <v>0</v>
      </c>
      <c r="AG31" s="53">
        <f>IF(Wages!$M192="recommend for approval",Wages!$I192,0)</f>
        <v>0</v>
      </c>
      <c r="AH31" s="53">
        <f>IF(Wages!$M193="recommend for approval",Wages!$I193,0)</f>
        <v>0</v>
      </c>
    </row>
    <row r="32" spans="1:34" x14ac:dyDescent="0.2">
      <c r="A32" t="s">
        <v>340</v>
      </c>
      <c r="C32" s="307">
        <v>0.05</v>
      </c>
    </row>
    <row r="33" spans="1:34" x14ac:dyDescent="0.2">
      <c r="C33" s="711" t="s">
        <v>16</v>
      </c>
      <c r="D33" s="712"/>
      <c r="E33" s="712"/>
      <c r="F33" s="712"/>
      <c r="G33" s="712"/>
      <c r="H33" s="712"/>
      <c r="I33" s="712"/>
      <c r="J33" s="712"/>
      <c r="K33" s="666"/>
      <c r="L33" s="666"/>
      <c r="N33" s="711" t="s">
        <v>16</v>
      </c>
      <c r="O33" s="712"/>
      <c r="P33" s="712"/>
      <c r="Q33" s="712"/>
      <c r="R33" s="712"/>
      <c r="S33" s="712"/>
      <c r="T33" s="712"/>
      <c r="U33" s="666"/>
      <c r="V33" s="666"/>
    </row>
    <row r="34" spans="1:34" x14ac:dyDescent="0.2">
      <c r="C34" s="8"/>
      <c r="D34" s="9"/>
      <c r="E34" s="9"/>
      <c r="F34" s="9"/>
      <c r="G34" s="9"/>
      <c r="H34" s="9"/>
      <c r="I34" s="9"/>
      <c r="J34" s="9"/>
      <c r="N34" s="8"/>
      <c r="O34" s="9"/>
      <c r="P34" s="9"/>
      <c r="Q34" s="9"/>
      <c r="R34" s="9"/>
      <c r="S34" s="9"/>
      <c r="T34" s="9"/>
    </row>
    <row r="35" spans="1:34" ht="25.5" x14ac:dyDescent="0.2">
      <c r="C35" s="121" t="str">
        <f t="shared" ref="C35:AC35" si="10">C11</f>
        <v>Sapulene Mkulichi</v>
      </c>
      <c r="D35" s="121" t="str">
        <f t="shared" si="10"/>
        <v>George Matemba</v>
      </c>
      <c r="E35" s="121" t="str">
        <f>E11</f>
        <v xml:space="preserve">vacant  </v>
      </c>
      <c r="F35" s="121" t="str">
        <f t="shared" si="10"/>
        <v>Alinafe James</v>
      </c>
      <c r="G35" s="121" t="str">
        <f t="shared" si="10"/>
        <v>Chimwemwe Banda</v>
      </c>
      <c r="H35" s="121" t="str">
        <f t="shared" si="10"/>
        <v xml:space="preserve">vacant  </v>
      </c>
      <c r="I35" s="121" t="str">
        <f t="shared" si="10"/>
        <v>Maureen Ulaya</v>
      </c>
      <c r="J35" s="121" t="str">
        <f t="shared" si="10"/>
        <v>Francis Chatsweka</v>
      </c>
      <c r="K35" s="121" t="str">
        <f t="shared" si="10"/>
        <v>Stenala Mponda</v>
      </c>
      <c r="L35" s="121" t="str">
        <f t="shared" si="10"/>
        <v>Simikizani Siki</v>
      </c>
      <c r="M35" s="121" t="str">
        <f t="shared" si="10"/>
        <v>Amini Wecha</v>
      </c>
      <c r="N35" s="121" t="str">
        <f t="shared" si="10"/>
        <v>Tayifolo Mandowa</v>
      </c>
      <c r="O35" s="121" t="str">
        <f t="shared" si="10"/>
        <v>Monica George</v>
      </c>
      <c r="P35" s="121" t="str">
        <f t="shared" si="10"/>
        <v>Madalitso Baluti</v>
      </c>
      <c r="Q35" s="121" t="str">
        <f t="shared" si="10"/>
        <v>Peter James</v>
      </c>
      <c r="R35" s="121" t="str">
        <f t="shared" si="10"/>
        <v>Maggie Billy</v>
      </c>
      <c r="S35" s="121" t="str">
        <f t="shared" si="10"/>
        <v xml:space="preserve">vacant  </v>
      </c>
      <c r="T35" s="121" t="str">
        <f t="shared" si="10"/>
        <v>Esnat Adam</v>
      </c>
      <c r="U35" s="121" t="str">
        <f t="shared" si="10"/>
        <v>Martin Kandalama</v>
      </c>
      <c r="V35" s="121" t="str">
        <f t="shared" si="10"/>
        <v>Daniel Mponda</v>
      </c>
      <c r="W35" s="121" t="str">
        <f t="shared" si="10"/>
        <v>Elizabeth Kabudula</v>
      </c>
      <c r="X35" s="121" t="str">
        <f t="shared" si="10"/>
        <v xml:space="preserve">vacant  </v>
      </c>
      <c r="Y35" s="121" t="str">
        <f t="shared" si="10"/>
        <v>William Mahinya</v>
      </c>
      <c r="Z35" s="121" t="str">
        <f t="shared" si="10"/>
        <v xml:space="preserve">vacant  </v>
      </c>
      <c r="AA35" s="121" t="str">
        <f t="shared" si="10"/>
        <v xml:space="preserve">  </v>
      </c>
      <c r="AB35" s="121" t="str">
        <f t="shared" si="10"/>
        <v xml:space="preserve">vacant  </v>
      </c>
      <c r="AC35" s="121" t="str">
        <f t="shared" si="10"/>
        <v>Yankho Gulani</v>
      </c>
      <c r="AD35" s="121" t="str">
        <f>AD11</f>
        <v>Agness  Mponda</v>
      </c>
      <c r="AE35" s="121" t="str">
        <f>AE11</f>
        <v>Elizabeth Chinkono</v>
      </c>
      <c r="AF35" s="121" t="str">
        <f>AF11</f>
        <v xml:space="preserve">vacant  </v>
      </c>
      <c r="AG35" s="121" t="str">
        <f>AG11</f>
        <v>Dancan Botha</v>
      </c>
      <c r="AH35" s="121" t="str">
        <f>AH11</f>
        <v>Ibrahim Amadu</v>
      </c>
    </row>
    <row r="36" spans="1:34" x14ac:dyDescent="0.2">
      <c r="A36" t="s">
        <v>27</v>
      </c>
      <c r="C36" s="53">
        <f>IF(Wages!$M162="recommend for approval",Wages!$H162,0)</f>
        <v>0</v>
      </c>
      <c r="D36" s="53">
        <f>IF(Wages!$M164="recommend for approval",Wages!$H164,0)</f>
        <v>0</v>
      </c>
      <c r="E36" s="53">
        <f>IF(Wages!$M164="recommend for approval",Wages!$H164,0)</f>
        <v>0</v>
      </c>
      <c r="F36" s="53">
        <f>IF(Wages!$M165="recommend for approval",Wages!$H165,0)</f>
        <v>0</v>
      </c>
      <c r="G36" s="53">
        <f>IF(Wages!$M166="recommend for approval",Wages!$H166,0)</f>
        <v>0</v>
      </c>
      <c r="H36" s="53">
        <v>0</v>
      </c>
      <c r="I36" s="53">
        <f>IF(Wages!$M168="recommend for approval",Wages!$H168,0)</f>
        <v>0</v>
      </c>
      <c r="J36" s="53">
        <f>IF(Wages!$M169="recommend for approval",Wages!$H169,0)</f>
        <v>0</v>
      </c>
      <c r="K36" s="53">
        <f>IF(Wages!$M170="recommend for approval",Wages!$H170,0)</f>
        <v>0</v>
      </c>
      <c r="L36" s="53">
        <f>IF(Wages!$M171="recommend for approval",Wages!$H171,0)</f>
        <v>0</v>
      </c>
      <c r="M36" s="53">
        <f>IF(Wages!$M172="recommend for approval",Wages!$H172,0)</f>
        <v>0</v>
      </c>
      <c r="N36" s="53">
        <v>0</v>
      </c>
      <c r="O36" s="53">
        <f>IF(Wages!$M174="recommend for approval",Wages!$H174,0)</f>
        <v>0</v>
      </c>
      <c r="P36" s="53">
        <v>0</v>
      </c>
      <c r="Q36" s="53">
        <f>IF(Wages!$M176="recommend for approval",Wages!$H176,0)</f>
        <v>0</v>
      </c>
      <c r="R36" s="53">
        <f>IF(Wages!$M177="recommend for approval",Wages!$H177,0)</f>
        <v>0</v>
      </c>
      <c r="S36" s="53">
        <f>IF(Wages!$M178="recommend for approval",Wages!$H178,0)</f>
        <v>0</v>
      </c>
      <c r="T36" s="53">
        <v>0</v>
      </c>
      <c r="U36" s="53">
        <f>IF(Wages!$M180="recommend for approval",Wages!$H180,0)</f>
        <v>0</v>
      </c>
      <c r="V36" s="53">
        <f>IF(Wages!$M181="recommend for approval",Wages!$H181,0)</f>
        <v>0</v>
      </c>
      <c r="W36" s="53">
        <f>IF(Wages!$M182="recommend for approval",Wages!$H182,0)</f>
        <v>0</v>
      </c>
      <c r="X36" s="53">
        <f>IF(Wages!$M183="recommend for approval",Wages!$H183,0)</f>
        <v>0</v>
      </c>
      <c r="Y36" s="53">
        <f>IF(Wages!$M184="recommend for approval",Wages!$H184,0)</f>
        <v>0</v>
      </c>
      <c r="Z36" s="53">
        <f>IF(Wages!$M185="recommend for approval",Wages!$H184,0)</f>
        <v>0</v>
      </c>
      <c r="AA36" s="53">
        <f>IF(Wages!$M186="recommend for approval",Wages!$H186,0)</f>
        <v>0</v>
      </c>
      <c r="AB36" s="53">
        <f>IF(Wages!$M187="recommend for approval",Wages!$H187,0)</f>
        <v>0</v>
      </c>
      <c r="AC36" s="53">
        <f>IF(Wages!$M188="recommend for approval",Wages!$H188,0)</f>
        <v>0</v>
      </c>
      <c r="AD36" s="53">
        <f>IF(Wages!$M189="recommend for approval",Wages!$H189,0)</f>
        <v>0</v>
      </c>
      <c r="AE36" s="53">
        <f>IF(Wages!$M190="recommend for approval",Wages!$H190,0)</f>
        <v>0</v>
      </c>
      <c r="AF36" s="53">
        <f>IF(Wages!$M191="recommend for approval",Wages!$H191,0)</f>
        <v>0</v>
      </c>
      <c r="AG36" s="53">
        <f>IF(Wages!$M192="recommend for approval",Wages!$H192,0)</f>
        <v>0</v>
      </c>
      <c r="AH36" s="53">
        <f>IF(Wages!$M193="recommend for approval",Wages!$H193,0)</f>
        <v>0</v>
      </c>
    </row>
    <row r="37" spans="1:34" x14ac:dyDescent="0.2">
      <c r="A37" t="s">
        <v>24</v>
      </c>
      <c r="C37" s="234">
        <v>0</v>
      </c>
      <c r="D37" s="234">
        <v>0</v>
      </c>
      <c r="E37" s="234">
        <v>0</v>
      </c>
      <c r="F37" s="234">
        <v>0</v>
      </c>
      <c r="G37" s="234">
        <v>0</v>
      </c>
      <c r="H37" s="234">
        <v>0</v>
      </c>
      <c r="I37" s="234">
        <v>0</v>
      </c>
      <c r="J37" s="234">
        <v>0</v>
      </c>
      <c r="K37" s="234">
        <v>0</v>
      </c>
      <c r="L37" s="234">
        <v>0</v>
      </c>
      <c r="M37" s="234">
        <v>0</v>
      </c>
      <c r="N37" s="234">
        <v>0</v>
      </c>
      <c r="O37" s="234">
        <v>0</v>
      </c>
      <c r="P37" s="234">
        <v>0</v>
      </c>
      <c r="Q37" s="234">
        <v>0</v>
      </c>
      <c r="R37" s="234">
        <v>0</v>
      </c>
      <c r="S37" s="234">
        <v>0</v>
      </c>
      <c r="T37" s="234">
        <v>0</v>
      </c>
      <c r="U37" s="234">
        <v>0</v>
      </c>
      <c r="V37" s="234">
        <v>0</v>
      </c>
      <c r="W37" s="234">
        <v>0</v>
      </c>
      <c r="X37" s="234">
        <v>0</v>
      </c>
      <c r="Y37" s="234">
        <v>0</v>
      </c>
      <c r="Z37" s="234">
        <v>0</v>
      </c>
      <c r="AA37" s="234">
        <v>0</v>
      </c>
      <c r="AB37" s="234">
        <v>0</v>
      </c>
      <c r="AC37" s="234">
        <v>0</v>
      </c>
      <c r="AD37" s="234">
        <v>0</v>
      </c>
      <c r="AE37" s="234">
        <v>0</v>
      </c>
      <c r="AF37" s="234">
        <v>0</v>
      </c>
      <c r="AG37" s="234">
        <v>0</v>
      </c>
      <c r="AH37" s="234">
        <v>0</v>
      </c>
    </row>
    <row r="38" spans="1:34" x14ac:dyDescent="0.2">
      <c r="A38" t="s">
        <v>14</v>
      </c>
      <c r="C38" s="232">
        <f>C29</f>
        <v>0</v>
      </c>
      <c r="D38" s="232">
        <f t="shared" ref="D38:AC38" si="11">D29</f>
        <v>0</v>
      </c>
      <c r="E38" s="232">
        <f>E29</f>
        <v>0</v>
      </c>
      <c r="F38" s="232">
        <f t="shared" si="11"/>
        <v>0</v>
      </c>
      <c r="G38" s="232">
        <f t="shared" si="11"/>
        <v>0</v>
      </c>
      <c r="H38" s="232">
        <f t="shared" si="11"/>
        <v>0</v>
      </c>
      <c r="I38" s="232">
        <f t="shared" si="11"/>
        <v>0</v>
      </c>
      <c r="J38" s="232">
        <f t="shared" si="11"/>
        <v>0</v>
      </c>
      <c r="K38" s="232">
        <f t="shared" si="11"/>
        <v>0</v>
      </c>
      <c r="L38" s="232">
        <f t="shared" si="11"/>
        <v>0</v>
      </c>
      <c r="M38" s="232">
        <f t="shared" si="11"/>
        <v>0</v>
      </c>
      <c r="N38" s="232">
        <f t="shared" si="11"/>
        <v>0</v>
      </c>
      <c r="O38" s="232">
        <f t="shared" si="11"/>
        <v>0</v>
      </c>
      <c r="P38" s="232">
        <f t="shared" si="11"/>
        <v>0</v>
      </c>
      <c r="Q38" s="232">
        <f t="shared" si="11"/>
        <v>0</v>
      </c>
      <c r="R38" s="232">
        <f t="shared" si="11"/>
        <v>0</v>
      </c>
      <c r="S38" s="232">
        <f t="shared" si="11"/>
        <v>0</v>
      </c>
      <c r="T38" s="232">
        <f t="shared" si="11"/>
        <v>0</v>
      </c>
      <c r="U38" s="232">
        <f t="shared" si="11"/>
        <v>0</v>
      </c>
      <c r="V38" s="232">
        <f t="shared" si="11"/>
        <v>0</v>
      </c>
      <c r="W38" s="232">
        <f t="shared" si="11"/>
        <v>0</v>
      </c>
      <c r="X38" s="232">
        <f t="shared" si="11"/>
        <v>0</v>
      </c>
      <c r="Y38" s="232">
        <f t="shared" si="11"/>
        <v>0</v>
      </c>
      <c r="Z38" s="232">
        <f t="shared" si="11"/>
        <v>0</v>
      </c>
      <c r="AA38" s="232">
        <f t="shared" si="11"/>
        <v>0</v>
      </c>
      <c r="AB38" s="232">
        <f t="shared" si="11"/>
        <v>0</v>
      </c>
      <c r="AC38" s="232">
        <f t="shared" si="11"/>
        <v>0</v>
      </c>
      <c r="AD38" s="232">
        <f>AD29</f>
        <v>0</v>
      </c>
      <c r="AE38" s="232">
        <f>AE29</f>
        <v>0</v>
      </c>
      <c r="AF38" s="232">
        <f>AF29</f>
        <v>0</v>
      </c>
      <c r="AG38" s="232">
        <f>AG29</f>
        <v>0</v>
      </c>
      <c r="AH38" s="232">
        <f>AH29</f>
        <v>0</v>
      </c>
    </row>
    <row r="39" spans="1:34" x14ac:dyDescent="0.2">
      <c r="A39" t="s">
        <v>36</v>
      </c>
      <c r="C39" s="47">
        <f t="shared" ref="C39:W39" si="12">+SUM(C36:C37)</f>
        <v>0</v>
      </c>
      <c r="D39" s="47">
        <f t="shared" si="12"/>
        <v>0</v>
      </c>
      <c r="E39" s="47">
        <f>+SUM(E36:E37)</f>
        <v>0</v>
      </c>
      <c r="F39" s="47">
        <f t="shared" si="12"/>
        <v>0</v>
      </c>
      <c r="G39" s="47">
        <f t="shared" si="12"/>
        <v>0</v>
      </c>
      <c r="H39" s="47">
        <f t="shared" si="12"/>
        <v>0</v>
      </c>
      <c r="I39" s="47">
        <f t="shared" si="12"/>
        <v>0</v>
      </c>
      <c r="J39" s="47">
        <f t="shared" si="12"/>
        <v>0</v>
      </c>
      <c r="K39" s="47">
        <f t="shared" si="12"/>
        <v>0</v>
      </c>
      <c r="L39" s="47">
        <f t="shared" si="12"/>
        <v>0</v>
      </c>
      <c r="M39" s="47">
        <f t="shared" si="12"/>
        <v>0</v>
      </c>
      <c r="N39" s="47">
        <f t="shared" si="12"/>
        <v>0</v>
      </c>
      <c r="O39" s="47">
        <f t="shared" si="12"/>
        <v>0</v>
      </c>
      <c r="P39" s="47">
        <f t="shared" si="12"/>
        <v>0</v>
      </c>
      <c r="Q39" s="47">
        <f t="shared" si="12"/>
        <v>0</v>
      </c>
      <c r="R39" s="47">
        <f t="shared" si="12"/>
        <v>0</v>
      </c>
      <c r="S39" s="47">
        <f t="shared" si="12"/>
        <v>0</v>
      </c>
      <c r="T39" s="47">
        <f t="shared" si="12"/>
        <v>0</v>
      </c>
      <c r="U39" s="47">
        <f t="shared" si="12"/>
        <v>0</v>
      </c>
      <c r="V39" s="47">
        <f t="shared" si="12"/>
        <v>0</v>
      </c>
      <c r="W39" s="47">
        <f t="shared" si="12"/>
        <v>0</v>
      </c>
      <c r="X39" s="47">
        <f t="shared" ref="X39:AC39" si="13">+SUM(X36:X37)</f>
        <v>0</v>
      </c>
      <c r="Y39" s="47">
        <f t="shared" si="13"/>
        <v>0</v>
      </c>
      <c r="Z39" s="47">
        <f t="shared" si="13"/>
        <v>0</v>
      </c>
      <c r="AA39" s="47">
        <f t="shared" si="13"/>
        <v>0</v>
      </c>
      <c r="AB39" s="47">
        <f t="shared" si="13"/>
        <v>0</v>
      </c>
      <c r="AC39" s="47">
        <f t="shared" si="13"/>
        <v>0</v>
      </c>
      <c r="AD39" s="47">
        <f>+SUM(AD36:AD37)</f>
        <v>0</v>
      </c>
      <c r="AE39" s="47">
        <f>+SUM(AE36:AE37)</f>
        <v>0</v>
      </c>
      <c r="AF39" s="47">
        <f>+SUM(AF36:AF37)</f>
        <v>0</v>
      </c>
      <c r="AG39" s="47">
        <f>+SUM(AG36:AG37)</f>
        <v>0</v>
      </c>
      <c r="AH39" s="47">
        <f>+SUM(AH36:AH37)</f>
        <v>0</v>
      </c>
    </row>
    <row r="40" spans="1:34" ht="13.5" customHeight="1" x14ac:dyDescent="0.2">
      <c r="A40" t="s">
        <v>28</v>
      </c>
      <c r="C40" s="233">
        <f>C31</f>
        <v>0</v>
      </c>
      <c r="D40" s="233">
        <f t="shared" ref="D40:AC40" si="14">D31</f>
        <v>0</v>
      </c>
      <c r="E40" s="233">
        <f>E31</f>
        <v>0</v>
      </c>
      <c r="F40" s="233">
        <f t="shared" si="14"/>
        <v>0</v>
      </c>
      <c r="G40" s="233">
        <f t="shared" si="14"/>
        <v>0</v>
      </c>
      <c r="H40" s="233">
        <f t="shared" si="14"/>
        <v>0</v>
      </c>
      <c r="I40" s="233">
        <f t="shared" si="14"/>
        <v>0</v>
      </c>
      <c r="J40" s="233">
        <f t="shared" si="14"/>
        <v>0</v>
      </c>
      <c r="K40" s="233">
        <f t="shared" si="14"/>
        <v>0</v>
      </c>
      <c r="L40" s="233">
        <f t="shared" si="14"/>
        <v>0</v>
      </c>
      <c r="M40" s="233">
        <f t="shared" si="14"/>
        <v>0</v>
      </c>
      <c r="N40" s="233">
        <f t="shared" si="14"/>
        <v>0</v>
      </c>
      <c r="O40" s="233">
        <f t="shared" si="14"/>
        <v>0</v>
      </c>
      <c r="P40" s="233">
        <f t="shared" si="14"/>
        <v>0</v>
      </c>
      <c r="Q40" s="233">
        <f t="shared" si="14"/>
        <v>0</v>
      </c>
      <c r="R40" s="233">
        <f t="shared" si="14"/>
        <v>0</v>
      </c>
      <c r="S40" s="233">
        <f t="shared" si="14"/>
        <v>0</v>
      </c>
      <c r="T40" s="233">
        <f t="shared" si="14"/>
        <v>0</v>
      </c>
      <c r="U40" s="233">
        <f t="shared" si="14"/>
        <v>0</v>
      </c>
      <c r="V40" s="233">
        <f t="shared" si="14"/>
        <v>0</v>
      </c>
      <c r="W40" s="233">
        <f t="shared" si="14"/>
        <v>0</v>
      </c>
      <c r="X40" s="233">
        <f t="shared" si="14"/>
        <v>0</v>
      </c>
      <c r="Y40" s="233">
        <f t="shared" si="14"/>
        <v>0</v>
      </c>
      <c r="Z40" s="233">
        <f t="shared" si="14"/>
        <v>0</v>
      </c>
      <c r="AA40" s="233">
        <f t="shared" si="14"/>
        <v>0</v>
      </c>
      <c r="AB40" s="233">
        <f t="shared" si="14"/>
        <v>0</v>
      </c>
      <c r="AC40" s="233">
        <f t="shared" si="14"/>
        <v>0</v>
      </c>
      <c r="AD40" s="233">
        <f>AD31</f>
        <v>0</v>
      </c>
      <c r="AE40" s="233">
        <f>AE31</f>
        <v>0</v>
      </c>
      <c r="AF40" s="233">
        <f>AF31</f>
        <v>0</v>
      </c>
      <c r="AG40" s="233">
        <f>AG31</f>
        <v>0</v>
      </c>
      <c r="AH40" s="233">
        <f>AH31</f>
        <v>0</v>
      </c>
    </row>
    <row r="41" spans="1:34" x14ac:dyDescent="0.2">
      <c r="A41" t="s">
        <v>30</v>
      </c>
      <c r="C41" s="42" t="str">
        <f t="shared" ref="C41:M41" si="15">+IF(C38=1,"February",IF(C38=2,"March",IF(C38=3,"April",IF(C38=4,"May",IF(C38=5,"June",IF(C38=6,"July",IF(C38=7,"August",IF(C38=8,"September",IF(C38=9,"October",IF(C38=10,"November",IF(C38=11,"December",IF(C38=12,"January","N/A"))))))))))))</f>
        <v>N/A</v>
      </c>
      <c r="D41" s="42" t="str">
        <f t="shared" si="15"/>
        <v>N/A</v>
      </c>
      <c r="E41" s="42" t="str">
        <f>+IF(E38=1,"February",IF(E38=2,"March",IF(E38=3,"April",IF(E38=4,"May",IF(E38=5,"June",IF(E38=6,"July",IF(E38=7,"August",IF(E38=8,"September",IF(E38=9,"October",IF(E38=10,"November",IF(E38=11,"December",IF(E38=12,"January","N/A"))))))))))))</f>
        <v>N/A</v>
      </c>
      <c r="F41" s="42" t="str">
        <f t="shared" si="15"/>
        <v>N/A</v>
      </c>
      <c r="G41" s="42" t="str">
        <f t="shared" si="15"/>
        <v>N/A</v>
      </c>
      <c r="H41" s="42" t="str">
        <f t="shared" si="15"/>
        <v>N/A</v>
      </c>
      <c r="I41" s="42" t="str">
        <f t="shared" si="15"/>
        <v>N/A</v>
      </c>
      <c r="J41" s="42" t="str">
        <f t="shared" si="15"/>
        <v>N/A</v>
      </c>
      <c r="K41" s="42" t="str">
        <f t="shared" si="15"/>
        <v>N/A</v>
      </c>
      <c r="L41" s="42" t="str">
        <f t="shared" si="15"/>
        <v>N/A</v>
      </c>
      <c r="M41" s="42" t="str">
        <f t="shared" si="15"/>
        <v>N/A</v>
      </c>
      <c r="N41" s="42" t="str">
        <f t="shared" ref="N41:W41" si="16">+IF(N38=1,"February",IF(N38=2,"March",IF(N38=3,"April",IF(N38=4,"May",IF(N38=5,"June",IF(N38=6,"July",IF(N38=7,"August",IF(N38=8,"September",IF(N38=9,"October",IF(N38=10,"November",IF(N38=11,"December",IF(N38=12,"January","N/A"))))))))))))</f>
        <v>N/A</v>
      </c>
      <c r="O41" s="42" t="str">
        <f t="shared" si="16"/>
        <v>N/A</v>
      </c>
      <c r="P41" s="42" t="str">
        <f t="shared" si="16"/>
        <v>N/A</v>
      </c>
      <c r="Q41" s="42" t="str">
        <f t="shared" si="16"/>
        <v>N/A</v>
      </c>
      <c r="R41" s="42" t="str">
        <f t="shared" si="16"/>
        <v>N/A</v>
      </c>
      <c r="S41" s="42" t="str">
        <f t="shared" si="16"/>
        <v>N/A</v>
      </c>
      <c r="T41" s="42" t="str">
        <f t="shared" si="16"/>
        <v>N/A</v>
      </c>
      <c r="U41" s="42" t="str">
        <f t="shared" si="16"/>
        <v>N/A</v>
      </c>
      <c r="V41" s="42" t="str">
        <f t="shared" si="16"/>
        <v>N/A</v>
      </c>
      <c r="W41" s="42" t="str">
        <f t="shared" si="16"/>
        <v>N/A</v>
      </c>
      <c r="X41" s="42" t="str">
        <f t="shared" ref="X41:AC41" si="17">+IF(X38=1,"February",IF(X38=2,"March",IF(X38=3,"April",IF(X38=4,"May",IF(X38=5,"June",IF(X38=6,"July",IF(X38=7,"August",IF(X38=8,"September",IF(X38=9,"October",IF(X38=10,"November",IF(X38=11,"December",IF(X38=12,"January","N/A"))))))))))))</f>
        <v>N/A</v>
      </c>
      <c r="Y41" s="42" t="str">
        <f t="shared" si="17"/>
        <v>N/A</v>
      </c>
      <c r="Z41" s="42" t="str">
        <f t="shared" si="17"/>
        <v>N/A</v>
      </c>
      <c r="AA41" s="42" t="str">
        <f t="shared" si="17"/>
        <v>N/A</v>
      </c>
      <c r="AB41" s="42" t="str">
        <f t="shared" si="17"/>
        <v>N/A</v>
      </c>
      <c r="AC41" s="42" t="str">
        <f t="shared" si="17"/>
        <v>N/A</v>
      </c>
      <c r="AD41" s="42" t="str">
        <f>+IF(AD38=1,"February",IF(AD38=2,"March",IF(AD38=3,"April",IF(AD38=4,"May",IF(AD38=5,"June",IF(AD38=6,"July",IF(AD38=7,"August",IF(AD38=8,"September",IF(AD38=9,"October",IF(AD38=10,"November",IF(AD38=11,"December",IF(AD38=12,"January","N/A"))))))))))))</f>
        <v>N/A</v>
      </c>
      <c r="AE41" s="42" t="str">
        <f>+IF(AE38=1,"February",IF(AE38=2,"March",IF(AE38=3,"April",IF(AE38=4,"May",IF(AE38=5,"June",IF(AE38=6,"July",IF(AE38=7,"August",IF(AE38=8,"September",IF(AE38=9,"October",IF(AE38=10,"November",IF(AE38=11,"December",IF(AE38=12,"January","N/A"))))))))))))</f>
        <v>N/A</v>
      </c>
      <c r="AF41" s="42" t="str">
        <f>+IF(AF38=1,"February",IF(AF38=2,"March",IF(AF38=3,"April",IF(AF38=4,"May",IF(AF38=5,"June",IF(AF38=6,"July",IF(AF38=7,"August",IF(AF38=8,"September",IF(AF38=9,"October",IF(AF38=10,"November",IF(AF38=11,"December",IF(AF38=12,"January","N/A"))))))))))))</f>
        <v>N/A</v>
      </c>
      <c r="AG41" s="42" t="str">
        <f>+IF(AG38=1,"February",IF(AG38=2,"March",IF(AG38=3,"April",IF(AG38=4,"May",IF(AG38=5,"June",IF(AG38=6,"July",IF(AG38=7,"August",IF(AG38=8,"September",IF(AG38=9,"October",IF(AG38=10,"November",IF(AG38=11,"December",IF(AG38=12,"January","N/A"))))))))))))</f>
        <v>N/A</v>
      </c>
      <c r="AH41" s="42" t="str">
        <f>+IF(AH38=1,"February",IF(AH38=2,"March",IF(AH38=3,"April",IF(AH38=4,"May",IF(AH38=5,"June",IF(AH38=6,"July",IF(AH38=7,"August",IF(AH38=8,"September",IF(AH38=9,"October",IF(AH38=10,"November",IF(AH38=11,"December",IF(AH38=12,"January","N/A"))))))))))))</f>
        <v>N/A</v>
      </c>
    </row>
    <row r="42" spans="1:34" hidden="1" x14ac:dyDescent="0.2">
      <c r="A42" t="s">
        <v>29</v>
      </c>
      <c r="C42" s="43" t="str">
        <f t="shared" ref="C42:I42" si="18">+IF(C38=0,"N/A",IF(SUM(C38+C40)&gt;12,SUM(C38+C40-12),SUM(C38+C40)))</f>
        <v>N/A</v>
      </c>
      <c r="D42" s="43" t="str">
        <f t="shared" si="18"/>
        <v>N/A</v>
      </c>
      <c r="E42" s="43" t="str">
        <f>+IF(E38=0,"N/A",IF(SUM(E38+E40)&gt;12,SUM(E38+E40-12),SUM(E38+E40)))</f>
        <v>N/A</v>
      </c>
      <c r="F42" s="43" t="str">
        <f>+IF(F38=0,"N/A",IF(SUM(F38+F40)&gt;12,SUM(F38+F40-12),SUM(F38+F40)))</f>
        <v>N/A</v>
      </c>
      <c r="G42" s="43" t="str">
        <f t="shared" si="18"/>
        <v>N/A</v>
      </c>
      <c r="H42" s="43" t="str">
        <f t="shared" si="18"/>
        <v>N/A</v>
      </c>
      <c r="I42" s="43" t="str">
        <f t="shared" si="18"/>
        <v>N/A</v>
      </c>
      <c r="J42" s="43" t="str">
        <f t="shared" ref="J42:W42" si="19">+IF(J38=0,"N/A",IF(SUM(J38+J40)&gt;12,SUM(J38+J40-12),SUM(J38+J40)))</f>
        <v>N/A</v>
      </c>
      <c r="K42" s="43" t="str">
        <f t="shared" si="19"/>
        <v>N/A</v>
      </c>
      <c r="L42" s="43" t="str">
        <f t="shared" si="19"/>
        <v>N/A</v>
      </c>
      <c r="M42" s="43" t="str">
        <f t="shared" si="19"/>
        <v>N/A</v>
      </c>
      <c r="N42" s="43" t="str">
        <f t="shared" si="19"/>
        <v>N/A</v>
      </c>
      <c r="O42" s="43" t="str">
        <f t="shared" si="19"/>
        <v>N/A</v>
      </c>
      <c r="P42" s="43" t="str">
        <f t="shared" si="19"/>
        <v>N/A</v>
      </c>
      <c r="Q42" s="43" t="str">
        <f t="shared" si="19"/>
        <v>N/A</v>
      </c>
      <c r="R42" s="43" t="str">
        <f t="shared" si="19"/>
        <v>N/A</v>
      </c>
      <c r="S42" s="43" t="str">
        <f t="shared" si="19"/>
        <v>N/A</v>
      </c>
      <c r="T42" s="43" t="str">
        <f t="shared" si="19"/>
        <v>N/A</v>
      </c>
      <c r="U42" s="43" t="str">
        <f t="shared" si="19"/>
        <v>N/A</v>
      </c>
      <c r="V42" s="43" t="str">
        <f t="shared" si="19"/>
        <v>N/A</v>
      </c>
      <c r="W42" s="43" t="str">
        <f t="shared" si="19"/>
        <v>N/A</v>
      </c>
      <c r="X42" s="43" t="str">
        <f t="shared" ref="X42:AC42" si="20">+IF(X38=0,"N/A",IF(SUM(X38+X40)&gt;12,SUM(X38+X40-12),SUM(X38+X40)))</f>
        <v>N/A</v>
      </c>
      <c r="Y42" s="43" t="str">
        <f t="shared" si="20"/>
        <v>N/A</v>
      </c>
      <c r="Z42" s="43" t="str">
        <f t="shared" si="20"/>
        <v>N/A</v>
      </c>
      <c r="AA42" s="43" t="str">
        <f t="shared" si="20"/>
        <v>N/A</v>
      </c>
      <c r="AB42" s="43" t="str">
        <f t="shared" si="20"/>
        <v>N/A</v>
      </c>
      <c r="AC42" s="43" t="str">
        <f t="shared" si="20"/>
        <v>N/A</v>
      </c>
      <c r="AD42" s="43" t="str">
        <f>+IF(AD38=0,"N/A",IF(SUM(AD38+AD40)&gt;12,SUM(AD38+AD40-12),SUM(AD38+AD40)))</f>
        <v>N/A</v>
      </c>
      <c r="AE42" s="43" t="str">
        <f>+IF(AE38=0,"N/A",IF(SUM(AE38+AE40)&gt;12,SUM(AE38+AE40-12),SUM(AE38+AE40)))</f>
        <v>N/A</v>
      </c>
      <c r="AF42" s="43" t="str">
        <f>+IF(AF38=0,"N/A",IF(SUM(AF38+AF40)&gt;12,SUM(AF38+AF40-12),SUM(AF38+AF40)))</f>
        <v>N/A</v>
      </c>
      <c r="AG42" s="43" t="str">
        <f>+IF(AG38=0,"N/A",IF(SUM(AG38+AG40)&gt;12,SUM(AG38+AG40-12),SUM(AG38+AG40)))</f>
        <v>N/A</v>
      </c>
      <c r="AH42" s="43" t="str">
        <f>+IF(AH38=0,"N/A",IF(SUM(AH38+AH40)&gt;12,SUM(AH38+AH40-12),SUM(AH38+AH40)))</f>
        <v>N/A</v>
      </c>
    </row>
    <row r="43" spans="1:34" hidden="1" x14ac:dyDescent="0.2">
      <c r="A43" t="s">
        <v>29</v>
      </c>
      <c r="C43" s="43" t="str">
        <f t="shared" ref="C43:M43" si="21">IF(C42=1,"January ",IF(C42=2,"February ",IF(C42=3,"March ",IF(C42=4,"April ",IF(C42=5,"May ",IF(C42=6,"June ",IF(C42=7,"July ",IF(C42=8,"August ",IF(C42=9,"September ",IF(C42=10,"October ",IF(C42=11,"November ",IF(C42=12,"December ","N/A"))))))))))))</f>
        <v>N/A</v>
      </c>
      <c r="D43" s="43" t="str">
        <f t="shared" si="21"/>
        <v>N/A</v>
      </c>
      <c r="E43" s="43" t="str">
        <f>IF(E42=1,"January ",IF(E42=2,"February ",IF(E42=3,"March ",IF(E42=4,"April ",IF(E42=5,"May ",IF(E42=6,"June ",IF(E42=7,"July ",IF(E42=8,"August ",IF(E42=9,"September ",IF(E42=10,"October ",IF(E42=11,"November ",IF(E42=12,"December ","N/A"))))))))))))</f>
        <v>N/A</v>
      </c>
      <c r="F43" s="43" t="str">
        <f t="shared" si="21"/>
        <v>N/A</v>
      </c>
      <c r="G43" s="43" t="str">
        <f t="shared" si="21"/>
        <v>N/A</v>
      </c>
      <c r="H43" s="43" t="str">
        <f t="shared" si="21"/>
        <v>N/A</v>
      </c>
      <c r="I43" s="43" t="str">
        <f t="shared" si="21"/>
        <v>N/A</v>
      </c>
      <c r="J43" s="43" t="str">
        <f t="shared" si="21"/>
        <v>N/A</v>
      </c>
      <c r="K43" s="43" t="str">
        <f t="shared" si="21"/>
        <v>N/A</v>
      </c>
      <c r="L43" s="43" t="str">
        <f t="shared" si="21"/>
        <v>N/A</v>
      </c>
      <c r="M43" s="43" t="str">
        <f t="shared" si="21"/>
        <v>N/A</v>
      </c>
      <c r="N43" s="43" t="str">
        <f t="shared" ref="N43:W43" si="22">IF(N42=1,"January ",IF(N42=2,"February ",IF(N42=3,"March ",IF(N42=4,"April ",IF(N42=5,"May ",IF(N42=6,"June ",IF(N42=7,"July ",IF(N42=8,"August ",IF(N42=9,"September ",IF(N42=10,"October ",IF(N42=11,"November ",IF(N42=12,"December ","N/A"))))))))))))</f>
        <v>N/A</v>
      </c>
      <c r="O43" s="43" t="str">
        <f t="shared" si="22"/>
        <v>N/A</v>
      </c>
      <c r="P43" s="43" t="str">
        <f t="shared" si="22"/>
        <v>N/A</v>
      </c>
      <c r="Q43" s="43" t="str">
        <f t="shared" si="22"/>
        <v>N/A</v>
      </c>
      <c r="R43" s="43" t="str">
        <f t="shared" si="22"/>
        <v>N/A</v>
      </c>
      <c r="S43" s="43" t="str">
        <f t="shared" si="22"/>
        <v>N/A</v>
      </c>
      <c r="T43" s="43" t="str">
        <f t="shared" si="22"/>
        <v>N/A</v>
      </c>
      <c r="U43" s="43" t="str">
        <f t="shared" si="22"/>
        <v>N/A</v>
      </c>
      <c r="V43" s="43" t="str">
        <f t="shared" si="22"/>
        <v>N/A</v>
      </c>
      <c r="W43" s="43" t="str">
        <f t="shared" si="22"/>
        <v>N/A</v>
      </c>
      <c r="X43" s="43" t="str">
        <f t="shared" ref="X43:AC43" si="23">IF(X42=1,"January ",IF(X42=2,"February ",IF(X42=3,"March ",IF(X42=4,"April ",IF(X42=5,"May ",IF(X42=6,"June ",IF(X42=7,"July ",IF(X42=8,"August ",IF(X42=9,"September ",IF(X42=10,"October ",IF(X42=11,"November ",IF(X42=12,"December ","N/A"))))))))))))</f>
        <v>N/A</v>
      </c>
      <c r="Y43" s="43" t="str">
        <f t="shared" si="23"/>
        <v>N/A</v>
      </c>
      <c r="Z43" s="43" t="str">
        <f t="shared" si="23"/>
        <v>N/A</v>
      </c>
      <c r="AA43" s="43" t="str">
        <f t="shared" si="23"/>
        <v>N/A</v>
      </c>
      <c r="AB43" s="43" t="str">
        <f t="shared" si="23"/>
        <v>N/A</v>
      </c>
      <c r="AC43" s="43" t="str">
        <f t="shared" si="23"/>
        <v>N/A</v>
      </c>
      <c r="AD43" s="43" t="str">
        <f>IF(AD42=1,"January ",IF(AD42=2,"February ",IF(AD42=3,"March ",IF(AD42=4,"April ",IF(AD42=5,"May ",IF(AD42=6,"June ",IF(AD42=7,"July ",IF(AD42=8,"August ",IF(AD42=9,"September ",IF(AD42=10,"October ",IF(AD42=11,"November ",IF(AD42=12,"December ","N/A"))))))))))))</f>
        <v>N/A</v>
      </c>
      <c r="AE43" s="43" t="str">
        <f>IF(AE42=1,"January ",IF(AE42=2,"February ",IF(AE42=3,"March ",IF(AE42=4,"April ",IF(AE42=5,"May ",IF(AE42=6,"June ",IF(AE42=7,"July ",IF(AE42=8,"August ",IF(AE42=9,"September ",IF(AE42=10,"October ",IF(AE42=11,"November ",IF(AE42=12,"December ","N/A"))))))))))))</f>
        <v>N/A</v>
      </c>
      <c r="AF43" s="43" t="str">
        <f>IF(AF42=1,"January ",IF(AF42=2,"February ",IF(AF42=3,"March ",IF(AF42=4,"April ",IF(AF42=5,"May ",IF(AF42=6,"June ",IF(AF42=7,"July ",IF(AF42=8,"August ",IF(AF42=9,"September ",IF(AF42=10,"October ",IF(AF42=11,"November ",IF(AF42=12,"December ","N/A"))))))))))))</f>
        <v>N/A</v>
      </c>
      <c r="AG43" s="43" t="str">
        <f>IF(AG42=1,"January ",IF(AG42=2,"February ",IF(AG42=3,"March ",IF(AG42=4,"April ",IF(AG42=5,"May ",IF(AG42=6,"June ",IF(AG42=7,"July ",IF(AG42=8,"August ",IF(AG42=9,"September ",IF(AG42=10,"October ",IF(AG42=11,"November ",IF(AG42=12,"December ","N/A"))))))))))))</f>
        <v>N/A</v>
      </c>
      <c r="AH43" s="43" t="str">
        <f>IF(AH42=1,"January ",IF(AH42=2,"February ",IF(AH42=3,"March ",IF(AH42=4,"April ",IF(AH42=5,"May ",IF(AH42=6,"June ",IF(AH42=7,"July ",IF(AH42=8,"August ",IF(AH42=9,"September ",IF(AH42=10,"October ",IF(AH42=11,"November ",IF(AH42=12,"December ","N/A"))))))))))))</f>
        <v>N/A</v>
      </c>
    </row>
    <row r="44" spans="1:34" hidden="1" x14ac:dyDescent="0.2">
      <c r="A44" t="s">
        <v>32</v>
      </c>
      <c r="C44" s="43">
        <f t="shared" ref="C44:AC44" si="24">IF(C38&gt;C42,$B$71,IF(C38=C42,$B$71,$B$59))</f>
        <v>2026</v>
      </c>
      <c r="D44" s="43">
        <f t="shared" si="24"/>
        <v>2026</v>
      </c>
      <c r="E44" s="43">
        <f>IF(E38&gt;E42,$B$71,IF(E38=E42,$B$71,$B$59))</f>
        <v>2026</v>
      </c>
      <c r="F44" s="43">
        <f t="shared" si="24"/>
        <v>2026</v>
      </c>
      <c r="G44" s="43">
        <f t="shared" si="24"/>
        <v>2026</v>
      </c>
      <c r="H44" s="43">
        <f t="shared" si="24"/>
        <v>2026</v>
      </c>
      <c r="I44" s="43">
        <f t="shared" si="24"/>
        <v>2026</v>
      </c>
      <c r="J44" s="43">
        <f t="shared" si="24"/>
        <v>2026</v>
      </c>
      <c r="K44" s="43">
        <f t="shared" si="24"/>
        <v>2026</v>
      </c>
      <c r="L44" s="43">
        <f t="shared" si="24"/>
        <v>2026</v>
      </c>
      <c r="M44" s="43">
        <f t="shared" si="24"/>
        <v>2026</v>
      </c>
      <c r="N44" s="43">
        <f t="shared" si="24"/>
        <v>2026</v>
      </c>
      <c r="O44" s="43">
        <f t="shared" si="24"/>
        <v>2026</v>
      </c>
      <c r="P44" s="43">
        <f t="shared" si="24"/>
        <v>2026</v>
      </c>
      <c r="Q44" s="43">
        <f t="shared" si="24"/>
        <v>2026</v>
      </c>
      <c r="R44" s="43">
        <f t="shared" si="24"/>
        <v>2026</v>
      </c>
      <c r="S44" s="43">
        <f t="shared" si="24"/>
        <v>2026</v>
      </c>
      <c r="T44" s="43">
        <f t="shared" si="24"/>
        <v>2026</v>
      </c>
      <c r="U44" s="43">
        <f t="shared" si="24"/>
        <v>2026</v>
      </c>
      <c r="V44" s="43">
        <f t="shared" si="24"/>
        <v>2026</v>
      </c>
      <c r="W44" s="43">
        <f t="shared" si="24"/>
        <v>2026</v>
      </c>
      <c r="X44" s="43">
        <f t="shared" si="24"/>
        <v>2026</v>
      </c>
      <c r="Y44" s="43">
        <f t="shared" si="24"/>
        <v>2026</v>
      </c>
      <c r="Z44" s="43">
        <f t="shared" si="24"/>
        <v>2026</v>
      </c>
      <c r="AA44" s="43">
        <f t="shared" si="24"/>
        <v>2026</v>
      </c>
      <c r="AB44" s="43">
        <f t="shared" si="24"/>
        <v>2026</v>
      </c>
      <c r="AC44" s="43">
        <f t="shared" si="24"/>
        <v>2026</v>
      </c>
      <c r="AD44" s="43">
        <f>IF(AD38&gt;AD42,$B$71,IF(AD38=AD42,$B$71,$B$59))</f>
        <v>2026</v>
      </c>
      <c r="AE44" s="43">
        <f>IF(AE38&gt;AE42,$B$71,IF(AE38=AE42,$B$71,$B$59))</f>
        <v>2026</v>
      </c>
      <c r="AF44" s="43">
        <f>IF(AF38&gt;AF42,$B$71,IF(AF38=AF42,$B$71,$B$59))</f>
        <v>2026</v>
      </c>
      <c r="AG44" s="43">
        <f>IF(AG38&gt;AG42,$B$71,IF(AG38=AG42,$B$71,$B$59))</f>
        <v>2026</v>
      </c>
      <c r="AH44" s="43">
        <f>IF(AH38&gt;AH42,$B$71,IF(AH38=AH42,$B$71,$B$59))</f>
        <v>2026</v>
      </c>
    </row>
    <row r="45" spans="1:34" x14ac:dyDescent="0.2">
      <c r="A45" t="s">
        <v>29</v>
      </c>
      <c r="C45" s="44" t="str">
        <f t="shared" ref="C45:M45" si="25">IF(C39=0,"N/A",CONCATENATE(C43,C44))</f>
        <v>N/A</v>
      </c>
      <c r="D45" s="44" t="str">
        <f t="shared" si="25"/>
        <v>N/A</v>
      </c>
      <c r="E45" s="44" t="str">
        <f>IF(E39=0,"N/A",CONCATENATE(E43,E44))</f>
        <v>N/A</v>
      </c>
      <c r="F45" s="44" t="str">
        <f t="shared" si="25"/>
        <v>N/A</v>
      </c>
      <c r="G45" s="44" t="str">
        <f t="shared" si="25"/>
        <v>N/A</v>
      </c>
      <c r="H45" s="44" t="str">
        <f t="shared" si="25"/>
        <v>N/A</v>
      </c>
      <c r="I45" s="44" t="str">
        <f t="shared" si="25"/>
        <v>N/A</v>
      </c>
      <c r="J45" s="44" t="str">
        <f t="shared" si="25"/>
        <v>N/A</v>
      </c>
      <c r="K45" s="44" t="str">
        <f t="shared" si="25"/>
        <v>N/A</v>
      </c>
      <c r="L45" s="44" t="str">
        <f t="shared" si="25"/>
        <v>N/A</v>
      </c>
      <c r="M45" s="44" t="str">
        <f t="shared" si="25"/>
        <v>N/A</v>
      </c>
      <c r="N45" s="44" t="str">
        <f t="shared" ref="N45:W45" si="26">IF(N39=0,"N/A",CONCATENATE(N43,N44))</f>
        <v>N/A</v>
      </c>
      <c r="O45" s="44" t="str">
        <f t="shared" si="26"/>
        <v>N/A</v>
      </c>
      <c r="P45" s="44" t="str">
        <f t="shared" si="26"/>
        <v>N/A</v>
      </c>
      <c r="Q45" s="44" t="str">
        <f t="shared" si="26"/>
        <v>N/A</v>
      </c>
      <c r="R45" s="44" t="str">
        <f t="shared" si="26"/>
        <v>N/A</v>
      </c>
      <c r="S45" s="44" t="str">
        <f t="shared" si="26"/>
        <v>N/A</v>
      </c>
      <c r="T45" s="44" t="str">
        <f t="shared" si="26"/>
        <v>N/A</v>
      </c>
      <c r="U45" s="44" t="str">
        <f t="shared" si="26"/>
        <v>N/A</v>
      </c>
      <c r="V45" s="44" t="str">
        <f t="shared" si="26"/>
        <v>N/A</v>
      </c>
      <c r="W45" s="44" t="str">
        <f t="shared" si="26"/>
        <v>N/A</v>
      </c>
      <c r="X45" s="44" t="str">
        <f t="shared" ref="X45:AC45" si="27">IF(X39=0,"N/A",CONCATENATE(X43,X44))</f>
        <v>N/A</v>
      </c>
      <c r="Y45" s="44" t="str">
        <f t="shared" si="27"/>
        <v>N/A</v>
      </c>
      <c r="Z45" s="44" t="str">
        <f t="shared" si="27"/>
        <v>N/A</v>
      </c>
      <c r="AA45" s="44" t="str">
        <f t="shared" si="27"/>
        <v>N/A</v>
      </c>
      <c r="AB45" s="44" t="str">
        <f t="shared" si="27"/>
        <v>N/A</v>
      </c>
      <c r="AC45" s="44" t="str">
        <f t="shared" si="27"/>
        <v>N/A</v>
      </c>
      <c r="AD45" s="44" t="str">
        <f>IF(AD39=0,"N/A",CONCATENATE(AD43,AD44))</f>
        <v>N/A</v>
      </c>
      <c r="AE45" s="44" t="str">
        <f>IF(AE39=0,"N/A",CONCATENATE(AE43,AE44))</f>
        <v>N/A</v>
      </c>
      <c r="AF45" s="44" t="str">
        <f>IF(AF39=0,"N/A",CONCATENATE(AF43,AF44))</f>
        <v>N/A</v>
      </c>
      <c r="AG45" s="44" t="str">
        <f>IF(AG39=0,"N/A",CONCATENATE(AG43,AG44))</f>
        <v>N/A</v>
      </c>
      <c r="AH45" s="44" t="str">
        <f>IF(AH39=0,"N/A",CONCATENATE(AH43,AH44))</f>
        <v>N/A</v>
      </c>
    </row>
    <row r="46" spans="1:34" x14ac:dyDescent="0.2">
      <c r="A46" t="s">
        <v>23</v>
      </c>
      <c r="C46" s="42">
        <f t="shared" ref="C46:AC46" si="28">+C36+C37</f>
        <v>0</v>
      </c>
      <c r="D46" s="42">
        <f t="shared" si="28"/>
        <v>0</v>
      </c>
      <c r="E46" s="42">
        <f>+E36+E37</f>
        <v>0</v>
      </c>
      <c r="F46" s="42">
        <f t="shared" si="28"/>
        <v>0</v>
      </c>
      <c r="G46" s="42">
        <f t="shared" si="28"/>
        <v>0</v>
      </c>
      <c r="H46" s="42">
        <f t="shared" si="28"/>
        <v>0</v>
      </c>
      <c r="I46" s="42">
        <f t="shared" si="28"/>
        <v>0</v>
      </c>
      <c r="J46" s="42">
        <f t="shared" si="28"/>
        <v>0</v>
      </c>
      <c r="K46" s="42">
        <f t="shared" si="28"/>
        <v>0</v>
      </c>
      <c r="L46" s="42">
        <f t="shared" si="28"/>
        <v>0</v>
      </c>
      <c r="M46" s="42">
        <f t="shared" si="28"/>
        <v>0</v>
      </c>
      <c r="N46" s="42">
        <f t="shared" si="28"/>
        <v>0</v>
      </c>
      <c r="O46" s="42">
        <f t="shared" si="28"/>
        <v>0</v>
      </c>
      <c r="P46" s="42">
        <f t="shared" si="28"/>
        <v>0</v>
      </c>
      <c r="Q46" s="42">
        <f t="shared" si="28"/>
        <v>0</v>
      </c>
      <c r="R46" s="42">
        <f t="shared" si="28"/>
        <v>0</v>
      </c>
      <c r="S46" s="42">
        <f t="shared" si="28"/>
        <v>0</v>
      </c>
      <c r="T46" s="42">
        <f t="shared" si="28"/>
        <v>0</v>
      </c>
      <c r="U46" s="42">
        <f t="shared" si="28"/>
        <v>0</v>
      </c>
      <c r="V46" s="42">
        <f t="shared" si="28"/>
        <v>0</v>
      </c>
      <c r="W46" s="42">
        <f t="shared" si="28"/>
        <v>0</v>
      </c>
      <c r="X46" s="42">
        <f t="shared" si="28"/>
        <v>0</v>
      </c>
      <c r="Y46" s="42">
        <f t="shared" si="28"/>
        <v>0</v>
      </c>
      <c r="Z46" s="42">
        <f t="shared" si="28"/>
        <v>0</v>
      </c>
      <c r="AA46" s="42">
        <f t="shared" si="28"/>
        <v>0</v>
      </c>
      <c r="AB46" s="42">
        <f t="shared" si="28"/>
        <v>0</v>
      </c>
      <c r="AC46" s="42">
        <f t="shared" si="28"/>
        <v>0</v>
      </c>
      <c r="AD46" s="42">
        <f>+AD36+AD37</f>
        <v>0</v>
      </c>
      <c r="AE46" s="42">
        <f>+AE36+AE37</f>
        <v>0</v>
      </c>
      <c r="AF46" s="42">
        <f>+AF36+AF37</f>
        <v>0</v>
      </c>
      <c r="AG46" s="42">
        <f>+AG36+AG37</f>
        <v>0</v>
      </c>
      <c r="AH46" s="42">
        <f>+AH36+AH37</f>
        <v>0</v>
      </c>
    </row>
    <row r="47" spans="1:34" x14ac:dyDescent="0.2">
      <c r="A47" s="39" t="s">
        <v>31</v>
      </c>
      <c r="C47" s="42" t="str">
        <f>+IF(C39=0,"N/A",SUM(C46/C40+C46/C40*C32))</f>
        <v>N/A</v>
      </c>
      <c r="D47" s="42" t="str">
        <f t="shared" ref="D47:AC47" si="29">+IF(D39=0,"N/A",SUM(D46/D40+D46/D40*$C$32))</f>
        <v>N/A</v>
      </c>
      <c r="E47" s="42" t="str">
        <f>+IF(E39=0,"N/A",SUM(E46/E40+E46/E40*$C$32))</f>
        <v>N/A</v>
      </c>
      <c r="F47" s="42" t="str">
        <f t="shared" si="29"/>
        <v>N/A</v>
      </c>
      <c r="G47" s="42" t="str">
        <f t="shared" si="29"/>
        <v>N/A</v>
      </c>
      <c r="H47" s="42" t="str">
        <f t="shared" si="29"/>
        <v>N/A</v>
      </c>
      <c r="I47" s="42" t="str">
        <f t="shared" si="29"/>
        <v>N/A</v>
      </c>
      <c r="J47" s="42" t="str">
        <f t="shared" si="29"/>
        <v>N/A</v>
      </c>
      <c r="K47" s="42" t="str">
        <f t="shared" si="29"/>
        <v>N/A</v>
      </c>
      <c r="L47" s="42" t="str">
        <f t="shared" si="29"/>
        <v>N/A</v>
      </c>
      <c r="M47" s="42" t="str">
        <f t="shared" si="29"/>
        <v>N/A</v>
      </c>
      <c r="N47" s="42" t="str">
        <f t="shared" si="29"/>
        <v>N/A</v>
      </c>
      <c r="O47" s="42" t="str">
        <f t="shared" si="29"/>
        <v>N/A</v>
      </c>
      <c r="P47" s="42" t="str">
        <f t="shared" si="29"/>
        <v>N/A</v>
      </c>
      <c r="Q47" s="42" t="str">
        <f t="shared" si="29"/>
        <v>N/A</v>
      </c>
      <c r="R47" s="42" t="str">
        <f t="shared" si="29"/>
        <v>N/A</v>
      </c>
      <c r="S47" s="42" t="str">
        <f t="shared" si="29"/>
        <v>N/A</v>
      </c>
      <c r="T47" s="42" t="str">
        <f t="shared" si="29"/>
        <v>N/A</v>
      </c>
      <c r="U47" s="42" t="str">
        <f t="shared" si="29"/>
        <v>N/A</v>
      </c>
      <c r="V47" s="42" t="str">
        <f t="shared" si="29"/>
        <v>N/A</v>
      </c>
      <c r="W47" s="42" t="str">
        <f t="shared" si="29"/>
        <v>N/A</v>
      </c>
      <c r="X47" s="42" t="str">
        <f t="shared" si="29"/>
        <v>N/A</v>
      </c>
      <c r="Y47" s="42" t="str">
        <f t="shared" si="29"/>
        <v>N/A</v>
      </c>
      <c r="Z47" s="42" t="str">
        <f t="shared" si="29"/>
        <v>N/A</v>
      </c>
      <c r="AA47" s="42" t="str">
        <f t="shared" si="29"/>
        <v>N/A</v>
      </c>
      <c r="AB47" s="42" t="str">
        <f t="shared" si="29"/>
        <v>N/A</v>
      </c>
      <c r="AC47" s="42" t="str">
        <f t="shared" si="29"/>
        <v>N/A</v>
      </c>
      <c r="AD47" s="42" t="str">
        <f>+IF(AD39=0,"N/A",SUM(AD46/AD40+AD46/AD40*$C$32))</f>
        <v>N/A</v>
      </c>
      <c r="AE47" s="42" t="str">
        <f>+IF(AE39=0,"N/A",SUM(AE46/AE40+AE46/AE40*$C$32))</f>
        <v>N/A</v>
      </c>
      <c r="AF47" s="42" t="str">
        <f>+IF(AF39=0,"N/A",SUM(AF46/AF40+AF46/AF40*$C$32))</f>
        <v>N/A</v>
      </c>
      <c r="AG47" s="42" t="str">
        <f>+IF(AG39=0,"N/A",SUM(AG46/AG40+AG46/AG40*$C$32))</f>
        <v>N/A</v>
      </c>
      <c r="AH47" s="42" t="str">
        <f>+IF(AH39=0,"N/A",SUM(AH46/AH40+AH46/AH40*$C$32))</f>
        <v>N/A</v>
      </c>
    </row>
    <row r="48" spans="1:34" x14ac:dyDescent="0.2">
      <c r="A48" s="73" t="s">
        <v>188</v>
      </c>
      <c r="C48" s="42" t="str">
        <f>+IF(C39=0,"N/A",C46/C40*$C$32*C50)</f>
        <v>N/A</v>
      </c>
      <c r="D48" s="42" t="str">
        <f t="shared" ref="D48:AC48" si="30">+IF(D39=0,"N/A",D46/D40*$C$32*D50)</f>
        <v>N/A</v>
      </c>
      <c r="E48" s="42" t="str">
        <f>+IF(E39=0,"N/A",E46/E40*$C$32*E50)</f>
        <v>N/A</v>
      </c>
      <c r="F48" s="42" t="str">
        <f t="shared" si="30"/>
        <v>N/A</v>
      </c>
      <c r="G48" s="42" t="str">
        <f t="shared" si="30"/>
        <v>N/A</v>
      </c>
      <c r="H48" s="42" t="str">
        <f t="shared" si="30"/>
        <v>N/A</v>
      </c>
      <c r="I48" s="42" t="str">
        <f t="shared" si="30"/>
        <v>N/A</v>
      </c>
      <c r="J48" s="42" t="str">
        <f t="shared" si="30"/>
        <v>N/A</v>
      </c>
      <c r="K48" s="42" t="str">
        <f t="shared" si="30"/>
        <v>N/A</v>
      </c>
      <c r="L48" s="42" t="str">
        <f t="shared" si="30"/>
        <v>N/A</v>
      </c>
      <c r="M48" s="42" t="str">
        <f t="shared" si="30"/>
        <v>N/A</v>
      </c>
      <c r="N48" s="42" t="str">
        <f t="shared" si="30"/>
        <v>N/A</v>
      </c>
      <c r="O48" s="42" t="str">
        <f t="shared" si="30"/>
        <v>N/A</v>
      </c>
      <c r="P48" s="42" t="str">
        <f t="shared" si="30"/>
        <v>N/A</v>
      </c>
      <c r="Q48" s="42" t="str">
        <f t="shared" si="30"/>
        <v>N/A</v>
      </c>
      <c r="R48" s="42" t="str">
        <f t="shared" si="30"/>
        <v>N/A</v>
      </c>
      <c r="S48" s="42" t="str">
        <f t="shared" si="30"/>
        <v>N/A</v>
      </c>
      <c r="T48" s="42" t="str">
        <f t="shared" si="30"/>
        <v>N/A</v>
      </c>
      <c r="U48" s="42" t="str">
        <f t="shared" si="30"/>
        <v>N/A</v>
      </c>
      <c r="V48" s="42" t="str">
        <f t="shared" si="30"/>
        <v>N/A</v>
      </c>
      <c r="W48" s="42" t="str">
        <f t="shared" si="30"/>
        <v>N/A</v>
      </c>
      <c r="X48" s="42" t="str">
        <f t="shared" si="30"/>
        <v>N/A</v>
      </c>
      <c r="Y48" s="42" t="str">
        <f t="shared" si="30"/>
        <v>N/A</v>
      </c>
      <c r="Z48" s="42" t="str">
        <f t="shared" si="30"/>
        <v>N/A</v>
      </c>
      <c r="AA48" s="42" t="str">
        <f t="shared" si="30"/>
        <v>N/A</v>
      </c>
      <c r="AB48" s="42" t="str">
        <f t="shared" si="30"/>
        <v>N/A</v>
      </c>
      <c r="AC48" s="42" t="str">
        <f t="shared" si="30"/>
        <v>N/A</v>
      </c>
      <c r="AD48" s="42" t="str">
        <f>+IF(AD39=0,"N/A",AD46/AD40*$C$32*AD50)</f>
        <v>N/A</v>
      </c>
      <c r="AE48" s="42" t="str">
        <f>+IF(AE39=0,"N/A",AE46/AE40*$C$32*AE50)</f>
        <v>N/A</v>
      </c>
      <c r="AF48" s="42" t="str">
        <f>+IF(AF39=0,"N/A",AF46/AF40*$C$32*AF50)</f>
        <v>N/A</v>
      </c>
      <c r="AG48" s="42" t="str">
        <f>+IF(AG39=0,"N/A",AG46/AG40*$C$32*AG50)</f>
        <v>N/A</v>
      </c>
      <c r="AH48" s="42" t="str">
        <f>+IF(AH39=0,"N/A",AH46/AH40*$C$32*AH50)</f>
        <v>N/A</v>
      </c>
    </row>
    <row r="49" spans="1:34" x14ac:dyDescent="0.2">
      <c r="A49" t="s">
        <v>33</v>
      </c>
      <c r="C49" s="45">
        <f>+Wages!$C$4</f>
        <v>1</v>
      </c>
      <c r="D49" s="45">
        <f>+Wages!$C$4</f>
        <v>1</v>
      </c>
      <c r="E49" s="45">
        <f>+Wages!$C$4</f>
        <v>1</v>
      </c>
      <c r="F49" s="45">
        <f>+Wages!$C$4</f>
        <v>1</v>
      </c>
      <c r="G49" s="45">
        <f>+Wages!$C$4</f>
        <v>1</v>
      </c>
      <c r="H49" s="45">
        <f>+Wages!$C$4</f>
        <v>1</v>
      </c>
      <c r="I49" s="45">
        <f>+Wages!$C$4</f>
        <v>1</v>
      </c>
      <c r="J49" s="45">
        <f>+Wages!$C$4</f>
        <v>1</v>
      </c>
      <c r="K49" s="45">
        <f>+Wages!$C$4</f>
        <v>1</v>
      </c>
      <c r="L49" s="45">
        <f>+Wages!$C$4</f>
        <v>1</v>
      </c>
      <c r="M49" s="45">
        <f>+Wages!$C$4</f>
        <v>1</v>
      </c>
      <c r="N49" s="45">
        <f>+Wages!$C$4</f>
        <v>1</v>
      </c>
      <c r="O49" s="45">
        <f>+Wages!$C$4</f>
        <v>1</v>
      </c>
      <c r="P49" s="45">
        <f>+Wages!$C$4</f>
        <v>1</v>
      </c>
      <c r="Q49" s="45">
        <f>+Wages!$C$4</f>
        <v>1</v>
      </c>
      <c r="R49" s="45">
        <f>+Wages!$C$4</f>
        <v>1</v>
      </c>
      <c r="S49" s="45">
        <f>+Wages!$C$4</f>
        <v>1</v>
      </c>
      <c r="T49" s="45">
        <f>+Wages!$C$4</f>
        <v>1</v>
      </c>
      <c r="U49" s="45">
        <f>+Wages!$C$4</f>
        <v>1</v>
      </c>
      <c r="V49" s="45">
        <f>+Wages!$C$4</f>
        <v>1</v>
      </c>
      <c r="W49" s="45">
        <f>+Wages!$C$4</f>
        <v>1</v>
      </c>
      <c r="X49" s="45">
        <f>+Wages!$C$4</f>
        <v>1</v>
      </c>
      <c r="Y49" s="45">
        <f>+Wages!$C$4</f>
        <v>1</v>
      </c>
      <c r="Z49" s="45">
        <f>+Wages!$C$4</f>
        <v>1</v>
      </c>
      <c r="AA49" s="45">
        <f>+Wages!$C$4</f>
        <v>1</v>
      </c>
      <c r="AB49" s="45">
        <f>+Wages!$C$4</f>
        <v>1</v>
      </c>
      <c r="AC49" s="45">
        <f>+Wages!$C$4</f>
        <v>1</v>
      </c>
      <c r="AD49" s="45">
        <f>+Wages!$C$4</f>
        <v>1</v>
      </c>
      <c r="AE49" s="45">
        <f>+Wages!$C$4</f>
        <v>1</v>
      </c>
      <c r="AF49" s="45">
        <f>+Wages!$C$4</f>
        <v>1</v>
      </c>
      <c r="AG49" s="45">
        <f>+Wages!$C$4</f>
        <v>1</v>
      </c>
      <c r="AH49" s="45">
        <f>+Wages!$C$4</f>
        <v>1</v>
      </c>
    </row>
    <row r="50" spans="1:34" x14ac:dyDescent="0.2">
      <c r="A50" t="s">
        <v>37</v>
      </c>
      <c r="C50" s="46">
        <f t="shared" ref="C50:AC50" si="31">IF(C39=0,0,IF(C49=C38,0,IF(SUM(C49-C38)&gt;C40,C40,SUM(C49-C38))))</f>
        <v>0</v>
      </c>
      <c r="D50" s="46">
        <f t="shared" si="31"/>
        <v>0</v>
      </c>
      <c r="E50" s="46">
        <f>IF(E39=0,0,IF(E49=E38,0,IF(SUM(E49-E38)&gt;E40,E40,SUM(E49-E38))))</f>
        <v>0</v>
      </c>
      <c r="F50" s="46">
        <f t="shared" si="31"/>
        <v>0</v>
      </c>
      <c r="G50" s="46">
        <f t="shared" si="31"/>
        <v>0</v>
      </c>
      <c r="H50" s="46">
        <f t="shared" si="31"/>
        <v>0</v>
      </c>
      <c r="I50" s="46">
        <f t="shared" si="31"/>
        <v>0</v>
      </c>
      <c r="J50" s="46">
        <f t="shared" si="31"/>
        <v>0</v>
      </c>
      <c r="K50" s="46">
        <f t="shared" si="31"/>
        <v>0</v>
      </c>
      <c r="L50" s="46">
        <f t="shared" si="31"/>
        <v>0</v>
      </c>
      <c r="M50" s="46">
        <f t="shared" si="31"/>
        <v>0</v>
      </c>
      <c r="N50" s="46">
        <f t="shared" si="31"/>
        <v>0</v>
      </c>
      <c r="O50" s="46">
        <f t="shared" si="31"/>
        <v>0</v>
      </c>
      <c r="P50" s="46">
        <f t="shared" si="31"/>
        <v>0</v>
      </c>
      <c r="Q50" s="46">
        <f t="shared" si="31"/>
        <v>0</v>
      </c>
      <c r="R50" s="46">
        <f t="shared" si="31"/>
        <v>0</v>
      </c>
      <c r="S50" s="46">
        <f t="shared" si="31"/>
        <v>0</v>
      </c>
      <c r="T50" s="46">
        <f t="shared" si="31"/>
        <v>0</v>
      </c>
      <c r="U50" s="46">
        <f t="shared" si="31"/>
        <v>0</v>
      </c>
      <c r="V50" s="46">
        <f t="shared" si="31"/>
        <v>0</v>
      </c>
      <c r="W50" s="46">
        <f t="shared" si="31"/>
        <v>0</v>
      </c>
      <c r="X50" s="46">
        <f t="shared" si="31"/>
        <v>0</v>
      </c>
      <c r="Y50" s="46">
        <f t="shared" si="31"/>
        <v>0</v>
      </c>
      <c r="Z50" s="46">
        <f t="shared" si="31"/>
        <v>0</v>
      </c>
      <c r="AA50" s="46">
        <f t="shared" si="31"/>
        <v>0</v>
      </c>
      <c r="AB50" s="46">
        <f t="shared" si="31"/>
        <v>0</v>
      </c>
      <c r="AC50" s="46">
        <f t="shared" si="31"/>
        <v>0</v>
      </c>
      <c r="AD50" s="46">
        <f>IF(AD39=0,0,IF(AD49=AD38,0,IF(SUM(AD49-AD38)&gt;AD40,AD40,SUM(AD49-AD38))))</f>
        <v>0</v>
      </c>
      <c r="AE50" s="46">
        <f>IF(AE39=0,0,IF(AE49=AE38,0,IF(SUM(AE49-AE38)&gt;AE40,AE40,SUM(AE49-AE38))))</f>
        <v>0</v>
      </c>
      <c r="AF50" s="46">
        <f>IF(AF39=0,0,IF(AF49=AF38,0,IF(SUM(AF49-AF38)&gt;AF40,AF40,SUM(AF49-AF38))))</f>
        <v>0</v>
      </c>
      <c r="AG50" s="46">
        <f>IF(AG39=0,0,IF(AG49=AG38,0,IF(SUM(AG49-AG38)&gt;AG40,AG40,SUM(AG49-AG38))))</f>
        <v>0</v>
      </c>
      <c r="AH50" s="46">
        <f>IF(AH39=0,0,IF(AH49=AH38,0,IF(SUM(AH49-AH38)&gt;AH40,AH40,SUM(AH49-AH38))))</f>
        <v>0</v>
      </c>
    </row>
    <row r="51" spans="1:34" x14ac:dyDescent="0.2">
      <c r="A51" t="s">
        <v>20</v>
      </c>
      <c r="C51" s="46">
        <f t="shared" ref="C51:AC51" si="32">IF(C40=0,0,IF(OR(C50&gt;C40,C50=C40),"Loan repaid",C50))</f>
        <v>0</v>
      </c>
      <c r="D51" s="46">
        <f t="shared" si="32"/>
        <v>0</v>
      </c>
      <c r="E51" s="46">
        <f>IF(E40=0,0,IF(OR(E50&gt;E40,E50=E40),"Loan repaid",E50))</f>
        <v>0</v>
      </c>
      <c r="F51" s="46">
        <f t="shared" si="32"/>
        <v>0</v>
      </c>
      <c r="G51" s="46">
        <f t="shared" si="32"/>
        <v>0</v>
      </c>
      <c r="H51" s="46">
        <f t="shared" si="32"/>
        <v>0</v>
      </c>
      <c r="I51" s="46">
        <f t="shared" si="32"/>
        <v>0</v>
      </c>
      <c r="J51" s="46">
        <f t="shared" si="32"/>
        <v>0</v>
      </c>
      <c r="K51" s="46">
        <f t="shared" si="32"/>
        <v>0</v>
      </c>
      <c r="L51" s="46">
        <f t="shared" si="32"/>
        <v>0</v>
      </c>
      <c r="M51" s="46">
        <f t="shared" si="32"/>
        <v>0</v>
      </c>
      <c r="N51" s="46">
        <f t="shared" si="32"/>
        <v>0</v>
      </c>
      <c r="O51" s="46">
        <f t="shared" si="32"/>
        <v>0</v>
      </c>
      <c r="P51" s="46">
        <f t="shared" si="32"/>
        <v>0</v>
      </c>
      <c r="Q51" s="46">
        <f t="shared" si="32"/>
        <v>0</v>
      </c>
      <c r="R51" s="46">
        <f t="shared" si="32"/>
        <v>0</v>
      </c>
      <c r="S51" s="46">
        <f t="shared" si="32"/>
        <v>0</v>
      </c>
      <c r="T51" s="46">
        <f t="shared" si="32"/>
        <v>0</v>
      </c>
      <c r="U51" s="46">
        <f t="shared" si="32"/>
        <v>0</v>
      </c>
      <c r="V51" s="46">
        <f t="shared" si="32"/>
        <v>0</v>
      </c>
      <c r="W51" s="46">
        <f t="shared" si="32"/>
        <v>0</v>
      </c>
      <c r="X51" s="46">
        <f t="shared" si="32"/>
        <v>0</v>
      </c>
      <c r="Y51" s="46">
        <f t="shared" si="32"/>
        <v>0</v>
      </c>
      <c r="Z51" s="46">
        <f t="shared" si="32"/>
        <v>0</v>
      </c>
      <c r="AA51" s="46">
        <f t="shared" si="32"/>
        <v>0</v>
      </c>
      <c r="AB51" s="46">
        <f t="shared" si="32"/>
        <v>0</v>
      </c>
      <c r="AC51" s="46">
        <f t="shared" si="32"/>
        <v>0</v>
      </c>
      <c r="AD51" s="46">
        <f>IF(AD40=0,0,IF(OR(AD50&gt;AD40,AD50=AD40),"Loan repaid",AD50))</f>
        <v>0</v>
      </c>
      <c r="AE51" s="46">
        <f>IF(AE40=0,0,IF(OR(AE50&gt;AE40,AE50=AE40),"Loan repaid",AE50))</f>
        <v>0</v>
      </c>
      <c r="AF51" s="46">
        <f>IF(AF40=0,0,IF(OR(AF50&gt;AF40,AF50=AF40),"Loan repaid",AF50))</f>
        <v>0</v>
      </c>
      <c r="AG51" s="46">
        <f>IF(AG40=0,0,IF(OR(AG50&gt;AG40,AG50=AG40),"Loan repaid",AG50))</f>
        <v>0</v>
      </c>
      <c r="AH51" s="46">
        <f>IF(AH40=0,0,IF(OR(AH50&gt;AH40,AH50=AH40),"Loan repaid",AH50))</f>
        <v>0</v>
      </c>
    </row>
    <row r="52" spans="1:34" x14ac:dyDescent="0.2">
      <c r="A52" t="s">
        <v>34</v>
      </c>
      <c r="C52" s="46" t="str">
        <f t="shared" ref="C52:AC52" si="33">IF(OR(C39=0,C38=0),"N/A",IF(C51="Loan repaid",0,IF(SUM(C40-C50)&lt;0,0,SUM(C40-C51))))</f>
        <v>N/A</v>
      </c>
      <c r="D52" s="46" t="str">
        <f t="shared" si="33"/>
        <v>N/A</v>
      </c>
      <c r="E52" s="46" t="str">
        <f>IF(OR(E39=0,E38=0),"N/A",IF(E51="Loan repaid",0,IF(SUM(E40-E50)&lt;0,0,SUM(E40-E51))))</f>
        <v>N/A</v>
      </c>
      <c r="F52" s="46" t="str">
        <f t="shared" si="33"/>
        <v>N/A</v>
      </c>
      <c r="G52" s="46" t="str">
        <f t="shared" si="33"/>
        <v>N/A</v>
      </c>
      <c r="H52" s="46" t="str">
        <f t="shared" si="33"/>
        <v>N/A</v>
      </c>
      <c r="I52" s="46" t="str">
        <f t="shared" si="33"/>
        <v>N/A</v>
      </c>
      <c r="J52" s="46" t="str">
        <f t="shared" si="33"/>
        <v>N/A</v>
      </c>
      <c r="K52" s="46" t="str">
        <f t="shared" si="33"/>
        <v>N/A</v>
      </c>
      <c r="L52" s="46" t="str">
        <f t="shared" si="33"/>
        <v>N/A</v>
      </c>
      <c r="M52" s="46" t="str">
        <f t="shared" si="33"/>
        <v>N/A</v>
      </c>
      <c r="N52" s="46" t="str">
        <f t="shared" si="33"/>
        <v>N/A</v>
      </c>
      <c r="O52" s="46" t="str">
        <f t="shared" si="33"/>
        <v>N/A</v>
      </c>
      <c r="P52" s="46" t="str">
        <f t="shared" si="33"/>
        <v>N/A</v>
      </c>
      <c r="Q52" s="46" t="str">
        <f t="shared" si="33"/>
        <v>N/A</v>
      </c>
      <c r="R52" s="46" t="str">
        <f t="shared" si="33"/>
        <v>N/A</v>
      </c>
      <c r="S52" s="46" t="str">
        <f t="shared" si="33"/>
        <v>N/A</v>
      </c>
      <c r="T52" s="46" t="str">
        <f t="shared" si="33"/>
        <v>N/A</v>
      </c>
      <c r="U52" s="46" t="str">
        <f t="shared" si="33"/>
        <v>N/A</v>
      </c>
      <c r="V52" s="46" t="str">
        <f t="shared" si="33"/>
        <v>N/A</v>
      </c>
      <c r="W52" s="46" t="str">
        <f t="shared" si="33"/>
        <v>N/A</v>
      </c>
      <c r="X52" s="46" t="str">
        <f t="shared" si="33"/>
        <v>N/A</v>
      </c>
      <c r="Y52" s="46" t="str">
        <f t="shared" si="33"/>
        <v>N/A</v>
      </c>
      <c r="Z52" s="46" t="str">
        <f t="shared" si="33"/>
        <v>N/A</v>
      </c>
      <c r="AA52" s="46" t="str">
        <f t="shared" si="33"/>
        <v>N/A</v>
      </c>
      <c r="AB52" s="46" t="str">
        <f t="shared" si="33"/>
        <v>N/A</v>
      </c>
      <c r="AC52" s="46" t="str">
        <f t="shared" si="33"/>
        <v>N/A</v>
      </c>
      <c r="AD52" s="46" t="str">
        <f>IF(OR(AD39=0,AD38=0),"N/A",IF(AD51="Loan repaid",0,IF(SUM(AD40-AD50)&lt;0,0,SUM(AD40-AD51))))</f>
        <v>N/A</v>
      </c>
      <c r="AE52" s="46" t="str">
        <f>IF(OR(AE39=0,AE38=0),"N/A",IF(AE51="Loan repaid",0,IF(SUM(AE40-AE50)&lt;0,0,SUM(AE40-AE51))))</f>
        <v>N/A</v>
      </c>
      <c r="AF52" s="46" t="str">
        <f>IF(OR(AF39=0,AF38=0),"N/A",IF(AF51="Loan repaid",0,IF(SUM(AF40-AF50)&lt;0,0,SUM(AF40-AF51))))</f>
        <v>N/A</v>
      </c>
      <c r="AG52" s="46" t="str">
        <f>IF(OR(AG39=0,AG38=0),"N/A",IF(AG51="Loan repaid",0,IF(SUM(AG40-AG50)&lt;0,0,SUM(AG40-AG51))))</f>
        <v>N/A</v>
      </c>
      <c r="AH52" s="46" t="str">
        <f>IF(OR(AH39=0,AH38=0),"N/A",IF(AH51="Loan repaid",0,IF(SUM(AH40-AH50)&lt;0,0,SUM(AH40-AH51))))</f>
        <v>N/A</v>
      </c>
    </row>
    <row r="53" spans="1:34" x14ac:dyDescent="0.2">
      <c r="A53" t="s">
        <v>15</v>
      </c>
      <c r="C53" s="47">
        <f t="shared" ref="C53:AC53" si="34">IF(OR(C39=0,C38=0),0,IF(OR(C51="Loan repaid",(C50&gt;C40)),SUM(C47*C40),SUM(C47*C51)))</f>
        <v>0</v>
      </c>
      <c r="D53" s="47">
        <f t="shared" si="34"/>
        <v>0</v>
      </c>
      <c r="E53" s="47">
        <f>IF(OR(E39=0,E38=0),0,IF(OR(E51="Loan repaid",(E50&gt;E40)),SUM(E47*E40),SUM(E47*E51)))</f>
        <v>0</v>
      </c>
      <c r="F53" s="47">
        <f t="shared" si="34"/>
        <v>0</v>
      </c>
      <c r="G53" s="47">
        <f t="shared" si="34"/>
        <v>0</v>
      </c>
      <c r="H53" s="47">
        <f t="shared" si="34"/>
        <v>0</v>
      </c>
      <c r="I53" s="47">
        <f t="shared" si="34"/>
        <v>0</v>
      </c>
      <c r="J53" s="47">
        <f t="shared" si="34"/>
        <v>0</v>
      </c>
      <c r="K53" s="47">
        <f t="shared" si="34"/>
        <v>0</v>
      </c>
      <c r="L53" s="47">
        <f t="shared" si="34"/>
        <v>0</v>
      </c>
      <c r="M53" s="47">
        <f t="shared" si="34"/>
        <v>0</v>
      </c>
      <c r="N53" s="47">
        <f t="shared" si="34"/>
        <v>0</v>
      </c>
      <c r="O53" s="47">
        <f t="shared" si="34"/>
        <v>0</v>
      </c>
      <c r="P53" s="47">
        <f t="shared" si="34"/>
        <v>0</v>
      </c>
      <c r="Q53" s="47">
        <f t="shared" si="34"/>
        <v>0</v>
      </c>
      <c r="R53" s="47">
        <f t="shared" si="34"/>
        <v>0</v>
      </c>
      <c r="S53" s="47">
        <f t="shared" si="34"/>
        <v>0</v>
      </c>
      <c r="T53" s="47">
        <f t="shared" si="34"/>
        <v>0</v>
      </c>
      <c r="U53" s="47">
        <f t="shared" si="34"/>
        <v>0</v>
      </c>
      <c r="V53" s="47">
        <f t="shared" si="34"/>
        <v>0</v>
      </c>
      <c r="W53" s="47">
        <f t="shared" si="34"/>
        <v>0</v>
      </c>
      <c r="X53" s="47">
        <f t="shared" si="34"/>
        <v>0</v>
      </c>
      <c r="Y53" s="47">
        <f t="shared" si="34"/>
        <v>0</v>
      </c>
      <c r="Z53" s="47">
        <f t="shared" si="34"/>
        <v>0</v>
      </c>
      <c r="AA53" s="47">
        <f t="shared" si="34"/>
        <v>0</v>
      </c>
      <c r="AB53" s="47">
        <f t="shared" si="34"/>
        <v>0</v>
      </c>
      <c r="AC53" s="47">
        <f t="shared" si="34"/>
        <v>0</v>
      </c>
      <c r="AD53" s="47">
        <f>IF(OR(AD39=0,AD38=0),0,IF(OR(AD51="Loan repaid",(AD50&gt;AD40)),SUM(AD47*AD40),SUM(AD47*AD51)))</f>
        <v>0</v>
      </c>
      <c r="AE53" s="47">
        <f>IF(OR(AE39=0,AE38=0),0,IF(OR(AE51="Loan repaid",(AE50&gt;AE40)),SUM(AE47*AE40),SUM(AE47*AE51)))</f>
        <v>0</v>
      </c>
      <c r="AF53" s="47">
        <f>IF(OR(AF39=0,AF38=0),0,IF(OR(AF51="Loan repaid",(AF50&gt;AF40)),SUM(AF47*AF40),SUM(AF47*AF51)))</f>
        <v>0</v>
      </c>
      <c r="AG53" s="47">
        <f>IF(OR(AG39=0,AG38=0),0,IF(OR(AG51="Loan repaid",(AG50&gt;AG40)),SUM(AG47*AG40),SUM(AG47*AG51)))</f>
        <v>0</v>
      </c>
      <c r="AH53" s="47">
        <f>IF(OR(AH39=0,AH38=0),0,IF(OR(AH51="Loan repaid",(AH50&gt;AH40)),SUM(AH47*AH40),SUM(AH47*AH51)))</f>
        <v>0</v>
      </c>
    </row>
    <row r="54" spans="1:34" x14ac:dyDescent="0.2">
      <c r="A54" s="5" t="s">
        <v>35</v>
      </c>
      <c r="C54" s="47">
        <f t="shared" ref="C54:AC54" si="35">IF(OR(C39=0,C38=0,C52=0,C51="Loan repaid"),0,SUM(C46-C53))</f>
        <v>0</v>
      </c>
      <c r="D54" s="47">
        <f t="shared" si="35"/>
        <v>0</v>
      </c>
      <c r="E54" s="47">
        <f>IF(OR(E39=0,E38=0,E52=0,E51="Loan repaid"),0,SUM(E46-E53))</f>
        <v>0</v>
      </c>
      <c r="F54" s="47">
        <f t="shared" si="35"/>
        <v>0</v>
      </c>
      <c r="G54" s="47">
        <f t="shared" si="35"/>
        <v>0</v>
      </c>
      <c r="H54" s="47">
        <f t="shared" si="35"/>
        <v>0</v>
      </c>
      <c r="I54" s="47">
        <f t="shared" si="35"/>
        <v>0</v>
      </c>
      <c r="J54" s="47">
        <f t="shared" si="35"/>
        <v>0</v>
      </c>
      <c r="K54" s="47">
        <f t="shared" si="35"/>
        <v>0</v>
      </c>
      <c r="L54" s="47">
        <f t="shared" si="35"/>
        <v>0</v>
      </c>
      <c r="M54" s="47">
        <f t="shared" si="35"/>
        <v>0</v>
      </c>
      <c r="N54" s="47">
        <f t="shared" si="35"/>
        <v>0</v>
      </c>
      <c r="O54" s="47">
        <f t="shared" si="35"/>
        <v>0</v>
      </c>
      <c r="P54" s="47">
        <f t="shared" si="35"/>
        <v>0</v>
      </c>
      <c r="Q54" s="47">
        <f t="shared" si="35"/>
        <v>0</v>
      </c>
      <c r="R54" s="47">
        <f t="shared" si="35"/>
        <v>0</v>
      </c>
      <c r="S54" s="47">
        <f t="shared" si="35"/>
        <v>0</v>
      </c>
      <c r="T54" s="47">
        <f t="shared" si="35"/>
        <v>0</v>
      </c>
      <c r="U54" s="47">
        <f t="shared" si="35"/>
        <v>0</v>
      </c>
      <c r="V54" s="47">
        <f t="shared" si="35"/>
        <v>0</v>
      </c>
      <c r="W54" s="47">
        <f t="shared" si="35"/>
        <v>0</v>
      </c>
      <c r="X54" s="47">
        <f t="shared" si="35"/>
        <v>0</v>
      </c>
      <c r="Y54" s="47">
        <f t="shared" si="35"/>
        <v>0</v>
      </c>
      <c r="Z54" s="47">
        <f t="shared" si="35"/>
        <v>0</v>
      </c>
      <c r="AA54" s="47">
        <f t="shared" si="35"/>
        <v>0</v>
      </c>
      <c r="AB54" s="47">
        <f t="shared" si="35"/>
        <v>0</v>
      </c>
      <c r="AC54" s="47">
        <f t="shared" si="35"/>
        <v>0</v>
      </c>
      <c r="AD54" s="47">
        <f>IF(OR(AD39=0,AD38=0,AD52=0,AD51="Loan repaid"),0,SUM(AD46-AD53))</f>
        <v>0</v>
      </c>
      <c r="AE54" s="47">
        <f>IF(OR(AE39=0,AE38=0,AE52=0,AE51="Loan repaid"),0,SUM(AE46-AE53))</f>
        <v>0</v>
      </c>
      <c r="AF54" s="47">
        <f>IF(OR(AF39=0,AF38=0,AF52=0,AF51="Loan repaid"),0,SUM(AF46-AF53))</f>
        <v>0</v>
      </c>
      <c r="AG54" s="47">
        <f>IF(OR(AG39=0,AG38=0,AG52=0,AG51="Loan repaid"),0,SUM(AG46-AG53))</f>
        <v>0</v>
      </c>
      <c r="AH54" s="47">
        <f>IF(OR(AH39=0,AH38=0,AH52=0,AH51="Loan repaid"),0,SUM(AH46-AH53))</f>
        <v>0</v>
      </c>
    </row>
    <row r="55" spans="1:34" x14ac:dyDescent="0.2">
      <c r="A55" s="147" t="s">
        <v>117</v>
      </c>
      <c r="C55" s="48">
        <f t="shared" ref="C55:AC55" si="36">+IF(OR(C50=0,SUM(C49-C38)&gt;C40),0,IF(SUM(C49-C38)=C40,C47,C47))</f>
        <v>0</v>
      </c>
      <c r="D55" s="48">
        <f t="shared" si="36"/>
        <v>0</v>
      </c>
      <c r="E55" s="48">
        <f>+IF(OR(E50=0,SUM(E49-E38)&gt;E40),0,IF(SUM(E49-E38)=E40,E47,E47))</f>
        <v>0</v>
      </c>
      <c r="F55" s="48">
        <f t="shared" si="36"/>
        <v>0</v>
      </c>
      <c r="G55" s="48">
        <f t="shared" si="36"/>
        <v>0</v>
      </c>
      <c r="H55" s="48">
        <f t="shared" si="36"/>
        <v>0</v>
      </c>
      <c r="I55" s="48">
        <f t="shared" si="36"/>
        <v>0</v>
      </c>
      <c r="J55" s="48">
        <f t="shared" si="36"/>
        <v>0</v>
      </c>
      <c r="K55" s="48">
        <f t="shared" si="36"/>
        <v>0</v>
      </c>
      <c r="L55" s="48">
        <f t="shared" si="36"/>
        <v>0</v>
      </c>
      <c r="M55" s="48">
        <f t="shared" si="36"/>
        <v>0</v>
      </c>
      <c r="N55" s="48">
        <f t="shared" si="36"/>
        <v>0</v>
      </c>
      <c r="O55" s="48">
        <f t="shared" si="36"/>
        <v>0</v>
      </c>
      <c r="P55" s="48">
        <f t="shared" si="36"/>
        <v>0</v>
      </c>
      <c r="Q55" s="48">
        <f t="shared" si="36"/>
        <v>0</v>
      </c>
      <c r="R55" s="48">
        <f t="shared" si="36"/>
        <v>0</v>
      </c>
      <c r="S55" s="48">
        <f t="shared" si="36"/>
        <v>0</v>
      </c>
      <c r="T55" s="48">
        <f t="shared" si="36"/>
        <v>0</v>
      </c>
      <c r="U55" s="48">
        <f t="shared" si="36"/>
        <v>0</v>
      </c>
      <c r="V55" s="48">
        <f t="shared" si="36"/>
        <v>0</v>
      </c>
      <c r="W55" s="48">
        <f t="shared" si="36"/>
        <v>0</v>
      </c>
      <c r="X55" s="48">
        <f t="shared" si="36"/>
        <v>0</v>
      </c>
      <c r="Y55" s="48">
        <f t="shared" si="36"/>
        <v>0</v>
      </c>
      <c r="Z55" s="48">
        <f t="shared" si="36"/>
        <v>0</v>
      </c>
      <c r="AA55" s="48">
        <f t="shared" si="36"/>
        <v>0</v>
      </c>
      <c r="AB55" s="48">
        <f t="shared" si="36"/>
        <v>0</v>
      </c>
      <c r="AC55" s="48">
        <f t="shared" si="36"/>
        <v>0</v>
      </c>
      <c r="AD55" s="48">
        <f>+IF(OR(AD50=0,SUM(AD49-AD38)&gt;AD40),0,IF(SUM(AD49-AD38)=AD40,AD47,AD47))</f>
        <v>0</v>
      </c>
      <c r="AE55" s="48">
        <f>+IF(OR(AE50=0,SUM(AE49-AE38)&gt;AE40),0,IF(SUM(AE49-AE38)=AE40,AE47,AE47))</f>
        <v>0</v>
      </c>
      <c r="AF55" s="48">
        <f>+IF(OR(AF50=0,SUM(AF49-AF38)&gt;AF40),0,IF(SUM(AF49-AF38)=AF40,AF47,AF47))</f>
        <v>0</v>
      </c>
      <c r="AG55" s="48">
        <f>+IF(OR(AG50=0,SUM(AG49-AG38)&gt;AG40),0,IF(SUM(AG49-AG38)=AG40,AG47,AG47))</f>
        <v>0</v>
      </c>
      <c r="AH55" s="48">
        <f>+IF(OR(AH50=0,SUM(AH49-AH38)&gt;AH40),0,IF(SUM(AH49-AH38)=AH40,AH47,AH47))</f>
        <v>0</v>
      </c>
    </row>
    <row r="56" spans="1:34" x14ac:dyDescent="0.2">
      <c r="C56" t="s">
        <v>22</v>
      </c>
    </row>
    <row r="57" spans="1:34" x14ac:dyDescent="0.2">
      <c r="A57" s="40" t="s">
        <v>25</v>
      </c>
      <c r="B57" s="13"/>
      <c r="C57" s="13"/>
      <c r="D57" s="31" t="s">
        <v>26</v>
      </c>
      <c r="E57" s="31"/>
      <c r="F57" s="13"/>
      <c r="G57" s="13"/>
    </row>
    <row r="58" spans="1:34" x14ac:dyDescent="0.2">
      <c r="A58" s="15" t="s">
        <v>13</v>
      </c>
      <c r="B58" s="16">
        <v>2025</v>
      </c>
      <c r="C58" s="17"/>
      <c r="D58" s="38" t="str">
        <f t="shared" ref="D58:D69" si="37">CONCATENATE(A58,B58)</f>
        <v>December 2025</v>
      </c>
      <c r="E58" s="38"/>
      <c r="F58" s="17"/>
    </row>
    <row r="59" spans="1:34" x14ac:dyDescent="0.2">
      <c r="A59" s="18" t="s">
        <v>2</v>
      </c>
      <c r="B59" s="19">
        <f>+B58+1</f>
        <v>2026</v>
      </c>
      <c r="D59" s="38" t="str">
        <f t="shared" si="37"/>
        <v>January 2026</v>
      </c>
      <c r="E59" s="38"/>
    </row>
    <row r="60" spans="1:34" x14ac:dyDescent="0.2">
      <c r="A60" s="20" t="s">
        <v>3</v>
      </c>
      <c r="B60" s="21">
        <f t="shared" ref="B60:B70" si="38">+B59</f>
        <v>2026</v>
      </c>
      <c r="D60" s="38" t="str">
        <f t="shared" si="37"/>
        <v>February 2026</v>
      </c>
      <c r="E60" s="38"/>
      <c r="H60" t="s">
        <v>22</v>
      </c>
    </row>
    <row r="61" spans="1:34" x14ac:dyDescent="0.2">
      <c r="A61" s="22" t="s">
        <v>4</v>
      </c>
      <c r="B61" s="23">
        <f t="shared" si="38"/>
        <v>2026</v>
      </c>
      <c r="D61" s="38" t="str">
        <f t="shared" si="37"/>
        <v>March 2026</v>
      </c>
      <c r="E61" s="38"/>
    </row>
    <row r="62" spans="1:34" x14ac:dyDescent="0.2">
      <c r="A62" s="24" t="s">
        <v>5</v>
      </c>
      <c r="B62" s="10">
        <f t="shared" si="38"/>
        <v>2026</v>
      </c>
      <c r="D62" s="38" t="str">
        <f t="shared" si="37"/>
        <v>April 2026</v>
      </c>
      <c r="E62" s="38"/>
    </row>
    <row r="63" spans="1:34" x14ac:dyDescent="0.2">
      <c r="A63" s="25" t="s">
        <v>6</v>
      </c>
      <c r="B63" s="11">
        <f t="shared" si="38"/>
        <v>2026</v>
      </c>
      <c r="D63" s="38" t="str">
        <f t="shared" si="37"/>
        <v>May 2026</v>
      </c>
      <c r="E63" s="38"/>
    </row>
    <row r="64" spans="1:34" x14ac:dyDescent="0.2">
      <c r="A64" s="26" t="s">
        <v>7</v>
      </c>
      <c r="B64" s="12">
        <f t="shared" si="38"/>
        <v>2026</v>
      </c>
      <c r="D64" s="38" t="str">
        <f t="shared" si="37"/>
        <v>June 2026</v>
      </c>
      <c r="E64" s="38"/>
    </row>
    <row r="65" spans="1:5" x14ac:dyDescent="0.2">
      <c r="A65" s="27" t="s">
        <v>8</v>
      </c>
      <c r="B65" s="14">
        <f t="shared" si="38"/>
        <v>2026</v>
      </c>
      <c r="D65" s="38" t="str">
        <f t="shared" si="37"/>
        <v>July 2026</v>
      </c>
      <c r="E65" s="38"/>
    </row>
    <row r="66" spans="1:5" x14ac:dyDescent="0.2">
      <c r="A66" s="28" t="s">
        <v>9</v>
      </c>
      <c r="B66" s="29">
        <f t="shared" si="38"/>
        <v>2026</v>
      </c>
      <c r="D66" s="38" t="str">
        <f t="shared" si="37"/>
        <v>August 2026</v>
      </c>
      <c r="E66" s="38"/>
    </row>
    <row r="67" spans="1:5" x14ac:dyDescent="0.2">
      <c r="A67" s="30" t="s">
        <v>10</v>
      </c>
      <c r="B67" s="31">
        <f t="shared" si="38"/>
        <v>2026</v>
      </c>
      <c r="D67" s="38" t="str">
        <f t="shared" si="37"/>
        <v>September 2026</v>
      </c>
      <c r="E67" s="38"/>
    </row>
    <row r="68" spans="1:5" x14ac:dyDescent="0.2">
      <c r="A68" s="32" t="s">
        <v>11</v>
      </c>
      <c r="B68" s="33">
        <f t="shared" si="38"/>
        <v>2026</v>
      </c>
      <c r="D68" s="38" t="str">
        <f t="shared" si="37"/>
        <v>October 2026</v>
      </c>
      <c r="E68" s="38"/>
    </row>
    <row r="69" spans="1:5" x14ac:dyDescent="0.2">
      <c r="A69" s="34" t="s">
        <v>12</v>
      </c>
      <c r="B69" s="35">
        <f t="shared" si="38"/>
        <v>2026</v>
      </c>
      <c r="D69" s="38" t="str">
        <f t="shared" si="37"/>
        <v>November 2026</v>
      </c>
      <c r="E69" s="38"/>
    </row>
    <row r="70" spans="1:5" x14ac:dyDescent="0.2">
      <c r="A70" s="36" t="s">
        <v>13</v>
      </c>
      <c r="B70" s="37">
        <f t="shared" si="38"/>
        <v>2026</v>
      </c>
      <c r="D70" s="38" t="str">
        <f>CONCATENATE(A70,B70)</f>
        <v>December 2026</v>
      </c>
      <c r="E70" s="38"/>
    </row>
    <row r="71" spans="1:5" x14ac:dyDescent="0.2">
      <c r="B71">
        <f>B59+1</f>
        <v>2027</v>
      </c>
    </row>
    <row r="74" spans="1:5" x14ac:dyDescent="0.2">
      <c r="B74" s="62" t="s">
        <v>40</v>
      </c>
      <c r="C74" s="62" t="s">
        <v>41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C33:L33"/>
    <mergeCell ref="N33:V33"/>
    <mergeCell ref="A1:W1"/>
    <mergeCell ref="A15:C15"/>
  </mergeCells>
  <conditionalFormatting sqref="A2:E2">
    <cfRule type="iconSet" priority="2">
      <iconSet iconSet="3TrafficLights2">
        <cfvo type="percent" val="0"/>
        <cfvo type="percent" val="33"/>
        <cfvo type="percent" val="67"/>
      </iconSet>
    </cfRule>
  </conditionalFormatting>
  <conditionalFormatting sqref="F2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Views>
    <sheetView topLeftCell="A4" workbookViewId="0">
      <selection activeCell="D17" sqref="D17"/>
    </sheetView>
  </sheetViews>
  <sheetFormatPr defaultRowHeight="12.75" x14ac:dyDescent="0.2"/>
  <cols>
    <col min="1" max="1" width="8.7109375" style="116"/>
    <col min="2" max="2" width="24.5703125" customWidth="1"/>
    <col min="3" max="3" width="4.140625" customWidth="1"/>
    <col min="4" max="4" width="17.42578125" customWidth="1"/>
    <col min="5" max="5" width="17.5703125" style="112" customWidth="1"/>
    <col min="6" max="6" width="18.28515625" style="112" customWidth="1"/>
    <col min="7" max="7" width="11.140625" bestFit="1" customWidth="1"/>
  </cols>
  <sheetData>
    <row r="1" spans="1:22" ht="35.25" x14ac:dyDescent="0.5">
      <c r="B1" s="652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</row>
    <row r="2" spans="1:22" ht="59.25" x14ac:dyDescent="0.45">
      <c r="B2" s="216" t="s">
        <v>166</v>
      </c>
      <c r="C2" s="114"/>
      <c r="D2" s="114"/>
      <c r="E2" s="289"/>
      <c r="F2" s="289"/>
      <c r="G2" s="175"/>
      <c r="H2" s="114"/>
      <c r="I2" s="175"/>
      <c r="J2" s="114"/>
      <c r="K2" s="148"/>
      <c r="L2" s="148"/>
      <c r="M2" s="154"/>
      <c r="N2" s="114"/>
      <c r="O2" s="114"/>
      <c r="P2" s="114"/>
      <c r="Q2" s="114"/>
      <c r="R2" s="114"/>
      <c r="S2" s="114"/>
      <c r="T2" s="114"/>
      <c r="U2" s="114"/>
      <c r="V2" s="114"/>
    </row>
    <row r="3" spans="1:22" ht="59.25" x14ac:dyDescent="0.45">
      <c r="B3" s="216"/>
      <c r="C3" s="114"/>
      <c r="D3" s="114"/>
      <c r="E3" s="289"/>
      <c r="F3" s="289"/>
      <c r="G3" s="175"/>
      <c r="H3" s="114"/>
      <c r="I3" s="175"/>
      <c r="J3" s="114"/>
      <c r="K3" s="148"/>
      <c r="L3" s="148"/>
      <c r="M3" s="154"/>
      <c r="N3" s="114"/>
      <c r="O3" s="114"/>
      <c r="P3" s="114"/>
      <c r="Q3" s="114"/>
      <c r="R3" s="114"/>
      <c r="S3" s="114"/>
      <c r="T3" s="114"/>
      <c r="U3" s="114"/>
      <c r="V3" s="114"/>
    </row>
    <row r="4" spans="1:22" ht="23.25" x14ac:dyDescent="0.35">
      <c r="A4" s="215" t="s">
        <v>338</v>
      </c>
      <c r="C4" s="208"/>
      <c r="D4" s="208"/>
      <c r="E4" s="290"/>
      <c r="F4" s="290"/>
      <c r="G4" s="208"/>
      <c r="H4" s="208"/>
      <c r="I4" s="208"/>
      <c r="J4" s="215"/>
      <c r="K4" s="215"/>
      <c r="L4" s="215"/>
      <c r="M4" s="215"/>
      <c r="N4" s="215"/>
      <c r="O4" s="215"/>
      <c r="P4" s="215"/>
    </row>
    <row r="5" spans="1:22" ht="24" thickBot="1" x14ac:dyDescent="0.4">
      <c r="J5" s="215"/>
      <c r="K5" s="215"/>
      <c r="L5" s="215"/>
      <c r="M5" s="215"/>
      <c r="N5" s="215"/>
      <c r="O5" s="215"/>
      <c r="P5" s="215"/>
    </row>
    <row r="6" spans="1:22" ht="24" thickBot="1" x14ac:dyDescent="0.4">
      <c r="B6" s="286" t="s">
        <v>228</v>
      </c>
      <c r="C6" s="287" t="str">
        <f>'Res-Workers'!B81</f>
        <v>Mid</v>
      </c>
      <c r="D6" s="288" t="str">
        <f>'Res-Workers'!C81</f>
        <v>January 2026</v>
      </c>
      <c r="J6" s="215"/>
      <c r="K6" s="215"/>
      <c r="L6" s="215"/>
      <c r="M6" s="215"/>
      <c r="N6" s="215"/>
      <c r="O6" s="215"/>
      <c r="P6" s="215"/>
    </row>
    <row r="7" spans="1:22" x14ac:dyDescent="0.2">
      <c r="B7" s="281"/>
      <c r="C7" s="282"/>
    </row>
    <row r="8" spans="1:22" x14ac:dyDescent="0.2">
      <c r="B8" s="281"/>
      <c r="C8" s="282"/>
    </row>
    <row r="9" spans="1:22" ht="13.5" thickBot="1" x14ac:dyDescent="0.25">
      <c r="B9" s="281"/>
      <c r="D9" s="280" t="s">
        <v>157</v>
      </c>
      <c r="E9" s="295" t="s">
        <v>156</v>
      </c>
      <c r="F9" s="303" t="s">
        <v>189</v>
      </c>
    </row>
    <row r="10" spans="1:22" ht="13.5" thickBot="1" x14ac:dyDescent="0.25">
      <c r="B10" s="12" t="s">
        <v>165</v>
      </c>
      <c r="D10" s="279">
        <f>D22+D49</f>
        <v>967000</v>
      </c>
      <c r="E10" s="292">
        <f>E22+E49</f>
        <v>0</v>
      </c>
      <c r="F10" s="292">
        <f>F22+F49</f>
        <v>0</v>
      </c>
    </row>
    <row r="11" spans="1:22" x14ac:dyDescent="0.2">
      <c r="B11" s="12"/>
      <c r="D11" s="283"/>
      <c r="F11" s="304"/>
    </row>
    <row r="12" spans="1:22" ht="14.25" x14ac:dyDescent="0.2">
      <c r="A12" s="278" t="s">
        <v>186</v>
      </c>
      <c r="B12" s="214" t="s">
        <v>164</v>
      </c>
      <c r="D12" s="153"/>
      <c r="F12" s="304"/>
    </row>
    <row r="13" spans="1:22" x14ac:dyDescent="0.2">
      <c r="A13" s="276">
        <v>1</v>
      </c>
      <c r="B13" s="209" t="str">
        <f>'Res-Workers'!B68</f>
        <v>Martin Kandalama</v>
      </c>
      <c r="D13" s="210">
        <f>'Res-Workers'!G68</f>
        <v>35000</v>
      </c>
      <c r="E13" s="293">
        <f>'Res-Workers'!F68</f>
        <v>0</v>
      </c>
      <c r="F13" s="304">
        <f>'Res-Workers'!H68</f>
        <v>0</v>
      </c>
    </row>
    <row r="14" spans="1:22" x14ac:dyDescent="0.2">
      <c r="A14" s="276">
        <f>A13+1</f>
        <v>2</v>
      </c>
      <c r="B14" s="209" t="str">
        <f>'Res-Workers'!B69</f>
        <v>Daniel Mponda</v>
      </c>
      <c r="D14" s="210">
        <f>'Res-Workers'!G69</f>
        <v>35000</v>
      </c>
      <c r="E14" s="293">
        <f>'Res-Workers'!F69</f>
        <v>0</v>
      </c>
      <c r="F14" s="304">
        <f>'Res-Workers'!H69</f>
        <v>0</v>
      </c>
    </row>
    <row r="15" spans="1:22" x14ac:dyDescent="0.2">
      <c r="A15" s="276">
        <f t="shared" ref="A15:A21" si="0">A14+1</f>
        <v>3</v>
      </c>
      <c r="B15" s="209" t="str">
        <f>'Res-Workers'!B70</f>
        <v>Elizabeth Kabudula</v>
      </c>
      <c r="D15" s="210">
        <f>'Res-Workers'!G70</f>
        <v>10000</v>
      </c>
      <c r="E15" s="293">
        <f>'Res-Workers'!F70</f>
        <v>0</v>
      </c>
      <c r="F15" s="304">
        <f>'Res-Workers'!H70</f>
        <v>0</v>
      </c>
    </row>
    <row r="16" spans="1:22" x14ac:dyDescent="0.2">
      <c r="A16" s="276">
        <f t="shared" si="0"/>
        <v>4</v>
      </c>
      <c r="B16" s="209" t="str">
        <f>'Res-Workers'!B71</f>
        <v xml:space="preserve">vacant  </v>
      </c>
      <c r="D16" s="210">
        <f>'Res-Workers'!G71</f>
        <v>0</v>
      </c>
      <c r="E16" s="293">
        <f>'Res-Workers'!F71</f>
        <v>0</v>
      </c>
      <c r="F16" s="304">
        <f>'Res-Workers'!H71</f>
        <v>0</v>
      </c>
    </row>
    <row r="17" spans="1:6" x14ac:dyDescent="0.2">
      <c r="A17" s="276">
        <f t="shared" si="0"/>
        <v>5</v>
      </c>
      <c r="B17" s="209" t="str">
        <f>'Res-Workers'!B72</f>
        <v>William Mahinya</v>
      </c>
      <c r="D17" s="210">
        <f>'Res-Workers'!G72</f>
        <v>75000</v>
      </c>
      <c r="E17" s="293">
        <f>'Res-Workers'!F72</f>
        <v>0</v>
      </c>
      <c r="F17" s="304">
        <f>'Res-Workers'!H72</f>
        <v>0</v>
      </c>
    </row>
    <row r="18" spans="1:6" x14ac:dyDescent="0.2">
      <c r="A18" s="276">
        <f t="shared" si="0"/>
        <v>6</v>
      </c>
      <c r="B18" s="209" t="str">
        <f>'Res-Workers'!B73</f>
        <v xml:space="preserve">vacant  </v>
      </c>
      <c r="D18" s="210">
        <f>'Res-Workers'!G73</f>
        <v>0</v>
      </c>
      <c r="E18" s="293">
        <f>'Res-Workers'!F73</f>
        <v>0</v>
      </c>
      <c r="F18" s="304">
        <f>'Res-Workers'!H73</f>
        <v>0</v>
      </c>
    </row>
    <row r="19" spans="1:6" x14ac:dyDescent="0.2">
      <c r="A19" s="276">
        <f t="shared" si="0"/>
        <v>7</v>
      </c>
      <c r="B19" s="209" t="str">
        <f>'Res-Workers'!B74</f>
        <v xml:space="preserve">  </v>
      </c>
      <c r="D19" s="210">
        <f>'Res-Workers'!G74</f>
        <v>0</v>
      </c>
      <c r="E19" s="293">
        <f>'Res-Workers'!F74</f>
        <v>0</v>
      </c>
      <c r="F19" s="304">
        <f>'Res-Workers'!H74</f>
        <v>0</v>
      </c>
    </row>
    <row r="20" spans="1:6" x14ac:dyDescent="0.2">
      <c r="A20" s="276">
        <f t="shared" si="0"/>
        <v>8</v>
      </c>
      <c r="B20" s="209" t="str">
        <f>'Res-Workers'!B75</f>
        <v xml:space="preserve">vacant  </v>
      </c>
      <c r="D20" s="210">
        <f>'Res-Workers'!G75</f>
        <v>0</v>
      </c>
      <c r="E20" s="293">
        <f>'Res-Workers'!F75</f>
        <v>0</v>
      </c>
      <c r="F20" s="304">
        <f>'Res-Workers'!H75</f>
        <v>0</v>
      </c>
    </row>
    <row r="21" spans="1:6" x14ac:dyDescent="0.2">
      <c r="A21" s="276">
        <f t="shared" si="0"/>
        <v>9</v>
      </c>
      <c r="B21" s="209" t="str">
        <f>'Res-Workers'!B76</f>
        <v>Yankho Gulani</v>
      </c>
      <c r="D21" s="210">
        <f>'Res-Workers'!G76</f>
        <v>60000</v>
      </c>
      <c r="E21" s="293">
        <f>'Res-Workers'!F76</f>
        <v>0</v>
      </c>
      <c r="F21" s="304">
        <f>'Res-Workers'!H76</f>
        <v>0</v>
      </c>
    </row>
    <row r="22" spans="1:6" ht="13.5" thickBot="1" x14ac:dyDescent="0.25">
      <c r="B22" s="284" t="s">
        <v>163</v>
      </c>
      <c r="D22" s="285">
        <f>SUM(D13:D21)</f>
        <v>215000</v>
      </c>
      <c r="E22" s="291">
        <f>SUM(E13:E21)</f>
        <v>0</v>
      </c>
      <c r="F22" s="291">
        <f>SUM(F13:F21)</f>
        <v>0</v>
      </c>
    </row>
    <row r="23" spans="1:6" ht="13.5" thickTop="1" x14ac:dyDescent="0.2">
      <c r="D23" s="153" t="s">
        <v>22</v>
      </c>
    </row>
    <row r="24" spans="1:6" x14ac:dyDescent="0.2">
      <c r="A24" s="278" t="s">
        <v>186</v>
      </c>
      <c r="B24" s="213" t="s">
        <v>339</v>
      </c>
    </row>
    <row r="25" spans="1:6" x14ac:dyDescent="0.2">
      <c r="A25" s="277">
        <v>1</v>
      </c>
      <c r="B25" s="211" t="str">
        <f>'Shop-Workers'!B121</f>
        <v>Sapulene Mkulichi</v>
      </c>
      <c r="D25" s="212">
        <f>'Shop-Workers'!G121</f>
        <v>0</v>
      </c>
      <c r="E25" s="294">
        <f>'Shop-Workers'!F121</f>
        <v>0</v>
      </c>
      <c r="F25" s="165">
        <f>'Shop-Workers'!H121</f>
        <v>0</v>
      </c>
    </row>
    <row r="26" spans="1:6" x14ac:dyDescent="0.2">
      <c r="A26" s="277">
        <f>A25+1</f>
        <v>2</v>
      </c>
      <c r="B26" s="211" t="str">
        <f>'Shop-Workers'!B122</f>
        <v>George Matemba</v>
      </c>
      <c r="D26" s="212">
        <f>'Shop-Workers'!G122</f>
        <v>60000</v>
      </c>
      <c r="E26" s="294">
        <f>'Shop-Workers'!F122</f>
        <v>0</v>
      </c>
      <c r="F26" s="165">
        <f>'Shop-Workers'!H122</f>
        <v>0</v>
      </c>
    </row>
    <row r="27" spans="1:6" x14ac:dyDescent="0.2">
      <c r="A27" s="277">
        <f t="shared" ref="A27:A47" si="1">A26+1</f>
        <v>3</v>
      </c>
      <c r="B27" s="211" t="str">
        <f>'Shop-Workers'!B123</f>
        <v xml:space="preserve">vacant  </v>
      </c>
      <c r="D27" s="212">
        <f>'Shop-Workers'!G123</f>
        <v>0</v>
      </c>
      <c r="E27" s="294">
        <f>'Shop-Workers'!F123</f>
        <v>0</v>
      </c>
      <c r="F27" s="165">
        <f>'Shop-Workers'!H123</f>
        <v>0</v>
      </c>
    </row>
    <row r="28" spans="1:6" x14ac:dyDescent="0.2">
      <c r="A28" s="277">
        <f t="shared" si="1"/>
        <v>4</v>
      </c>
      <c r="B28" s="211" t="str">
        <f>'Shop-Workers'!B124</f>
        <v>Alinafe James</v>
      </c>
      <c r="D28" s="212">
        <f>'Shop-Workers'!G124</f>
        <v>40000</v>
      </c>
      <c r="E28" s="294">
        <f>'Shop-Workers'!F124</f>
        <v>0</v>
      </c>
      <c r="F28" s="165">
        <f>'Shop-Workers'!H124</f>
        <v>0</v>
      </c>
    </row>
    <row r="29" spans="1:6" x14ac:dyDescent="0.2">
      <c r="A29" s="277">
        <f t="shared" si="1"/>
        <v>5</v>
      </c>
      <c r="B29" s="211" t="str">
        <f>'Shop-Workers'!B125</f>
        <v>Chimwemwe Banda</v>
      </c>
      <c r="D29" s="212">
        <f>'Shop-Workers'!G125</f>
        <v>40000</v>
      </c>
      <c r="E29" s="294">
        <f>'Shop-Workers'!F125</f>
        <v>0</v>
      </c>
      <c r="F29" s="165">
        <f>'Shop-Workers'!H125</f>
        <v>0</v>
      </c>
    </row>
    <row r="30" spans="1:6" x14ac:dyDescent="0.2">
      <c r="A30" s="277">
        <f t="shared" si="1"/>
        <v>6</v>
      </c>
      <c r="B30" s="211" t="str">
        <f>'Shop-Workers'!B126</f>
        <v xml:space="preserve">vacant  </v>
      </c>
      <c r="D30" s="212">
        <f>'Shop-Workers'!G126</f>
        <v>0</v>
      </c>
      <c r="E30" s="294">
        <f>'Shop-Workers'!F126</f>
        <v>0</v>
      </c>
      <c r="F30" s="165">
        <f>'Shop-Workers'!H126</f>
        <v>0</v>
      </c>
    </row>
    <row r="31" spans="1:6" x14ac:dyDescent="0.2">
      <c r="A31" s="277">
        <f t="shared" si="1"/>
        <v>7</v>
      </c>
      <c r="B31" s="211" t="str">
        <f>'Shop-Workers'!B127</f>
        <v>Maureen Ulaya</v>
      </c>
      <c r="D31" s="212">
        <f>'Shop-Workers'!G127</f>
        <v>40000</v>
      </c>
      <c r="E31" s="294">
        <f>'Shop-Workers'!F127</f>
        <v>0</v>
      </c>
      <c r="F31" s="165">
        <f>'Shop-Workers'!H127</f>
        <v>0</v>
      </c>
    </row>
    <row r="32" spans="1:6" x14ac:dyDescent="0.2">
      <c r="A32" s="277">
        <f t="shared" si="1"/>
        <v>8</v>
      </c>
      <c r="B32" s="211" t="str">
        <f>'Shop-Workers'!B128</f>
        <v>Francis Chatsweka</v>
      </c>
      <c r="D32" s="212">
        <f>'Shop-Workers'!G128</f>
        <v>35000</v>
      </c>
      <c r="E32" s="294">
        <f>'Shop-Workers'!F128</f>
        <v>0</v>
      </c>
      <c r="F32" s="165">
        <f>'Shop-Workers'!H128</f>
        <v>0</v>
      </c>
    </row>
    <row r="33" spans="1:6" x14ac:dyDescent="0.2">
      <c r="A33" s="277">
        <f t="shared" si="1"/>
        <v>9</v>
      </c>
      <c r="B33" s="211" t="str">
        <f>'Shop-Workers'!B129</f>
        <v>Stenala Mponda</v>
      </c>
      <c r="D33" s="212">
        <f>'Shop-Workers'!G129</f>
        <v>35000</v>
      </c>
      <c r="E33" s="294">
        <f>'Shop-Workers'!F129</f>
        <v>0</v>
      </c>
      <c r="F33" s="165">
        <f>'Shop-Workers'!H129</f>
        <v>0</v>
      </c>
    </row>
    <row r="34" spans="1:6" x14ac:dyDescent="0.2">
      <c r="A34" s="277">
        <f t="shared" si="1"/>
        <v>10</v>
      </c>
      <c r="B34" s="211" t="str">
        <f>'Shop-Workers'!B130</f>
        <v>Simikizani Siki</v>
      </c>
      <c r="D34" s="212">
        <f>'Shop-Workers'!G130</f>
        <v>35000</v>
      </c>
      <c r="E34" s="294">
        <f>'Shop-Workers'!F130</f>
        <v>0</v>
      </c>
      <c r="F34" s="165">
        <f>'Shop-Workers'!H130</f>
        <v>0</v>
      </c>
    </row>
    <row r="35" spans="1:6" x14ac:dyDescent="0.2">
      <c r="A35" s="277">
        <f t="shared" si="1"/>
        <v>11</v>
      </c>
      <c r="B35" s="211" t="str">
        <f>'Shop-Workers'!B131</f>
        <v>Amini Wecha</v>
      </c>
      <c r="D35" s="212">
        <f>'Shop-Workers'!G131</f>
        <v>35000</v>
      </c>
      <c r="E35" s="294">
        <f>'Shop-Workers'!F131</f>
        <v>0</v>
      </c>
      <c r="F35" s="165">
        <f>'Shop-Workers'!H131</f>
        <v>0</v>
      </c>
    </row>
    <row r="36" spans="1:6" x14ac:dyDescent="0.2">
      <c r="A36" s="277">
        <f t="shared" si="1"/>
        <v>12</v>
      </c>
      <c r="B36" s="211" t="str">
        <f>'Shop-Workers'!B132</f>
        <v>Tayifolo Mandowa</v>
      </c>
      <c r="D36" s="212">
        <f>'Shop-Workers'!G132</f>
        <v>60000</v>
      </c>
      <c r="E36" s="294">
        <f>'Shop-Workers'!F132</f>
        <v>0</v>
      </c>
      <c r="F36" s="165">
        <f>'Shop-Workers'!H132</f>
        <v>0</v>
      </c>
    </row>
    <row r="37" spans="1:6" x14ac:dyDescent="0.2">
      <c r="A37" s="277">
        <f t="shared" si="1"/>
        <v>13</v>
      </c>
      <c r="B37" s="211" t="str">
        <f>'Shop-Workers'!B133</f>
        <v>Monica George</v>
      </c>
      <c r="D37" s="212">
        <f>'Shop-Workers'!G133</f>
        <v>40000</v>
      </c>
      <c r="E37" s="294">
        <f>'Shop-Workers'!F133</f>
        <v>0</v>
      </c>
      <c r="F37" s="165">
        <f>'Shop-Workers'!H133</f>
        <v>0</v>
      </c>
    </row>
    <row r="38" spans="1:6" x14ac:dyDescent="0.2">
      <c r="A38" s="277">
        <f t="shared" si="1"/>
        <v>14</v>
      </c>
      <c r="B38" s="211" t="str">
        <f>'Shop-Workers'!B134</f>
        <v>Madalitso Baluti</v>
      </c>
      <c r="D38" s="212">
        <f>'Shop-Workers'!G134</f>
        <v>45000</v>
      </c>
      <c r="E38" s="294">
        <f>'Shop-Workers'!F134</f>
        <v>0</v>
      </c>
      <c r="F38" s="165">
        <f>'Shop-Workers'!H134</f>
        <v>0</v>
      </c>
    </row>
    <row r="39" spans="1:6" x14ac:dyDescent="0.2">
      <c r="A39" s="277">
        <f t="shared" si="1"/>
        <v>15</v>
      </c>
      <c r="B39" s="211" t="str">
        <f>'Shop-Workers'!B135</f>
        <v>Peter James</v>
      </c>
      <c r="D39" s="212">
        <f>'Shop-Workers'!G135</f>
        <v>30000</v>
      </c>
      <c r="E39" s="294">
        <f>'Shop-Workers'!F135</f>
        <v>0</v>
      </c>
      <c r="F39" s="165">
        <f>'Shop-Workers'!H135</f>
        <v>0</v>
      </c>
    </row>
    <row r="40" spans="1:6" x14ac:dyDescent="0.2">
      <c r="A40" s="277">
        <f t="shared" si="1"/>
        <v>16</v>
      </c>
      <c r="B40" s="211" t="str">
        <f>'Shop-Workers'!B136</f>
        <v>Maggie Billy</v>
      </c>
      <c r="D40" s="212">
        <f>'Shop-Workers'!G136</f>
        <v>40000</v>
      </c>
      <c r="E40" s="294">
        <f>'Shop-Workers'!F136</f>
        <v>0</v>
      </c>
      <c r="F40" s="165">
        <f>'Shop-Workers'!H136</f>
        <v>0</v>
      </c>
    </row>
    <row r="41" spans="1:6" x14ac:dyDescent="0.2">
      <c r="A41" s="277">
        <f t="shared" si="1"/>
        <v>17</v>
      </c>
      <c r="B41" s="211" t="str">
        <f>'Shop-Workers'!B137</f>
        <v xml:space="preserve">vacant  </v>
      </c>
      <c r="D41" s="212">
        <f>'Shop-Workers'!G137</f>
        <v>0</v>
      </c>
      <c r="E41" s="294">
        <f>'Shop-Workers'!F137</f>
        <v>0</v>
      </c>
      <c r="F41" s="165">
        <f>'Shop-Workers'!H137</f>
        <v>0</v>
      </c>
    </row>
    <row r="42" spans="1:6" x14ac:dyDescent="0.2">
      <c r="A42" s="277">
        <f t="shared" si="1"/>
        <v>18</v>
      </c>
      <c r="B42" s="211" t="str">
        <f>'Shop-Workers'!B138</f>
        <v>Esnat Adam</v>
      </c>
      <c r="D42" s="212">
        <f>'Shop-Workers'!G138</f>
        <v>40000</v>
      </c>
      <c r="E42" s="294">
        <f>'Shop-Workers'!F138</f>
        <v>0</v>
      </c>
      <c r="F42" s="165">
        <f>'Shop-Workers'!H138</f>
        <v>0</v>
      </c>
    </row>
    <row r="43" spans="1:6" x14ac:dyDescent="0.2">
      <c r="A43" s="277">
        <f t="shared" si="1"/>
        <v>19</v>
      </c>
      <c r="B43" s="211" t="str">
        <f>'Shop-Workers'!B139</f>
        <v>Agness  Mponda</v>
      </c>
      <c r="D43" s="212">
        <f>'Shop-Workers'!G139</f>
        <v>40000</v>
      </c>
      <c r="E43" s="294">
        <f>'Shop-Workers'!F139</f>
        <v>0</v>
      </c>
      <c r="F43" s="165">
        <f>'Shop-Workers'!H139</f>
        <v>0</v>
      </c>
    </row>
    <row r="44" spans="1:6" x14ac:dyDescent="0.2">
      <c r="A44" s="277">
        <f t="shared" si="1"/>
        <v>20</v>
      </c>
      <c r="B44" s="211" t="str">
        <f>'Shop-Workers'!B140</f>
        <v>Elizabeth Chinkono</v>
      </c>
      <c r="D44" s="212">
        <f>'Shop-Workers'!G140</f>
        <v>50000</v>
      </c>
      <c r="E44" s="294">
        <f>'Shop-Workers'!F140</f>
        <v>0</v>
      </c>
      <c r="F44" s="165">
        <f>'Shop-Workers'!H140</f>
        <v>0</v>
      </c>
    </row>
    <row r="45" spans="1:6" x14ac:dyDescent="0.2">
      <c r="A45" s="277">
        <f t="shared" si="1"/>
        <v>21</v>
      </c>
      <c r="B45" s="211" t="str">
        <f>'Shop-Workers'!B141</f>
        <v xml:space="preserve">vacant  </v>
      </c>
      <c r="D45" s="212">
        <f>'Shop-Workers'!G141</f>
        <v>0</v>
      </c>
      <c r="E45" s="294">
        <f>'Shop-Workers'!F141</f>
        <v>0</v>
      </c>
      <c r="F45" s="165">
        <f>'Shop-Workers'!H141</f>
        <v>0</v>
      </c>
    </row>
    <row r="46" spans="1:6" x14ac:dyDescent="0.2">
      <c r="A46" s="277">
        <f t="shared" si="1"/>
        <v>22</v>
      </c>
      <c r="B46" s="211" t="str">
        <f>'Shop-Workers'!B142</f>
        <v>Dancan Botha</v>
      </c>
      <c r="D46" s="212">
        <f>'Shop-Workers'!G142</f>
        <v>47000</v>
      </c>
      <c r="E46" s="294">
        <f>'Shop-Workers'!F142</f>
        <v>0</v>
      </c>
      <c r="F46" s="165">
        <f>'Shop-Workers'!H142</f>
        <v>0</v>
      </c>
    </row>
    <row r="47" spans="1:6" x14ac:dyDescent="0.2">
      <c r="A47" s="277">
        <f t="shared" si="1"/>
        <v>23</v>
      </c>
      <c r="B47" s="211" t="str">
        <f>'Shop-Workers'!B143</f>
        <v>Ibrahim Amadu</v>
      </c>
      <c r="D47" s="212">
        <f>'Shop-Workers'!G143</f>
        <v>40000</v>
      </c>
      <c r="E47" s="294">
        <f>'Shop-Workers'!F143</f>
        <v>0</v>
      </c>
      <c r="F47" s="165">
        <f>'Shop-Workers'!H143</f>
        <v>0</v>
      </c>
    </row>
    <row r="48" spans="1:6" x14ac:dyDescent="0.2">
      <c r="A48" s="277"/>
      <c r="B48" s="211"/>
      <c r="D48" s="212"/>
      <c r="E48" s="294"/>
      <c r="F48" s="165"/>
    </row>
    <row r="49" spans="1:6" ht="13.5" thickBot="1" x14ac:dyDescent="0.25">
      <c r="A49" s="277"/>
      <c r="B49" s="284" t="s">
        <v>163</v>
      </c>
      <c r="D49" s="285">
        <f>SUM(D25:D47)</f>
        <v>752000</v>
      </c>
      <c r="E49" s="583">
        <f>SUM(E25:E47)</f>
        <v>0</v>
      </c>
      <c r="F49" s="305">
        <f>SUM(F25:F47)</f>
        <v>0</v>
      </c>
    </row>
    <row r="50" spans="1:6" ht="13.5" thickTop="1" x14ac:dyDescent="0.2">
      <c r="A50" s="277"/>
      <c r="B50" s="63"/>
    </row>
    <row r="51" spans="1:6" x14ac:dyDescent="0.2">
      <c r="B51" s="63"/>
      <c r="D51" s="153">
        <f>Wages!G13-'Combined Pay'!D10</f>
        <v>0</v>
      </c>
    </row>
    <row r="52" spans="1:6" x14ac:dyDescent="0.2">
      <c r="B52" s="63"/>
    </row>
    <row r="53" spans="1:6" x14ac:dyDescent="0.2">
      <c r="B53" s="73"/>
    </row>
    <row r="55" spans="1:6" x14ac:dyDescent="0.2">
      <c r="B55" s="63"/>
      <c r="C55" s="153"/>
    </row>
    <row r="56" spans="1:6" x14ac:dyDescent="0.2">
      <c r="B56" s="63"/>
      <c r="C56" s="153"/>
    </row>
    <row r="57" spans="1:6" x14ac:dyDescent="0.2">
      <c r="B57" s="63"/>
      <c r="C57" s="153"/>
    </row>
    <row r="58" spans="1:6" x14ac:dyDescent="0.2">
      <c r="B58" s="63"/>
      <c r="C58" s="153"/>
    </row>
    <row r="59" spans="1:6" x14ac:dyDescent="0.2">
      <c r="B59" s="63"/>
      <c r="C59" s="153"/>
    </row>
    <row r="60" spans="1:6" x14ac:dyDescent="0.2">
      <c r="B60" s="63"/>
      <c r="C60" s="153"/>
    </row>
    <row r="61" spans="1:6" x14ac:dyDescent="0.2">
      <c r="B61" s="63"/>
    </row>
    <row r="62" spans="1:6" x14ac:dyDescent="0.2">
      <c r="C62" s="153"/>
    </row>
    <row r="63" spans="1:6" x14ac:dyDescent="0.2">
      <c r="C63" s="153"/>
    </row>
    <row r="64" spans="1:6" x14ac:dyDescent="0.2">
      <c r="B64" s="63"/>
      <c r="C64" s="153"/>
    </row>
    <row r="65" spans="2:3" x14ac:dyDescent="0.2">
      <c r="B65" s="63"/>
      <c r="C65" s="153"/>
    </row>
    <row r="66" spans="2:3" x14ac:dyDescent="0.2">
      <c r="B66" s="63"/>
      <c r="C66" s="153"/>
    </row>
    <row r="67" spans="2:3" x14ac:dyDescent="0.2">
      <c r="B67" s="63"/>
      <c r="C67" s="153"/>
    </row>
    <row r="68" spans="2:3" x14ac:dyDescent="0.2">
      <c r="B68" s="63"/>
      <c r="C68" s="153"/>
    </row>
    <row r="69" spans="2:3" x14ac:dyDescent="0.2">
      <c r="B69" s="63"/>
      <c r="C69" s="153"/>
    </row>
    <row r="70" spans="2:3" x14ac:dyDescent="0.2">
      <c r="B70" s="63"/>
      <c r="C70" s="153"/>
    </row>
    <row r="71" spans="2:3" x14ac:dyDescent="0.2">
      <c r="B71" s="63"/>
      <c r="C71" s="153"/>
    </row>
    <row r="72" spans="2:3" x14ac:dyDescent="0.2">
      <c r="B72" s="63"/>
    </row>
    <row r="73" spans="2:3" x14ac:dyDescent="0.2">
      <c r="B73" s="63"/>
    </row>
    <row r="74" spans="2:3" x14ac:dyDescent="0.2">
      <c r="B74" s="207"/>
    </row>
    <row r="75" spans="2:3" x14ac:dyDescent="0.2">
      <c r="B75" s="63"/>
    </row>
    <row r="76" spans="2:3" x14ac:dyDescent="0.2">
      <c r="B76" s="63"/>
    </row>
  </sheetData>
  <sheetProtection algorithmName="SHA-512" hashValue="UrC/7hS/NzI3KwpSVw31CjTTy3CHqgBYbeDd5LWoD8jZssvhnFBb0tWEf6FyXqOdJlrwOXOOWQ6DSUGvFnhLwA==" saltValue="OqU3VDSPtKEwt3xl0mSnlA==" spinCount="100000" sheet="1" objects="1" scenarios="1"/>
  <mergeCells count="1">
    <mergeCell ref="B1:V1"/>
  </mergeCells>
  <pageMargins left="0.7" right="0.7" top="0.75" bottom="0.75" header="0.3" footer="0.3"/>
  <pageSetup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"/>
  <sheetViews>
    <sheetView topLeftCell="A27" workbookViewId="0">
      <selection activeCell="C32" sqref="C32"/>
    </sheetView>
  </sheetViews>
  <sheetFormatPr defaultRowHeight="12.75" x14ac:dyDescent="0.2"/>
  <cols>
    <col min="1" max="1" width="18.28515625" customWidth="1"/>
    <col min="2" max="2" width="15.7109375" customWidth="1"/>
    <col min="3" max="3" width="17.7109375" customWidth="1"/>
    <col min="5" max="5" width="18.7109375" customWidth="1"/>
    <col min="6" max="6" width="15.7109375" customWidth="1"/>
    <col min="7" max="7" width="17.7109375" customWidth="1"/>
    <col min="8" max="8" width="5" customWidth="1"/>
    <col min="9" max="9" width="18.7109375" customWidth="1"/>
    <col min="10" max="10" width="15.7109375" customWidth="1"/>
    <col min="11" max="11" width="17.7109375" customWidth="1"/>
    <col min="12" max="12" width="4.140625" customWidth="1"/>
    <col min="13" max="13" width="18.7109375" customWidth="1"/>
    <col min="14" max="14" width="15.7109375" customWidth="1"/>
    <col min="15" max="15" width="17.7109375" customWidth="1"/>
  </cols>
  <sheetData>
    <row r="1" spans="1:15" ht="34.5" x14ac:dyDescent="0.45">
      <c r="A1" s="728" t="s">
        <v>194</v>
      </c>
      <c r="B1" s="728"/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</row>
    <row r="2" spans="1:15" ht="47.25" customHeight="1" thickBot="1" x14ac:dyDescent="0.5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</row>
    <row r="3" spans="1:15" ht="18.75" customHeight="1" thickBot="1" x14ac:dyDescent="0.5">
      <c r="A3" s="102"/>
      <c r="B3" s="41"/>
      <c r="E3" s="156" t="s">
        <v>113</v>
      </c>
      <c r="G3" s="157" t="s">
        <v>114</v>
      </c>
      <c r="H3" s="151"/>
      <c r="I3" s="151"/>
      <c r="J3" s="151"/>
      <c r="K3" s="151"/>
      <c r="L3" s="151"/>
      <c r="M3" s="151"/>
      <c r="N3" s="151"/>
      <c r="O3" s="151"/>
    </row>
    <row r="4" spans="1:15" ht="21" customHeight="1" x14ac:dyDescent="0.45">
      <c r="A4" s="104" t="s">
        <v>140</v>
      </c>
      <c r="B4" s="41"/>
      <c r="E4" s="312">
        <f>G4/2</f>
        <v>215000</v>
      </c>
      <c r="G4" s="312">
        <f>C14+G14+K14+O14+C32+G32+K32+O32+C52</f>
        <v>430000</v>
      </c>
      <c r="H4" s="151"/>
      <c r="I4" s="151"/>
      <c r="J4" s="151"/>
      <c r="K4" s="151"/>
      <c r="L4" s="151"/>
      <c r="M4" s="151"/>
      <c r="N4" s="151"/>
      <c r="O4" s="151"/>
    </row>
    <row r="5" spans="1:15" ht="21" customHeight="1" x14ac:dyDescent="0.45">
      <c r="A5" s="104" t="s">
        <v>141</v>
      </c>
      <c r="B5" s="41"/>
      <c r="E5" s="313">
        <f>G5/2</f>
        <v>0</v>
      </c>
      <c r="G5" s="313">
        <f>B16+F16+J16+N16+B34+F34+J34+N34+B54</f>
        <v>0</v>
      </c>
      <c r="H5" s="151"/>
      <c r="I5" s="151"/>
      <c r="J5" s="151"/>
      <c r="K5" s="151"/>
      <c r="L5" s="151"/>
      <c r="M5" s="151"/>
      <c r="N5" s="151"/>
      <c r="O5" s="151"/>
    </row>
    <row r="6" spans="1:15" ht="21" customHeight="1" x14ac:dyDescent="0.45">
      <c r="A6" s="104" t="s">
        <v>146</v>
      </c>
      <c r="B6" s="41"/>
      <c r="E6" s="313">
        <f>G6/2</f>
        <v>0</v>
      </c>
      <c r="G6" s="313">
        <f>C17+G17+K17+O17+C35+G35+K35+O35+C55</f>
        <v>0</v>
      </c>
      <c r="H6" s="151"/>
      <c r="I6" s="151"/>
      <c r="J6" s="151"/>
      <c r="K6" s="151"/>
      <c r="L6" s="151"/>
      <c r="M6" s="151"/>
      <c r="N6" s="151"/>
      <c r="O6" s="151"/>
    </row>
    <row r="7" spans="1:15" ht="21" customHeight="1" x14ac:dyDescent="0.45">
      <c r="A7" s="104" t="s">
        <v>145</v>
      </c>
      <c r="B7" s="41"/>
      <c r="E7" s="313">
        <f>G7/2</f>
        <v>0</v>
      </c>
      <c r="G7" s="313">
        <f>B21+F21+J21+N21+B39+F39+J39+N39+B59</f>
        <v>0</v>
      </c>
      <c r="H7" s="151"/>
      <c r="I7" s="151"/>
      <c r="J7" s="151"/>
      <c r="K7" s="151"/>
      <c r="L7" s="151"/>
      <c r="M7" s="151"/>
      <c r="N7" s="151"/>
      <c r="O7" s="151"/>
    </row>
    <row r="8" spans="1:15" ht="21" thickBot="1" x14ac:dyDescent="0.35">
      <c r="A8" s="103" t="s">
        <v>84</v>
      </c>
      <c r="B8" s="41"/>
      <c r="E8" s="314">
        <f>E4-E5+E6-E7</f>
        <v>215000</v>
      </c>
      <c r="G8" s="314">
        <f>G4+G6-G7</f>
        <v>430000</v>
      </c>
    </row>
    <row r="9" spans="1:15" x14ac:dyDescent="0.2">
      <c r="A9" s="4"/>
      <c r="B9" s="2"/>
      <c r="C9" s="80"/>
      <c r="D9" s="2"/>
      <c r="E9" s="4"/>
      <c r="F9" s="2"/>
      <c r="G9" s="80"/>
      <c r="H9" s="1"/>
      <c r="I9" s="4"/>
      <c r="J9" s="2"/>
      <c r="K9" s="80"/>
      <c r="L9" s="2"/>
      <c r="M9" s="4"/>
      <c r="N9" s="2"/>
      <c r="O9" s="80"/>
    </row>
    <row r="10" spans="1:15" ht="15.75" x14ac:dyDescent="0.25">
      <c r="A10" s="667" t="s">
        <v>85</v>
      </c>
      <c r="B10" s="676"/>
      <c r="C10" s="677"/>
      <c r="E10" s="667" t="s">
        <v>85</v>
      </c>
      <c r="F10" s="676"/>
      <c r="G10" s="677"/>
      <c r="I10" s="667" t="s">
        <v>85</v>
      </c>
      <c r="J10" s="668"/>
      <c r="K10" s="669"/>
      <c r="M10" s="667" t="s">
        <v>85</v>
      </c>
      <c r="N10" s="668"/>
      <c r="O10" s="669"/>
    </row>
    <row r="11" spans="1:15" ht="15" x14ac:dyDescent="0.2">
      <c r="A11" s="74" t="str">
        <f>Wages!G88</f>
        <v>Name of Employee:</v>
      </c>
      <c r="B11" s="670" t="str">
        <f>Wages!H88</f>
        <v>Martin Kandalama</v>
      </c>
      <c r="C11" s="675"/>
      <c r="E11" s="74" t="str">
        <f>Wages!K88</f>
        <v>Name of Employee:</v>
      </c>
      <c r="F11" s="670" t="str">
        <f>Wages!L88</f>
        <v>Daniel Mponda</v>
      </c>
      <c r="G11" s="675"/>
      <c r="I11" s="74" t="str">
        <f>Wages!O88</f>
        <v>Name of Employee:</v>
      </c>
      <c r="J11" s="670" t="str">
        <f>Wages!P88</f>
        <v>Elizabeth Kabudula</v>
      </c>
      <c r="K11" s="671"/>
      <c r="M11" s="74" t="str">
        <f>Wages!C106</f>
        <v>Name of Employee:</v>
      </c>
      <c r="N11" s="670" t="str">
        <f>Wages!D106</f>
        <v xml:space="preserve">vacant  </v>
      </c>
      <c r="O11" s="671"/>
    </row>
    <row r="12" spans="1:15" x14ac:dyDescent="0.2">
      <c r="A12" s="665" t="str">
        <f>Wages!G89</f>
        <v>Employee Number:</v>
      </c>
      <c r="B12" s="681"/>
      <c r="C12" s="75" t="str">
        <f>Wages!I89</f>
        <v>CITI19</v>
      </c>
      <c r="E12" s="665" t="str">
        <f>Wages!K89</f>
        <v>Employee Number:</v>
      </c>
      <c r="F12" s="681"/>
      <c r="G12" s="75" t="str">
        <f>Wages!M89</f>
        <v>CITI20</v>
      </c>
      <c r="I12" s="665" t="str">
        <f>Wages!O89</f>
        <v>Employee Number:</v>
      </c>
      <c r="J12" s="666"/>
      <c r="K12" s="75" t="str">
        <f>Wages!Q89</f>
        <v>CITI21</v>
      </c>
      <c r="M12" s="665" t="str">
        <f>Wages!C107</f>
        <v>Employee Number:</v>
      </c>
      <c r="N12" s="666"/>
      <c r="O12" s="75" t="str">
        <f>Wages!E107</f>
        <v>CITI22</v>
      </c>
    </row>
    <row r="13" spans="1:15" ht="13.5" thickBot="1" x14ac:dyDescent="0.25">
      <c r="A13" s="665" t="s">
        <v>22</v>
      </c>
      <c r="B13" s="681"/>
      <c r="C13" s="75" t="str">
        <f>Wages!E18</f>
        <v>January 2026</v>
      </c>
      <c r="E13" s="665" t="s">
        <v>22</v>
      </c>
      <c r="F13" s="681"/>
      <c r="G13" s="75" t="str">
        <f>$C$13</f>
        <v>January 2026</v>
      </c>
      <c r="I13" s="665" t="s">
        <v>22</v>
      </c>
      <c r="J13" s="666"/>
      <c r="K13" s="75" t="str">
        <f>$C$13</f>
        <v>January 2026</v>
      </c>
      <c r="L13" s="3"/>
      <c r="M13" s="665" t="s">
        <v>22</v>
      </c>
      <c r="N13" s="666"/>
      <c r="O13" s="75" t="str">
        <f>$C$13</f>
        <v>January 2026</v>
      </c>
    </row>
    <row r="14" spans="1:15" ht="13.5" thickBot="1" x14ac:dyDescent="0.25">
      <c r="A14" s="161" t="s">
        <v>61</v>
      </c>
      <c r="B14" s="162"/>
      <c r="C14" s="169">
        <f>Wages!I91</f>
        <v>70000</v>
      </c>
      <c r="D14" s="171"/>
      <c r="E14" s="161" t="s">
        <v>61</v>
      </c>
      <c r="F14" s="162"/>
      <c r="G14" s="169">
        <f>Wages!M91</f>
        <v>70000</v>
      </c>
      <c r="H14" s="171"/>
      <c r="I14" s="161" t="s">
        <v>61</v>
      </c>
      <c r="J14" s="162"/>
      <c r="K14" s="169">
        <f>Wages!Q91</f>
        <v>20000</v>
      </c>
      <c r="L14" s="171"/>
      <c r="M14" s="161" t="s">
        <v>61</v>
      </c>
      <c r="N14" s="162"/>
      <c r="O14" s="169">
        <f>Wages!E109</f>
        <v>0</v>
      </c>
    </row>
    <row r="15" spans="1:15" x14ac:dyDescent="0.2">
      <c r="A15" s="54" t="str">
        <f>Wages!G92</f>
        <v>Overtime Claim</v>
      </c>
      <c r="B15" s="3"/>
      <c r="C15" s="77">
        <f>Wages!I92</f>
        <v>0</v>
      </c>
      <c r="E15" s="54" t="str">
        <f>Wages!K92</f>
        <v>Overtime Claim</v>
      </c>
      <c r="F15" s="3"/>
      <c r="G15" s="77">
        <f>Wages!M92</f>
        <v>0</v>
      </c>
      <c r="I15" s="54" t="str">
        <f>Wages!O92</f>
        <v>Overtime Claim</v>
      </c>
      <c r="J15" s="3"/>
      <c r="K15" s="77">
        <f>Wages!Q92</f>
        <v>0</v>
      </c>
      <c r="M15" s="54" t="str">
        <f>Wages!C110</f>
        <v>Overtime Claim</v>
      </c>
      <c r="N15" s="3"/>
      <c r="O15" s="77">
        <f>Wages!E110</f>
        <v>0</v>
      </c>
    </row>
    <row r="16" spans="1:15" x14ac:dyDescent="0.2">
      <c r="A16" s="54" t="str">
        <f>Wages!G93</f>
        <v>P.A.Y.E</v>
      </c>
      <c r="B16" s="3">
        <f>Wages!H93</f>
        <v>0</v>
      </c>
      <c r="C16" s="77"/>
      <c r="D16" s="3"/>
      <c r="E16" s="54" t="str">
        <f>Wages!K93</f>
        <v>P.A.Y.E</v>
      </c>
      <c r="F16" s="3">
        <f>Wages!L93</f>
        <v>0</v>
      </c>
      <c r="G16" s="77"/>
      <c r="I16" s="54" t="str">
        <f>Wages!O93</f>
        <v>P.A.Y.E</v>
      </c>
      <c r="J16" s="3">
        <f>Wages!P93</f>
        <v>0</v>
      </c>
      <c r="K16" s="77"/>
      <c r="L16" s="3"/>
      <c r="M16" s="54" t="str">
        <f>Wages!C111</f>
        <v>P.A.Y.E</v>
      </c>
      <c r="N16" s="3">
        <f>Wages!D111</f>
        <v>0</v>
      </c>
      <c r="O16" s="77"/>
    </row>
    <row r="17" spans="1:15" x14ac:dyDescent="0.2">
      <c r="A17" s="54" t="str">
        <f>Wages!G94</f>
        <v>Xmas Gift/Leave Pay</v>
      </c>
      <c r="C17" s="111">
        <f>Wages!I94</f>
        <v>0</v>
      </c>
      <c r="E17" s="54" t="str">
        <f>Wages!K94</f>
        <v>Xmas Gift/Leave Pay</v>
      </c>
      <c r="G17" s="111">
        <f>Wages!M94</f>
        <v>0</v>
      </c>
      <c r="I17" s="54" t="str">
        <f>Wages!O94</f>
        <v>Xmas Gift/Leave Pay</v>
      </c>
      <c r="K17" s="111">
        <f>Wages!Q94</f>
        <v>0</v>
      </c>
      <c r="M17" s="54" t="str">
        <f>Wages!C112</f>
        <v>Xmas Gift/Leave Pay</v>
      </c>
      <c r="O17" s="111">
        <f>Wages!E112</f>
        <v>0</v>
      </c>
    </row>
    <row r="18" spans="1:15" x14ac:dyDescent="0.2">
      <c r="A18" s="54" t="str">
        <f>Wages!G95</f>
        <v>Medical Aid Scheme</v>
      </c>
      <c r="C18" s="111"/>
      <c r="D18" s="3"/>
      <c r="E18" s="54" t="str">
        <f>Wages!K95</f>
        <v>Medical Aid Scheme</v>
      </c>
      <c r="G18" s="111"/>
      <c r="I18" s="54" t="str">
        <f>Wages!O95</f>
        <v>Medical Aid Scheme</v>
      </c>
      <c r="K18" s="111"/>
      <c r="L18" s="3"/>
      <c r="M18" s="54" t="str">
        <f>Wages!C113</f>
        <v>Medical Aid Scheme</v>
      </c>
      <c r="O18" s="111"/>
    </row>
    <row r="19" spans="1:15" x14ac:dyDescent="0.2">
      <c r="A19" s="54" t="str">
        <f>Wages!G96</f>
        <v>Loan Instalment</v>
      </c>
      <c r="B19" s="55">
        <f>Wages!H96</f>
        <v>0</v>
      </c>
      <c r="C19" s="76"/>
      <c r="E19" s="54" t="str">
        <f>Wages!K96</f>
        <v>Loan Instalment</v>
      </c>
      <c r="F19" s="55">
        <f>Wages!L96</f>
        <v>0</v>
      </c>
      <c r="G19" s="76"/>
      <c r="I19" s="54" t="str">
        <f>Wages!O96</f>
        <v>Loan Instalment</v>
      </c>
      <c r="J19" s="55">
        <f>Wages!P96</f>
        <v>0</v>
      </c>
      <c r="K19" s="76"/>
      <c r="M19" s="54" t="str">
        <f>Wages!C114</f>
        <v>Loan Instalment</v>
      </c>
      <c r="N19" s="55">
        <f>Wages!D114</f>
        <v>0</v>
      </c>
      <c r="O19" s="76"/>
    </row>
    <row r="20" spans="1:15" x14ac:dyDescent="0.2">
      <c r="A20" s="54" t="str">
        <f>Wages!G97</f>
        <v>Absence Deduction</v>
      </c>
      <c r="B20" s="56">
        <f>Wages!H97</f>
        <v>0</v>
      </c>
      <c r="C20" s="76"/>
      <c r="E20" s="54" t="str">
        <f>Wages!K97</f>
        <v>Absence Deduction</v>
      </c>
      <c r="F20" s="56">
        <f>Wages!L97</f>
        <v>0</v>
      </c>
      <c r="G20" s="76"/>
      <c r="I20" s="54" t="str">
        <f>Wages!O97</f>
        <v>Absence Deduction</v>
      </c>
      <c r="J20" s="56">
        <f>Wages!P97</f>
        <v>0</v>
      </c>
      <c r="K20" s="76"/>
      <c r="M20" s="54" t="str">
        <f>Wages!C115</f>
        <v>Absence Deduction</v>
      </c>
      <c r="N20" s="56">
        <f>Wages!D115</f>
        <v>0</v>
      </c>
      <c r="O20" s="76"/>
    </row>
    <row r="21" spans="1:15" x14ac:dyDescent="0.2">
      <c r="A21" s="74" t="str">
        <f>Wages!G98</f>
        <v>Total Deductions</v>
      </c>
      <c r="B21" s="66">
        <f>Wages!H98</f>
        <v>0</v>
      </c>
      <c r="C21" s="78"/>
      <c r="D21" s="64"/>
      <c r="E21" s="74" t="str">
        <f>Wages!K98</f>
        <v>Total Deductions</v>
      </c>
      <c r="F21" s="66">
        <f>Wages!L98</f>
        <v>0</v>
      </c>
      <c r="G21" s="78"/>
      <c r="H21" s="64"/>
      <c r="I21" s="74" t="str">
        <f>Wages!O98</f>
        <v>Total Deductions</v>
      </c>
      <c r="J21" s="66">
        <f>Wages!P98</f>
        <v>0</v>
      </c>
      <c r="K21" s="78"/>
      <c r="L21" s="65"/>
      <c r="M21" s="74" t="str">
        <f>Wages!C116</f>
        <v>Total Deductions</v>
      </c>
      <c r="N21" s="66">
        <f>Wages!D116</f>
        <v>0</v>
      </c>
      <c r="O21" s="78"/>
    </row>
    <row r="22" spans="1:15" x14ac:dyDescent="0.2">
      <c r="A22" s="54" t="str">
        <f>Wages!G99</f>
        <v>Loan Balance</v>
      </c>
      <c r="B22" s="57">
        <f>Wages!H99</f>
        <v>0</v>
      </c>
      <c r="C22" s="76"/>
      <c r="E22" s="54" t="str">
        <f>Wages!K99</f>
        <v>Loan Balance</v>
      </c>
      <c r="F22" s="57">
        <f>Wages!L99</f>
        <v>0</v>
      </c>
      <c r="G22" s="76"/>
      <c r="I22" s="54" t="str">
        <f>Wages!O99</f>
        <v>Loan Balance</v>
      </c>
      <c r="J22" s="57">
        <f>Wages!P99</f>
        <v>0</v>
      </c>
      <c r="K22" s="76"/>
      <c r="M22" s="54" t="str">
        <f>Wages!C117</f>
        <v>Loan Balance</v>
      </c>
      <c r="N22" s="57">
        <f>Wages!D117</f>
        <v>0</v>
      </c>
      <c r="O22" s="76"/>
    </row>
    <row r="23" spans="1:15" x14ac:dyDescent="0.2">
      <c r="A23" s="54"/>
      <c r="B23" s="3"/>
      <c r="C23" s="76"/>
      <c r="E23" s="54"/>
      <c r="F23" s="3"/>
      <c r="G23" s="76"/>
      <c r="I23" s="54"/>
      <c r="J23" s="3"/>
      <c r="K23" s="76"/>
      <c r="M23" s="54"/>
      <c r="N23" s="3"/>
      <c r="O23" s="76"/>
    </row>
    <row r="24" spans="1:15" x14ac:dyDescent="0.2">
      <c r="A24" s="133" t="str">
        <f>Wages!G101</f>
        <v>Net Pay for the Month</v>
      </c>
      <c r="B24" s="134"/>
      <c r="C24" s="135">
        <f>SUM(C14+C15+C17-B21)</f>
        <v>70000</v>
      </c>
      <c r="D24" s="134"/>
      <c r="E24" s="133" t="str">
        <f>Wages!K101</f>
        <v>Net Pay for the Month</v>
      </c>
      <c r="F24" s="134"/>
      <c r="G24" s="135">
        <f>SUM(G14+G15+G17-F21)</f>
        <v>70000</v>
      </c>
      <c r="H24" s="138"/>
      <c r="I24" s="133" t="str">
        <f>Wages!O101</f>
        <v>Net Pay for the Month</v>
      </c>
      <c r="J24" s="134"/>
      <c r="K24" s="135">
        <f>SUM(K14+K15+K17-J21)</f>
        <v>20000</v>
      </c>
      <c r="L24" s="134"/>
      <c r="M24" s="133" t="str">
        <f>Wages!C119</f>
        <v>Net Pay for the Month</v>
      </c>
      <c r="N24" s="134"/>
      <c r="O24" s="135">
        <f>SUM(O14+O15+O17-N21)</f>
        <v>0</v>
      </c>
    </row>
    <row r="25" spans="1:15" x14ac:dyDescent="0.2">
      <c r="A25" s="140" t="str">
        <f>Wages!G102</f>
        <v>Net Pay mid and end of Month</v>
      </c>
      <c r="B25" s="141"/>
      <c r="C25" s="142">
        <f>C24/2</f>
        <v>35000</v>
      </c>
      <c r="D25" s="139"/>
      <c r="E25" s="140" t="str">
        <f>Wages!K102</f>
        <v>Net Pay mid and end of Month</v>
      </c>
      <c r="F25" s="141"/>
      <c r="G25" s="142">
        <f>G24/2</f>
        <v>35000</v>
      </c>
      <c r="H25" s="139"/>
      <c r="I25" s="140" t="str">
        <f>Wages!O102</f>
        <v>Net Pay mid and end of Month</v>
      </c>
      <c r="J25" s="141"/>
      <c r="K25" s="142">
        <f>K24/2</f>
        <v>10000</v>
      </c>
      <c r="L25" s="139"/>
      <c r="M25" s="140" t="str">
        <f>Wages!C120</f>
        <v>Net Pay mid and end of Month</v>
      </c>
      <c r="N25" s="141"/>
      <c r="O25" s="142">
        <f>O24/2</f>
        <v>0</v>
      </c>
    </row>
    <row r="26" spans="1:15" x14ac:dyDescent="0.2">
      <c r="A26" s="128"/>
      <c r="B26" s="86"/>
      <c r="C26" s="129"/>
      <c r="D26" s="86"/>
      <c r="E26" s="128"/>
      <c r="F26" s="86"/>
      <c r="G26" s="129"/>
      <c r="H26" s="86"/>
      <c r="I26" s="128"/>
      <c r="J26" s="86"/>
      <c r="K26" s="129"/>
      <c r="L26" s="86"/>
      <c r="M26" s="128"/>
      <c r="N26" s="86"/>
      <c r="O26" s="129"/>
    </row>
    <row r="27" spans="1:15" x14ac:dyDescent="0.2">
      <c r="A27" s="4"/>
      <c r="B27" s="2"/>
      <c r="C27" s="80"/>
      <c r="D27" s="2"/>
      <c r="E27" s="4"/>
      <c r="F27" s="2"/>
      <c r="G27" s="80"/>
      <c r="H27" s="1"/>
      <c r="I27" s="4"/>
      <c r="J27" s="2"/>
      <c r="K27" s="80"/>
      <c r="L27" s="2"/>
      <c r="M27" s="4"/>
      <c r="N27" s="2"/>
      <c r="O27" s="80"/>
    </row>
    <row r="28" spans="1:15" ht="15.75" x14ac:dyDescent="0.25">
      <c r="A28" s="667" t="s">
        <v>85</v>
      </c>
      <c r="B28" s="668"/>
      <c r="C28" s="669"/>
      <c r="E28" s="667" t="s">
        <v>85</v>
      </c>
      <c r="F28" s="668"/>
      <c r="G28" s="669"/>
      <c r="I28" s="667" t="s">
        <v>85</v>
      </c>
      <c r="J28" s="668"/>
      <c r="K28" s="669"/>
      <c r="M28" s="667" t="s">
        <v>85</v>
      </c>
      <c r="N28" s="668"/>
      <c r="O28" s="669"/>
    </row>
    <row r="29" spans="1:15" ht="15" x14ac:dyDescent="0.2">
      <c r="A29" s="74" t="str">
        <f>Wages!G106</f>
        <v>Name of Employee:</v>
      </c>
      <c r="B29" s="670" t="str">
        <f>Wages!H106</f>
        <v>William Mahinya</v>
      </c>
      <c r="C29" s="671"/>
      <c r="E29" s="74" t="str">
        <f>Wages!K106</f>
        <v>Name of Employee:</v>
      </c>
      <c r="F29" s="670" t="str">
        <f>Wages!L106</f>
        <v xml:space="preserve">vacant  </v>
      </c>
      <c r="G29" s="671"/>
      <c r="I29" s="74" t="str">
        <f>Wages!O106</f>
        <v>Name of Employee:</v>
      </c>
      <c r="J29" s="670" t="str">
        <f>Wages!P106</f>
        <v xml:space="preserve">  </v>
      </c>
      <c r="K29" s="671"/>
      <c r="M29" s="74" t="str">
        <f>Wages!C123</f>
        <v>Name of Employee:</v>
      </c>
      <c r="N29" s="670" t="str">
        <f>Wages!D123</f>
        <v xml:space="preserve">vacant  </v>
      </c>
      <c r="O29" s="671"/>
    </row>
    <row r="30" spans="1:15" x14ac:dyDescent="0.2">
      <c r="A30" s="665" t="str">
        <f>Wages!G107</f>
        <v>Employee Number:</v>
      </c>
      <c r="B30" s="666"/>
      <c r="C30" s="75" t="str">
        <f>Wages!I107</f>
        <v>CITI23</v>
      </c>
      <c r="E30" s="665" t="str">
        <f>Wages!K107</f>
        <v>Employee Number:</v>
      </c>
      <c r="F30" s="666"/>
      <c r="G30" s="75" t="str">
        <f>Wages!M107</f>
        <v>CITI24</v>
      </c>
      <c r="I30" s="665" t="str">
        <f>Wages!O107</f>
        <v>Employee Number:</v>
      </c>
      <c r="J30" s="666"/>
      <c r="K30" s="75" t="str">
        <f>Wages!Q107</f>
        <v>CITI25</v>
      </c>
      <c r="M30" s="726" t="str">
        <f>Wages!C124</f>
        <v>Employee Number:</v>
      </c>
      <c r="N30" s="727"/>
      <c r="O30" s="75" t="str">
        <f>Wages!E124</f>
        <v>CITI26</v>
      </c>
    </row>
    <row r="31" spans="1:15" ht="13.5" thickBot="1" x14ac:dyDescent="0.25">
      <c r="A31" s="665" t="s">
        <v>22</v>
      </c>
      <c r="B31" s="666"/>
      <c r="C31" s="75" t="str">
        <f>$C$13</f>
        <v>January 2026</v>
      </c>
      <c r="E31" s="665" t="s">
        <v>22</v>
      </c>
      <c r="F31" s="666"/>
      <c r="G31" s="75" t="str">
        <f>$C$13</f>
        <v>January 2026</v>
      </c>
      <c r="I31" s="665" t="s">
        <v>22</v>
      </c>
      <c r="J31" s="666"/>
      <c r="K31" s="75" t="str">
        <f>$C$13</f>
        <v>January 2026</v>
      </c>
      <c r="L31" s="3"/>
      <c r="M31" s="665" t="s">
        <v>22</v>
      </c>
      <c r="N31" s="666"/>
      <c r="O31" s="75" t="str">
        <f>$C$13</f>
        <v>January 2026</v>
      </c>
    </row>
    <row r="32" spans="1:15" ht="13.5" thickBot="1" x14ac:dyDescent="0.25">
      <c r="A32" s="161" t="s">
        <v>61</v>
      </c>
      <c r="B32" s="162"/>
      <c r="C32" s="169">
        <f>Wages!I109</f>
        <v>150000</v>
      </c>
      <c r="D32" s="171"/>
      <c r="E32" s="161" t="s">
        <v>61</v>
      </c>
      <c r="F32" s="162"/>
      <c r="G32" s="169">
        <f>Wages!M109</f>
        <v>0</v>
      </c>
      <c r="H32" s="171"/>
      <c r="I32" s="161" t="s">
        <v>61</v>
      </c>
      <c r="J32" s="162"/>
      <c r="K32" s="169">
        <f>Wages!Q109</f>
        <v>0</v>
      </c>
      <c r="L32" s="171"/>
      <c r="M32" s="161" t="s">
        <v>61</v>
      </c>
      <c r="N32" s="162"/>
      <c r="O32" s="169">
        <f>Wages!E126</f>
        <v>0</v>
      </c>
    </row>
    <row r="33" spans="1:15" x14ac:dyDescent="0.2">
      <c r="A33" s="54" t="str">
        <f>Wages!G110</f>
        <v>Overtime Claim</v>
      </c>
      <c r="B33" s="3"/>
      <c r="C33" s="77">
        <f>Wages!I110</f>
        <v>0</v>
      </c>
      <c r="E33" s="54" t="str">
        <f>Wages!K110</f>
        <v>Overtime Claim</v>
      </c>
      <c r="F33" s="3"/>
      <c r="G33" s="77">
        <v>0</v>
      </c>
      <c r="I33" s="54" t="str">
        <f>Wages!O110</f>
        <v>Overtime Claim</v>
      </c>
      <c r="J33" s="3"/>
      <c r="K33" s="77">
        <f>Wages!Q110</f>
        <v>0</v>
      </c>
      <c r="M33" s="54" t="str">
        <f>Wages!C127</f>
        <v>Overtime Claim</v>
      </c>
      <c r="N33" s="3"/>
      <c r="O33" s="77">
        <f>Wages!E127</f>
        <v>0</v>
      </c>
    </row>
    <row r="34" spans="1:15" x14ac:dyDescent="0.2">
      <c r="A34" s="54" t="str">
        <f>Wages!G111</f>
        <v>P.A.Y.E</v>
      </c>
      <c r="B34" s="3">
        <f>Wages!H111</f>
        <v>0</v>
      </c>
      <c r="C34" s="77"/>
      <c r="D34" s="3"/>
      <c r="E34" s="54" t="str">
        <f>Wages!K111</f>
        <v>P.A.Y.E</v>
      </c>
      <c r="F34" s="3">
        <f>Wages!L111</f>
        <v>0</v>
      </c>
      <c r="G34" s="77"/>
      <c r="I34" s="54" t="str">
        <f>Wages!O111</f>
        <v>P.A.Y.E</v>
      </c>
      <c r="J34" s="3">
        <f>Wages!P111</f>
        <v>0</v>
      </c>
      <c r="K34" s="77"/>
      <c r="L34" s="3"/>
      <c r="M34" s="54" t="str">
        <f>Wages!C128</f>
        <v>P.A.Y.E</v>
      </c>
      <c r="N34" s="3">
        <f>Wages!D128</f>
        <v>0</v>
      </c>
      <c r="O34" s="77"/>
    </row>
    <row r="35" spans="1:15" x14ac:dyDescent="0.2">
      <c r="A35" s="54" t="str">
        <f>Wages!G112</f>
        <v>Xmas Gift/Leave Pay</v>
      </c>
      <c r="C35" s="111">
        <f>Wages!I112</f>
        <v>0</v>
      </c>
      <c r="E35" s="54" t="str">
        <f>Wages!K112</f>
        <v>Xmas Gift/Leave Pay</v>
      </c>
      <c r="G35" s="111">
        <f>Wages!M112</f>
        <v>0</v>
      </c>
      <c r="I35" s="54" t="str">
        <f>Wages!O112</f>
        <v>Xmas Gift/Leave Pay</v>
      </c>
      <c r="K35" s="111">
        <f>Wages!Q112</f>
        <v>0</v>
      </c>
      <c r="M35" s="54" t="str">
        <f>Wages!C129</f>
        <v>Xmas Gift/Leave Pay</v>
      </c>
      <c r="O35" s="111">
        <f>Wages!E129</f>
        <v>0</v>
      </c>
    </row>
    <row r="36" spans="1:15" x14ac:dyDescent="0.2">
      <c r="A36" s="54" t="str">
        <f>Wages!G113</f>
        <v>Medical Aid Scheme</v>
      </c>
      <c r="C36" s="111"/>
      <c r="D36" s="3"/>
      <c r="E36" s="54" t="str">
        <f>Wages!K113</f>
        <v>Medical Aid Scheme</v>
      </c>
      <c r="G36" s="111"/>
      <c r="I36" s="54" t="str">
        <f>Wages!O113</f>
        <v>Medical Aid Scheme</v>
      </c>
      <c r="K36" s="111"/>
      <c r="L36" s="3"/>
      <c r="M36" s="54" t="str">
        <f>Wages!C130</f>
        <v>Medical Aid Scheme</v>
      </c>
      <c r="O36" s="111"/>
    </row>
    <row r="37" spans="1:15" x14ac:dyDescent="0.2">
      <c r="A37" s="54" t="str">
        <f>Wages!G114</f>
        <v>Loan Instalment</v>
      </c>
      <c r="B37" s="55">
        <f>Wages!H114</f>
        <v>0</v>
      </c>
      <c r="C37" s="76"/>
      <c r="E37" s="54" t="str">
        <f>Wages!K114</f>
        <v>Loan Instalment</v>
      </c>
      <c r="F37" s="55">
        <f>Wages!L114</f>
        <v>0</v>
      </c>
      <c r="G37" s="76"/>
      <c r="I37" s="54" t="str">
        <f>Wages!O114</f>
        <v>Loan Instalment</v>
      </c>
      <c r="J37" s="55">
        <f>Wages!P114</f>
        <v>0</v>
      </c>
      <c r="K37" s="76"/>
      <c r="M37" s="54" t="str">
        <f>Wages!C131</f>
        <v>Loan Instalment</v>
      </c>
      <c r="N37" s="55">
        <f>Wages!D131</f>
        <v>0</v>
      </c>
      <c r="O37" s="76"/>
    </row>
    <row r="38" spans="1:15" x14ac:dyDescent="0.2">
      <c r="A38" s="54" t="str">
        <f>Wages!G115</f>
        <v>Absence Deduction</v>
      </c>
      <c r="B38" s="56">
        <f>Wages!H115</f>
        <v>0</v>
      </c>
      <c r="C38" s="76"/>
      <c r="E38" s="54" t="str">
        <f>Wages!K115</f>
        <v>Absence Deduction</v>
      </c>
      <c r="F38" s="56">
        <f>Wages!L115</f>
        <v>0</v>
      </c>
      <c r="G38" s="76"/>
      <c r="I38" s="54" t="str">
        <f>Wages!O115</f>
        <v>Absence Deduction</v>
      </c>
      <c r="J38" s="56">
        <f>Wages!P115</f>
        <v>0</v>
      </c>
      <c r="K38" s="76"/>
      <c r="M38" s="54" t="str">
        <f>Wages!C132</f>
        <v>Absence Deduction</v>
      </c>
      <c r="N38" s="56">
        <f>Wages!D132</f>
        <v>0</v>
      </c>
      <c r="O38" s="76"/>
    </row>
    <row r="39" spans="1:15" x14ac:dyDescent="0.2">
      <c r="A39" s="74" t="str">
        <f>Wages!G116</f>
        <v>Total Deductions</v>
      </c>
      <c r="B39" s="66">
        <f>Wages!H116</f>
        <v>0</v>
      </c>
      <c r="C39" s="78"/>
      <c r="D39" s="64"/>
      <c r="E39" s="74" t="str">
        <f>Wages!K116</f>
        <v>Total Deductions</v>
      </c>
      <c r="F39" s="66">
        <f>Wages!L116</f>
        <v>0</v>
      </c>
      <c r="G39" s="78"/>
      <c r="H39" s="64"/>
      <c r="I39" s="74" t="str">
        <f>Wages!O116</f>
        <v>Total Deductions</v>
      </c>
      <c r="J39" s="66">
        <f>Wages!P116</f>
        <v>0</v>
      </c>
      <c r="K39" s="78"/>
      <c r="L39" s="65"/>
      <c r="M39" s="74" t="str">
        <f>Wages!C133</f>
        <v>Total Deductions</v>
      </c>
      <c r="N39" s="66">
        <f>Wages!D133</f>
        <v>0</v>
      </c>
      <c r="O39" s="78"/>
    </row>
    <row r="40" spans="1:15" x14ac:dyDescent="0.2">
      <c r="A40" s="54" t="str">
        <f>Wages!G117</f>
        <v>Loan Balance</v>
      </c>
      <c r="B40" s="57">
        <f>Wages!H117</f>
        <v>0</v>
      </c>
      <c r="C40" s="76"/>
      <c r="E40" s="54" t="str">
        <f>Wages!K117</f>
        <v>Loan Balance</v>
      </c>
      <c r="F40" s="57">
        <f>Wages!L117</f>
        <v>0</v>
      </c>
      <c r="G40" s="76"/>
      <c r="I40" s="54" t="str">
        <f>Wages!O117</f>
        <v>Loan Balance</v>
      </c>
      <c r="J40" s="57">
        <f>Wages!P117</f>
        <v>0</v>
      </c>
      <c r="K40" s="76"/>
      <c r="M40" s="54" t="str">
        <f>Wages!C134</f>
        <v>Loan Balance</v>
      </c>
      <c r="N40" s="57">
        <f>Wages!D134</f>
        <v>0</v>
      </c>
      <c r="O40" s="76"/>
    </row>
    <row r="41" spans="1:15" x14ac:dyDescent="0.2">
      <c r="A41" s="54"/>
      <c r="B41" s="3"/>
      <c r="C41" s="76"/>
      <c r="E41" s="54"/>
      <c r="F41" s="3"/>
      <c r="G41" s="76"/>
      <c r="I41" s="54"/>
      <c r="J41" s="3"/>
      <c r="K41" s="76"/>
      <c r="M41" s="54"/>
      <c r="N41" s="3"/>
      <c r="O41" s="76"/>
    </row>
    <row r="42" spans="1:15" x14ac:dyDescent="0.2">
      <c r="A42" s="133" t="str">
        <f>Wages!G119</f>
        <v>Net Pay for the Month</v>
      </c>
      <c r="B42" s="134"/>
      <c r="C42" s="135">
        <f>SUM(C32+C33+C35-B39)</f>
        <v>150000</v>
      </c>
      <c r="D42" s="134"/>
      <c r="E42" s="133" t="str">
        <f>Wages!K119</f>
        <v>Net Pay for the Month</v>
      </c>
      <c r="F42" s="134"/>
      <c r="G42" s="135">
        <f>SUM(G32+G33+G35-F39)</f>
        <v>0</v>
      </c>
      <c r="H42" s="138"/>
      <c r="I42" s="133" t="str">
        <f>Wages!O119</f>
        <v>Net Pay for the Month</v>
      </c>
      <c r="J42" s="134"/>
      <c r="K42" s="135">
        <f>SUM(K32+K33+K35-J39)</f>
        <v>0</v>
      </c>
      <c r="L42" s="134"/>
      <c r="M42" s="133" t="str">
        <f>Wages!C136</f>
        <v>Net Pay for the Month</v>
      </c>
      <c r="N42" s="134"/>
      <c r="O42" s="135">
        <f>SUM(O32+O33+O35-N39)</f>
        <v>0</v>
      </c>
    </row>
    <row r="43" spans="1:15" x14ac:dyDescent="0.2">
      <c r="A43" s="140" t="str">
        <f>Wages!G120</f>
        <v>Net Pay mid and end of Month</v>
      </c>
      <c r="B43" s="141"/>
      <c r="C43" s="142">
        <f>C42/2</f>
        <v>75000</v>
      </c>
      <c r="D43" s="139"/>
      <c r="E43" s="140" t="str">
        <f>Wages!K120</f>
        <v>Net Pay mid and end of Month</v>
      </c>
      <c r="F43" s="141"/>
      <c r="G43" s="142">
        <f>G42/2</f>
        <v>0</v>
      </c>
      <c r="H43" s="139"/>
      <c r="I43" s="140" t="str">
        <f>Wages!O120</f>
        <v>Net Pay mid and end of Month</v>
      </c>
      <c r="J43" s="141"/>
      <c r="K43" s="142">
        <f>K42/2</f>
        <v>0</v>
      </c>
      <c r="L43" s="139"/>
      <c r="M43" s="140" t="str">
        <f>Wages!C137</f>
        <v>Net Pay mid and end of Month</v>
      </c>
      <c r="N43" s="141"/>
      <c r="O43" s="142">
        <f>O42/2</f>
        <v>0</v>
      </c>
    </row>
    <row r="44" spans="1:15" x14ac:dyDescent="0.2">
      <c r="A44" s="330"/>
      <c r="B44" s="139"/>
      <c r="C44" s="331"/>
      <c r="D44" s="332"/>
      <c r="E44" s="333"/>
      <c r="F44" s="332"/>
      <c r="G44" s="331"/>
      <c r="H44" s="332"/>
      <c r="I44" s="333"/>
      <c r="J44" s="332"/>
      <c r="K44" s="331"/>
      <c r="L44" s="332"/>
      <c r="M44" s="333"/>
      <c r="N44" s="332"/>
      <c r="O44" s="331"/>
    </row>
    <row r="45" spans="1:15" x14ac:dyDescent="0.2">
      <c r="A45" s="330"/>
      <c r="B45" s="139"/>
      <c r="C45" s="331"/>
      <c r="D45" s="332"/>
      <c r="E45" s="333"/>
      <c r="F45" s="332"/>
      <c r="G45" s="331"/>
      <c r="H45" s="332"/>
      <c r="I45" s="333"/>
      <c r="J45" s="332"/>
      <c r="K45" s="331"/>
      <c r="L45" s="332"/>
      <c r="M45" s="333"/>
      <c r="N45" s="332"/>
      <c r="O45" s="331"/>
    </row>
    <row r="46" spans="1:15" x14ac:dyDescent="0.2">
      <c r="A46" s="128"/>
      <c r="B46" s="86"/>
      <c r="C46" s="129"/>
      <c r="D46" s="86"/>
      <c r="E46" s="128"/>
      <c r="F46" s="86"/>
      <c r="G46" s="129"/>
      <c r="H46" s="86"/>
      <c r="I46" s="128"/>
      <c r="J46" s="86"/>
      <c r="K46" s="129"/>
      <c r="L46" s="86"/>
      <c r="M46" s="128"/>
      <c r="N46" s="86"/>
      <c r="O46" s="129"/>
    </row>
    <row r="47" spans="1:15" x14ac:dyDescent="0.2">
      <c r="A47" s="128"/>
      <c r="B47" s="86"/>
      <c r="C47" s="129"/>
      <c r="D47" s="86"/>
      <c r="E47" s="128"/>
      <c r="F47" s="86"/>
      <c r="G47" s="129"/>
      <c r="H47" s="86"/>
      <c r="I47" s="128"/>
      <c r="J47" s="86"/>
      <c r="K47" s="129"/>
      <c r="L47" s="86"/>
      <c r="M47" s="128"/>
      <c r="N47" s="86"/>
      <c r="O47" s="129"/>
    </row>
    <row r="48" spans="1:15" ht="15.75" x14ac:dyDescent="0.25">
      <c r="A48" s="667" t="s">
        <v>85</v>
      </c>
      <c r="B48" s="668"/>
      <c r="C48" s="669"/>
      <c r="D48" s="86"/>
      <c r="E48" s="128"/>
      <c r="F48" s="86"/>
      <c r="G48" s="129"/>
      <c r="H48" s="86"/>
      <c r="I48" s="128"/>
      <c r="J48" s="86"/>
      <c r="K48" s="129"/>
      <c r="L48" s="86"/>
      <c r="M48" s="128"/>
      <c r="N48" s="86"/>
      <c r="O48" s="129"/>
    </row>
    <row r="49" spans="1:15" ht="15" x14ac:dyDescent="0.2">
      <c r="A49" s="74" t="str">
        <f>Wages!G123</f>
        <v>Name of Employee:</v>
      </c>
      <c r="B49" s="670" t="str">
        <f>Wages!H123</f>
        <v>Yankho Gulani</v>
      </c>
      <c r="C49" s="675"/>
      <c r="D49" s="86"/>
      <c r="E49" s="128"/>
      <c r="F49" s="86"/>
      <c r="G49" s="129"/>
      <c r="H49" s="86"/>
      <c r="I49" s="128"/>
      <c r="J49" s="86"/>
      <c r="K49" s="129"/>
      <c r="L49" s="86"/>
      <c r="M49" s="128"/>
      <c r="N49" s="86"/>
      <c r="O49" s="129"/>
    </row>
    <row r="50" spans="1:15" x14ac:dyDescent="0.2">
      <c r="A50" s="217" t="str">
        <f>Wages!G124</f>
        <v>Employee Number:</v>
      </c>
      <c r="B50" s="218"/>
      <c r="C50" s="75" t="str">
        <f>Wages!I124</f>
        <v>CITI27</v>
      </c>
      <c r="D50" s="86"/>
      <c r="E50" s="128"/>
      <c r="F50" s="86"/>
      <c r="G50" s="129"/>
      <c r="H50" s="86"/>
      <c r="I50" s="128"/>
      <c r="J50" s="86"/>
      <c r="K50" s="129"/>
      <c r="L50" s="86"/>
      <c r="M50" s="128"/>
      <c r="N50" s="86"/>
      <c r="O50" s="129"/>
    </row>
    <row r="51" spans="1:15" ht="13.5" thickBot="1" x14ac:dyDescent="0.25">
      <c r="A51" s="217" t="str">
        <f>Wages!G125</f>
        <v>Payslip for the Month:</v>
      </c>
      <c r="B51" s="218"/>
      <c r="C51" s="75" t="str">
        <f>$C$13</f>
        <v>January 2026</v>
      </c>
      <c r="D51" s="86"/>
      <c r="E51" s="128"/>
      <c r="F51" s="86"/>
      <c r="G51" s="129"/>
      <c r="H51" s="86"/>
      <c r="I51" s="128"/>
      <c r="J51" s="86"/>
      <c r="K51" s="129"/>
      <c r="L51" s="86"/>
      <c r="M51" s="128"/>
      <c r="N51" s="86"/>
      <c r="O51" s="129"/>
    </row>
    <row r="52" spans="1:15" ht="13.5" thickBot="1" x14ac:dyDescent="0.25">
      <c r="A52" s="217" t="str">
        <f>Wages!G126</f>
        <v>Gross Salary</v>
      </c>
      <c r="B52" s="218"/>
      <c r="C52" s="169">
        <f>Wages!I126</f>
        <v>120000</v>
      </c>
      <c r="D52" s="86"/>
      <c r="E52" s="128"/>
      <c r="F52" s="86"/>
      <c r="G52" s="129"/>
      <c r="H52" s="86"/>
      <c r="I52" s="128"/>
      <c r="J52" s="86"/>
      <c r="K52" s="129"/>
      <c r="L52" s="86"/>
      <c r="M52" s="128"/>
      <c r="N52" s="86"/>
      <c r="O52" s="129"/>
    </row>
    <row r="53" spans="1:15" x14ac:dyDescent="0.2">
      <c r="A53" s="217" t="str">
        <f>Wages!G127</f>
        <v>Overtime Claim</v>
      </c>
      <c r="B53" s="218"/>
      <c r="C53" s="77">
        <f>Wages!I127</f>
        <v>0</v>
      </c>
      <c r="D53" s="86"/>
      <c r="E53" s="128"/>
      <c r="F53" s="86"/>
      <c r="G53" s="129"/>
      <c r="H53" s="86"/>
      <c r="I53" s="128"/>
      <c r="J53" s="86"/>
      <c r="K53" s="129"/>
      <c r="L53" s="86"/>
      <c r="M53" s="128"/>
      <c r="N53" s="86"/>
      <c r="O53" s="129"/>
    </row>
    <row r="54" spans="1:15" x14ac:dyDescent="0.2">
      <c r="A54" s="217" t="str">
        <f>Wages!G128</f>
        <v>P.A.Y.E</v>
      </c>
      <c r="B54" s="218">
        <f>Wages!H128</f>
        <v>0</v>
      </c>
      <c r="C54" s="77"/>
      <c r="D54" s="86"/>
      <c r="E54" s="128"/>
      <c r="F54" s="86"/>
      <c r="G54" s="129"/>
      <c r="H54" s="86"/>
      <c r="I54" s="128"/>
      <c r="J54" s="86"/>
      <c r="K54" s="129"/>
      <c r="L54" s="86"/>
      <c r="M54" s="128"/>
      <c r="N54" s="86"/>
      <c r="O54" s="129"/>
    </row>
    <row r="55" spans="1:15" x14ac:dyDescent="0.2">
      <c r="A55" s="217" t="str">
        <f>Wages!G129</f>
        <v>Xmas Gift/Leave Pay</v>
      </c>
      <c r="B55" s="218"/>
      <c r="C55" s="111">
        <f>Wages!I129</f>
        <v>0</v>
      </c>
      <c r="D55" s="86"/>
      <c r="E55" s="128"/>
      <c r="F55" s="86"/>
      <c r="G55" s="129"/>
      <c r="H55" s="86"/>
      <c r="I55" s="128"/>
      <c r="J55" s="86"/>
      <c r="K55" s="129"/>
      <c r="L55" s="86"/>
      <c r="M55" s="128"/>
      <c r="N55" s="86"/>
      <c r="O55" s="129"/>
    </row>
    <row r="56" spans="1:15" x14ac:dyDescent="0.2">
      <c r="A56" s="217" t="str">
        <f>Wages!G130</f>
        <v>Medical Aid Scheme</v>
      </c>
      <c r="B56" s="218">
        <f>Wages!H131</f>
        <v>0</v>
      </c>
      <c r="C56" s="111"/>
      <c r="D56" s="86"/>
      <c r="E56" s="128"/>
      <c r="F56" s="86"/>
      <c r="G56" s="129"/>
      <c r="H56" s="86"/>
      <c r="I56" s="128"/>
      <c r="J56" s="86"/>
      <c r="K56" s="129"/>
      <c r="L56" s="86"/>
      <c r="M56" s="128"/>
      <c r="N56" s="86"/>
      <c r="O56" s="129"/>
    </row>
    <row r="57" spans="1:15" x14ac:dyDescent="0.2">
      <c r="A57" s="217" t="str">
        <f>Wages!G131</f>
        <v>Loan Instalment</v>
      </c>
      <c r="B57" s="218">
        <f>Wages!H132</f>
        <v>0</v>
      </c>
      <c r="C57" s="76"/>
      <c r="D57" s="86"/>
      <c r="E57" s="128"/>
      <c r="F57" s="86"/>
      <c r="G57" s="129"/>
      <c r="H57" s="86"/>
      <c r="I57" s="128"/>
      <c r="J57" s="86"/>
      <c r="K57" s="129"/>
      <c r="L57" s="86"/>
      <c r="M57" s="128"/>
      <c r="N57" s="86"/>
      <c r="O57" s="129"/>
    </row>
    <row r="58" spans="1:15" x14ac:dyDescent="0.2">
      <c r="A58" s="217" t="str">
        <f>Wages!G132</f>
        <v>Absence Deduction</v>
      </c>
      <c r="B58" s="218">
        <f>Wages!H133</f>
        <v>0</v>
      </c>
      <c r="C58" s="76"/>
      <c r="D58" s="86"/>
      <c r="E58" s="128"/>
      <c r="F58" s="86"/>
      <c r="G58" s="129"/>
      <c r="H58" s="86"/>
      <c r="I58" s="128"/>
      <c r="J58" s="86"/>
      <c r="K58" s="129"/>
      <c r="L58" s="86"/>
      <c r="M58" s="128"/>
      <c r="N58" s="86"/>
      <c r="O58" s="129"/>
    </row>
    <row r="59" spans="1:15" x14ac:dyDescent="0.2">
      <c r="A59" s="217" t="str">
        <f>Wages!G133</f>
        <v>Total Deductions</v>
      </c>
      <c r="B59" s="218">
        <f>Wages!H133</f>
        <v>0</v>
      </c>
      <c r="C59" s="78"/>
      <c r="D59" s="86"/>
      <c r="E59" s="128"/>
      <c r="F59" s="86"/>
      <c r="G59" s="129"/>
      <c r="H59" s="86"/>
      <c r="I59" s="128"/>
      <c r="J59" s="86"/>
      <c r="K59" s="129"/>
      <c r="L59" s="86"/>
      <c r="M59" s="128"/>
      <c r="N59" s="86"/>
      <c r="O59" s="129"/>
    </row>
    <row r="60" spans="1:15" x14ac:dyDescent="0.2">
      <c r="A60" s="217" t="str">
        <f>Wages!G134</f>
        <v>Loan Balance</v>
      </c>
      <c r="B60" s="218">
        <f>Wages!H134</f>
        <v>0</v>
      </c>
      <c r="C60" s="76"/>
      <c r="D60" s="86"/>
      <c r="E60" s="128"/>
      <c r="F60" s="86"/>
      <c r="G60" s="129"/>
      <c r="H60" s="86"/>
      <c r="I60" s="128"/>
      <c r="J60" s="86"/>
      <c r="K60" s="129"/>
      <c r="L60" s="86"/>
      <c r="M60" s="128"/>
      <c r="N60" s="86"/>
      <c r="O60" s="129"/>
    </row>
    <row r="61" spans="1:15" x14ac:dyDescent="0.2">
      <c r="A61" s="54"/>
      <c r="B61" s="3"/>
      <c r="C61" s="76"/>
      <c r="D61" s="86"/>
      <c r="E61" s="128"/>
      <c r="F61" s="86"/>
      <c r="G61" s="129"/>
      <c r="H61" s="86"/>
      <c r="I61" s="128"/>
      <c r="J61" s="86"/>
      <c r="K61" s="129"/>
      <c r="L61" s="86"/>
      <c r="M61" s="128"/>
      <c r="N61" s="86"/>
      <c r="O61" s="129"/>
    </row>
    <row r="62" spans="1:15" x14ac:dyDescent="0.2">
      <c r="A62" s="133" t="str">
        <f>Wages!G136</f>
        <v>Net Pay for the Month</v>
      </c>
      <c r="B62" s="134"/>
      <c r="C62" s="135">
        <f>Wages!I136</f>
        <v>120000</v>
      </c>
      <c r="D62" s="86"/>
      <c r="E62" s="128"/>
      <c r="F62" s="86"/>
      <c r="G62" s="129"/>
      <c r="H62" s="86"/>
      <c r="I62" s="128"/>
      <c r="J62" s="86"/>
      <c r="K62" s="129"/>
      <c r="L62" s="86"/>
      <c r="M62" s="128"/>
      <c r="N62" s="86"/>
      <c r="O62" s="129"/>
    </row>
    <row r="63" spans="1:15" x14ac:dyDescent="0.2">
      <c r="A63" s="140" t="str">
        <f>Wages!G137</f>
        <v>Net Pay mid and end of Month</v>
      </c>
      <c r="B63" s="141"/>
      <c r="C63" s="142">
        <f>Wages!I137</f>
        <v>60000</v>
      </c>
      <c r="D63" s="86"/>
      <c r="E63" s="128"/>
      <c r="F63" s="86"/>
      <c r="G63" s="129"/>
      <c r="H63" s="86"/>
      <c r="I63" s="128"/>
      <c r="J63" s="86"/>
      <c r="K63" s="129"/>
      <c r="L63" s="86"/>
      <c r="M63" s="128"/>
      <c r="N63" s="86"/>
      <c r="O63" s="129"/>
    </row>
    <row r="64" spans="1:15" x14ac:dyDescent="0.2">
      <c r="D64" s="86"/>
      <c r="E64" s="128"/>
      <c r="F64" s="86"/>
      <c r="G64" s="129"/>
      <c r="H64" s="86"/>
      <c r="I64" s="128"/>
      <c r="J64" s="86"/>
      <c r="K64" s="129"/>
      <c r="L64" s="86"/>
      <c r="M64" s="128"/>
      <c r="N64" s="86"/>
      <c r="O64" s="129"/>
    </row>
    <row r="65" spans="1:15" x14ac:dyDescent="0.2">
      <c r="D65" s="86"/>
      <c r="E65" s="128"/>
      <c r="F65" s="86"/>
      <c r="G65" s="129"/>
      <c r="H65" s="86"/>
      <c r="I65" s="128"/>
      <c r="J65" s="86"/>
      <c r="K65" s="129"/>
      <c r="L65" s="86"/>
      <c r="M65" s="128"/>
      <c r="N65" s="86"/>
      <c r="O65" s="129"/>
    </row>
    <row r="66" spans="1:15" ht="20.100000000000001" customHeight="1" x14ac:dyDescent="0.2">
      <c r="A66" s="184" t="s">
        <v>153</v>
      </c>
      <c r="I66" s="128"/>
      <c r="J66" s="86"/>
      <c r="K66" s="129"/>
      <c r="L66" s="86"/>
      <c r="M66" s="128"/>
      <c r="N66" s="86"/>
      <c r="O66" s="129"/>
    </row>
    <row r="67" spans="1:15" ht="20.100000000000001" customHeight="1" x14ac:dyDescent="0.2">
      <c r="A67" s="180" t="s">
        <v>159</v>
      </c>
      <c r="B67" s="725" t="s">
        <v>21</v>
      </c>
      <c r="C67" s="725"/>
      <c r="D67" s="180" t="s">
        <v>154</v>
      </c>
      <c r="E67" s="180" t="s">
        <v>155</v>
      </c>
      <c r="F67" s="180" t="s">
        <v>156</v>
      </c>
      <c r="G67" s="180" t="s">
        <v>157</v>
      </c>
      <c r="H67" s="678" t="s">
        <v>190</v>
      </c>
      <c r="I67" s="678"/>
      <c r="J67" s="86"/>
      <c r="K67" s="129"/>
      <c r="L67" s="86"/>
      <c r="M67" s="128"/>
      <c r="N67" s="86"/>
      <c r="O67" s="129"/>
    </row>
    <row r="68" spans="1:15" ht="20.100000000000001" customHeight="1" x14ac:dyDescent="0.2">
      <c r="A68" s="182" t="str">
        <f>C12</f>
        <v>CITI19</v>
      </c>
      <c r="B68" s="723" t="str">
        <f>B11</f>
        <v>Martin Kandalama</v>
      </c>
      <c r="C68" s="723"/>
      <c r="D68" s="306" t="str">
        <f>$C$13</f>
        <v>January 2026</v>
      </c>
      <c r="E68" s="185">
        <f>B21</f>
        <v>0</v>
      </c>
      <c r="F68" s="186">
        <f>B22</f>
        <v>0</v>
      </c>
      <c r="G68" s="183">
        <f>C25</f>
        <v>35000</v>
      </c>
      <c r="H68" s="715">
        <f>IF(Wages!V239="N/A",0,Wages!V239)</f>
        <v>0</v>
      </c>
      <c r="I68" s="716"/>
      <c r="J68" s="86"/>
      <c r="K68" s="129"/>
      <c r="L68" s="86"/>
      <c r="M68" s="128"/>
      <c r="N68" s="86"/>
      <c r="O68" s="129"/>
    </row>
    <row r="69" spans="1:15" ht="20.100000000000001" customHeight="1" x14ac:dyDescent="0.2">
      <c r="A69" s="182" t="str">
        <f>G12</f>
        <v>CITI20</v>
      </c>
      <c r="B69" s="723" t="str">
        <f>F11</f>
        <v>Daniel Mponda</v>
      </c>
      <c r="C69" s="723"/>
      <c r="D69" s="306" t="str">
        <f t="shared" ref="D69:D76" si="0">$C$13</f>
        <v>January 2026</v>
      </c>
      <c r="E69" s="185">
        <f>F21</f>
        <v>0</v>
      </c>
      <c r="F69" s="186">
        <f>F22</f>
        <v>0</v>
      </c>
      <c r="G69" s="183">
        <f>G25</f>
        <v>35000</v>
      </c>
      <c r="H69" s="715">
        <f>IF(Wages!V240="N/A",0,Wages!V240)</f>
        <v>0</v>
      </c>
      <c r="I69" s="716"/>
      <c r="J69" s="86"/>
      <c r="K69" s="129"/>
      <c r="L69" s="86"/>
      <c r="M69" s="128"/>
      <c r="N69" s="86"/>
      <c r="O69" s="129"/>
    </row>
    <row r="70" spans="1:15" ht="20.100000000000001" customHeight="1" x14ac:dyDescent="0.2">
      <c r="A70" s="182" t="str">
        <f>K12</f>
        <v>CITI21</v>
      </c>
      <c r="B70" s="723" t="str">
        <f>J11</f>
        <v>Elizabeth Kabudula</v>
      </c>
      <c r="C70" s="724"/>
      <c r="D70" s="306" t="str">
        <f t="shared" si="0"/>
        <v>January 2026</v>
      </c>
      <c r="E70" s="185">
        <f>J21</f>
        <v>0</v>
      </c>
      <c r="F70" s="186">
        <f>J22</f>
        <v>0</v>
      </c>
      <c r="G70" s="183">
        <f>K25</f>
        <v>10000</v>
      </c>
      <c r="H70" s="715">
        <f>IF(Wages!V241="N/A",0,Wages!V241)</f>
        <v>0</v>
      </c>
      <c r="I70" s="716"/>
      <c r="J70" s="86"/>
      <c r="K70" s="129"/>
      <c r="L70" s="86"/>
      <c r="M70" s="128"/>
      <c r="N70" s="86"/>
      <c r="O70" s="129"/>
    </row>
    <row r="71" spans="1:15" ht="20.100000000000001" customHeight="1" x14ac:dyDescent="0.2">
      <c r="A71" s="182" t="str">
        <f>O12</f>
        <v>CITI22</v>
      </c>
      <c r="B71" s="723" t="str">
        <f>N11</f>
        <v xml:space="preserve">vacant  </v>
      </c>
      <c r="C71" s="724"/>
      <c r="D71" s="306" t="str">
        <f t="shared" si="0"/>
        <v>January 2026</v>
      </c>
      <c r="E71" s="185">
        <f>N21</f>
        <v>0</v>
      </c>
      <c r="F71" s="186">
        <f>N22</f>
        <v>0</v>
      </c>
      <c r="G71" s="183">
        <f>O25</f>
        <v>0</v>
      </c>
      <c r="H71" s="715">
        <f>IF(Wages!V242="N/A",0,Wages!V242)</f>
        <v>0</v>
      </c>
      <c r="I71" s="716"/>
      <c r="J71" s="86"/>
      <c r="K71" s="129"/>
      <c r="L71" s="86"/>
      <c r="M71" s="128"/>
      <c r="N71" s="86"/>
      <c r="O71" s="129"/>
    </row>
    <row r="72" spans="1:15" ht="20.100000000000001" customHeight="1" x14ac:dyDescent="0.2">
      <c r="A72" s="182" t="str">
        <f>C30</f>
        <v>CITI23</v>
      </c>
      <c r="B72" s="723" t="str">
        <f>B29</f>
        <v>William Mahinya</v>
      </c>
      <c r="C72" s="724"/>
      <c r="D72" s="306" t="str">
        <f t="shared" si="0"/>
        <v>January 2026</v>
      </c>
      <c r="E72" s="185">
        <f>B39</f>
        <v>0</v>
      </c>
      <c r="F72" s="186">
        <f>B40</f>
        <v>0</v>
      </c>
      <c r="G72" s="183">
        <f>C43</f>
        <v>75000</v>
      </c>
      <c r="H72" s="715">
        <f>IF(Wages!V244="N/A",0,Wages!V244)</f>
        <v>0</v>
      </c>
      <c r="I72" s="716"/>
      <c r="J72" s="86"/>
      <c r="K72" s="129"/>
      <c r="L72" s="86"/>
      <c r="M72" s="128"/>
      <c r="N72" s="86"/>
      <c r="O72" s="129"/>
    </row>
    <row r="73" spans="1:15" ht="20.100000000000001" customHeight="1" x14ac:dyDescent="0.2">
      <c r="A73" s="182" t="str">
        <f>G30</f>
        <v>CITI24</v>
      </c>
      <c r="B73" s="723" t="str">
        <f>F29</f>
        <v xml:space="preserve">vacant  </v>
      </c>
      <c r="C73" s="724"/>
      <c r="D73" s="306" t="str">
        <f t="shared" si="0"/>
        <v>January 2026</v>
      </c>
      <c r="E73" s="185">
        <f>F39</f>
        <v>0</v>
      </c>
      <c r="F73" s="186">
        <f>F40</f>
        <v>0</v>
      </c>
      <c r="G73" s="183">
        <f>G43</f>
        <v>0</v>
      </c>
      <c r="H73" s="715">
        <f>IF(Wages!V245="N/A",0,Wages!V245)</f>
        <v>0</v>
      </c>
      <c r="I73" s="716"/>
      <c r="J73" s="86"/>
      <c r="K73" s="129"/>
      <c r="L73" s="86"/>
      <c r="M73" s="128"/>
      <c r="N73" s="86"/>
      <c r="O73" s="129"/>
    </row>
    <row r="74" spans="1:15" ht="20.100000000000001" customHeight="1" x14ac:dyDescent="0.2">
      <c r="A74" s="182" t="str">
        <f>K30</f>
        <v>CITI25</v>
      </c>
      <c r="B74" s="723" t="str">
        <f>J29</f>
        <v xml:space="preserve">  </v>
      </c>
      <c r="C74" s="724"/>
      <c r="D74" s="306" t="str">
        <f t="shared" si="0"/>
        <v>January 2026</v>
      </c>
      <c r="E74" s="185">
        <f>J39</f>
        <v>0</v>
      </c>
      <c r="F74" s="186">
        <f>J40</f>
        <v>0</v>
      </c>
      <c r="G74" s="183">
        <f>K43</f>
        <v>0</v>
      </c>
      <c r="H74" s="715">
        <f>IF(Wages!V246="N/A",0,Wages!V246)</f>
        <v>0</v>
      </c>
      <c r="I74" s="716"/>
      <c r="J74" s="86"/>
      <c r="K74" s="129"/>
      <c r="L74" s="86"/>
      <c r="M74" s="128"/>
      <c r="N74" s="86"/>
      <c r="O74" s="129"/>
    </row>
    <row r="75" spans="1:15" ht="20.100000000000001" customHeight="1" x14ac:dyDescent="0.2">
      <c r="A75" s="182" t="str">
        <f>O30</f>
        <v>CITI26</v>
      </c>
      <c r="B75" s="723" t="str">
        <f>N29</f>
        <v xml:space="preserve">vacant  </v>
      </c>
      <c r="C75" s="724"/>
      <c r="D75" s="306" t="str">
        <f t="shared" si="0"/>
        <v>January 2026</v>
      </c>
      <c r="E75" s="185">
        <f>N39</f>
        <v>0</v>
      </c>
      <c r="F75" s="186">
        <f>N40</f>
        <v>0</v>
      </c>
      <c r="G75" s="183">
        <f>O43</f>
        <v>0</v>
      </c>
      <c r="H75" s="715">
        <f>IF(Wages!V247="N/A",0,Wages!V247)</f>
        <v>0</v>
      </c>
      <c r="I75" s="716"/>
      <c r="J75" s="86"/>
      <c r="K75" s="129"/>
      <c r="L75" s="86"/>
      <c r="M75" s="128"/>
      <c r="N75" s="86"/>
      <c r="O75" s="129"/>
    </row>
    <row r="76" spans="1:15" ht="20.100000000000001" customHeight="1" x14ac:dyDescent="0.2">
      <c r="A76" s="182" t="str">
        <f>C50</f>
        <v>CITI27</v>
      </c>
      <c r="B76" s="723" t="str">
        <f>B49</f>
        <v>Yankho Gulani</v>
      </c>
      <c r="C76" s="724"/>
      <c r="D76" s="306" t="str">
        <f t="shared" si="0"/>
        <v>January 2026</v>
      </c>
      <c r="E76" s="185">
        <f>B59</f>
        <v>0</v>
      </c>
      <c r="F76" s="186">
        <f>B60</f>
        <v>0</v>
      </c>
      <c r="G76" s="183">
        <f>C63</f>
        <v>60000</v>
      </c>
      <c r="H76" s="715">
        <f>IF(Wages!V248="N/A",0,Wages!V248)</f>
        <v>0</v>
      </c>
      <c r="I76" s="716"/>
      <c r="J76" s="86"/>
      <c r="K76" s="129"/>
      <c r="L76" s="86"/>
      <c r="M76" s="128"/>
      <c r="N76" s="86"/>
      <c r="O76" s="129"/>
    </row>
    <row r="77" spans="1:15" s="189" customFormat="1" ht="20.100000000000001" customHeight="1" x14ac:dyDescent="0.25">
      <c r="A77" s="718" t="s">
        <v>160</v>
      </c>
      <c r="B77" s="719"/>
      <c r="C77" s="719"/>
      <c r="D77" s="720"/>
      <c r="E77" s="187">
        <f>SUM(E68:E75)</f>
        <v>0</v>
      </c>
      <c r="F77" s="187">
        <f>SUM(F68:F75)</f>
        <v>0</v>
      </c>
      <c r="G77" s="188">
        <f>SUM(G68:G76)</f>
        <v>215000</v>
      </c>
      <c r="H77" s="717">
        <f>SUM(H68:I76)</f>
        <v>0</v>
      </c>
      <c r="I77" s="717"/>
      <c r="J77" s="191"/>
      <c r="K77" s="192"/>
      <c r="L77" s="191"/>
      <c r="M77" s="190"/>
      <c r="N77" s="191"/>
      <c r="O77" s="192"/>
    </row>
    <row r="78" spans="1:15" ht="20.100000000000001" customHeight="1" thickBot="1" x14ac:dyDescent="0.25">
      <c r="I78" s="128"/>
      <c r="J78" s="86"/>
      <c r="K78" s="129"/>
      <c r="L78" s="86"/>
      <c r="M78" s="128"/>
      <c r="N78" s="86"/>
      <c r="O78" s="129"/>
    </row>
    <row r="79" spans="1:15" ht="20.100000000000001" customHeight="1" thickBot="1" x14ac:dyDescent="0.3">
      <c r="A79" s="721" t="s">
        <v>161</v>
      </c>
      <c r="B79" s="722"/>
      <c r="C79" s="722"/>
      <c r="D79" s="722"/>
      <c r="E79" s="722"/>
      <c r="F79" s="722"/>
      <c r="G79" s="193">
        <f>'Shop-Workers'!G145</f>
        <v>752000</v>
      </c>
      <c r="I79" s="128"/>
      <c r="J79" s="86"/>
      <c r="K79" s="129"/>
      <c r="L79" s="86"/>
      <c r="M79" s="128"/>
      <c r="N79" s="86"/>
      <c r="O79" s="129"/>
    </row>
    <row r="80" spans="1:15" ht="20.100000000000001" customHeight="1" thickBot="1" x14ac:dyDescent="0.25">
      <c r="A80" s="73"/>
      <c r="I80" s="128"/>
      <c r="J80" s="86"/>
      <c r="K80" s="129"/>
      <c r="L80" s="86"/>
      <c r="M80" s="128"/>
      <c r="N80" s="86"/>
      <c r="O80" s="129"/>
    </row>
    <row r="81" spans="1:15" ht="18.75" thickBot="1" x14ac:dyDescent="0.3">
      <c r="A81" s="195" t="s">
        <v>162</v>
      </c>
      <c r="B81" s="196" t="str">
        <f>Wages!B8</f>
        <v>Mid</v>
      </c>
      <c r="C81" s="197" t="str">
        <f>Wages!E18</f>
        <v>January 2026</v>
      </c>
      <c r="D81" s="197"/>
      <c r="E81" s="197"/>
      <c r="F81" s="198"/>
      <c r="G81" s="194">
        <f>G77+'Shop-Workers'!G145</f>
        <v>967000</v>
      </c>
      <c r="I81" s="128"/>
      <c r="J81" s="86"/>
      <c r="K81" s="129"/>
      <c r="L81" s="86"/>
      <c r="M81" s="128"/>
      <c r="N81" s="86"/>
      <c r="O81" s="129"/>
    </row>
    <row r="142" spans="1:1" x14ac:dyDescent="0.2">
      <c r="A142" s="63"/>
    </row>
    <row r="143" spans="1:1" x14ac:dyDescent="0.2">
      <c r="A143" s="63"/>
    </row>
    <row r="144" spans="1:1" x14ac:dyDescent="0.2">
      <c r="A144" s="63"/>
    </row>
    <row r="145" spans="1:1" x14ac:dyDescent="0.2">
      <c r="A145" s="63"/>
    </row>
    <row r="146" spans="1:1" x14ac:dyDescent="0.2">
      <c r="A146" s="63"/>
    </row>
    <row r="147" spans="1:1" x14ac:dyDescent="0.2">
      <c r="A147" s="63"/>
    </row>
    <row r="148" spans="1:1" x14ac:dyDescent="0.2">
      <c r="A148" s="63"/>
    </row>
    <row r="149" spans="1:1" x14ac:dyDescent="0.2">
      <c r="A149" s="63"/>
    </row>
    <row r="150" spans="1:1" x14ac:dyDescent="0.2">
      <c r="A150" s="63"/>
    </row>
    <row r="151" spans="1:1" x14ac:dyDescent="0.2">
      <c r="A151" s="63"/>
    </row>
    <row r="152" spans="1:1" x14ac:dyDescent="0.2">
      <c r="A152" s="63"/>
    </row>
    <row r="153" spans="1:1" x14ac:dyDescent="0.2">
      <c r="A153" s="63"/>
    </row>
    <row r="154" spans="1:1" x14ac:dyDescent="0.2">
      <c r="A154" s="63"/>
    </row>
    <row r="155" spans="1:1" x14ac:dyDescent="0.2">
      <c r="A155" s="63"/>
    </row>
    <row r="156" spans="1:1" x14ac:dyDescent="0.2">
      <c r="A156" s="63"/>
    </row>
    <row r="157" spans="1:1" x14ac:dyDescent="0.2">
      <c r="A157" s="63"/>
    </row>
    <row r="158" spans="1:1" x14ac:dyDescent="0.2">
      <c r="A158" s="63"/>
    </row>
    <row r="159" spans="1:1" x14ac:dyDescent="0.2">
      <c r="A159" s="63"/>
    </row>
    <row r="160" spans="1:1" x14ac:dyDescent="0.2">
      <c r="A160" s="63"/>
    </row>
    <row r="161" spans="1:1" x14ac:dyDescent="0.2">
      <c r="A161" s="63"/>
    </row>
    <row r="162" spans="1:1" x14ac:dyDescent="0.2">
      <c r="A162" s="63"/>
    </row>
    <row r="163" spans="1:1" x14ac:dyDescent="0.2">
      <c r="A163" s="63"/>
    </row>
    <row r="164" spans="1:1" x14ac:dyDescent="0.2">
      <c r="A164" s="63"/>
    </row>
    <row r="165" spans="1:1" x14ac:dyDescent="0.2">
      <c r="A165" s="63"/>
    </row>
    <row r="166" spans="1:1" x14ac:dyDescent="0.2">
      <c r="A166" s="63"/>
    </row>
    <row r="167" spans="1:1" x14ac:dyDescent="0.2">
      <c r="A167" s="63"/>
    </row>
    <row r="168" spans="1:1" x14ac:dyDescent="0.2">
      <c r="A168" s="63"/>
    </row>
    <row r="169" spans="1:1" x14ac:dyDescent="0.2">
      <c r="A169" s="63"/>
    </row>
    <row r="170" spans="1:1" x14ac:dyDescent="0.2">
      <c r="A170" s="63"/>
    </row>
    <row r="171" spans="1:1" x14ac:dyDescent="0.2">
      <c r="A171" s="63"/>
    </row>
    <row r="172" spans="1:1" x14ac:dyDescent="0.2">
      <c r="A172" s="63"/>
    </row>
    <row r="173" spans="1:1" x14ac:dyDescent="0.2">
      <c r="A173" s="63"/>
    </row>
    <row r="174" spans="1:1" x14ac:dyDescent="0.2">
      <c r="A174" s="63"/>
    </row>
  </sheetData>
  <sheetProtection algorithmName="SHA-512" hashValue="P8056JWz+Vsm5Bzq62jNzn58TeaWLOL4dzZctj44NSlZzkn04EcyNDDfqAi6XI7uk9y8PCFtzo7LwYUsOH/iTw==" saltValue="kgKSxXnjQ3PMFJKTc2oHLQ==" spinCount="100000" sheet="1" objects="1" scenarios="1"/>
  <mergeCells count="58">
    <mergeCell ref="M30:N30"/>
    <mergeCell ref="A28:C28"/>
    <mergeCell ref="B29:C29"/>
    <mergeCell ref="F29:G29"/>
    <mergeCell ref="A1:O1"/>
    <mergeCell ref="E12:F12"/>
    <mergeCell ref="E13:F13"/>
    <mergeCell ref="I12:J12"/>
    <mergeCell ref="I13:J13"/>
    <mergeCell ref="N11:O11"/>
    <mergeCell ref="M10:O10"/>
    <mergeCell ref="A10:C10"/>
    <mergeCell ref="E10:G10"/>
    <mergeCell ref="I10:K10"/>
    <mergeCell ref="B11:C11"/>
    <mergeCell ref="J11:K11"/>
    <mergeCell ref="F11:G11"/>
    <mergeCell ref="M31:N31"/>
    <mergeCell ref="M12:N12"/>
    <mergeCell ref="A30:B30"/>
    <mergeCell ref="M13:N13"/>
    <mergeCell ref="A31:B31"/>
    <mergeCell ref="M28:O28"/>
    <mergeCell ref="N29:O29"/>
    <mergeCell ref="A12:B12"/>
    <mergeCell ref="A13:B13"/>
    <mergeCell ref="E30:F30"/>
    <mergeCell ref="E31:F31"/>
    <mergeCell ref="I30:J30"/>
    <mergeCell ref="I31:J31"/>
    <mergeCell ref="E28:G28"/>
    <mergeCell ref="I28:K28"/>
    <mergeCell ref="J29:K29"/>
    <mergeCell ref="B67:C67"/>
    <mergeCell ref="B68:C68"/>
    <mergeCell ref="B69:C69"/>
    <mergeCell ref="B70:C70"/>
    <mergeCell ref="A48:C48"/>
    <mergeCell ref="B49:C49"/>
    <mergeCell ref="H67:I67"/>
    <mergeCell ref="H68:I68"/>
    <mergeCell ref="H69:I69"/>
    <mergeCell ref="H70:I70"/>
    <mergeCell ref="A77:D77"/>
    <mergeCell ref="A79:F79"/>
    <mergeCell ref="B71:C71"/>
    <mergeCell ref="B72:C72"/>
    <mergeCell ref="B73:C73"/>
    <mergeCell ref="B74:C74"/>
    <mergeCell ref="B75:C75"/>
    <mergeCell ref="B76:C76"/>
    <mergeCell ref="H76:I76"/>
    <mergeCell ref="H77:I77"/>
    <mergeCell ref="H71:I71"/>
    <mergeCell ref="H72:I72"/>
    <mergeCell ref="H73:I73"/>
    <mergeCell ref="H74:I74"/>
    <mergeCell ref="H75:I75"/>
  </mergeCells>
  <pageMargins left="0.7" right="0.7" top="0.75" bottom="0.75" header="0.3" footer="0.3"/>
  <pageSetup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Views>
    <sheetView topLeftCell="A79" workbookViewId="0">
      <selection sqref="A1:O1"/>
    </sheetView>
  </sheetViews>
  <sheetFormatPr defaultRowHeight="12.75" x14ac:dyDescent="0.2"/>
  <cols>
    <col min="1" max="1" width="18.28515625" customWidth="1"/>
    <col min="2" max="2" width="15.7109375" customWidth="1"/>
    <col min="3" max="3" width="17.7109375" customWidth="1"/>
    <col min="5" max="5" width="18.7109375" customWidth="1"/>
    <col min="6" max="6" width="15.7109375" customWidth="1"/>
    <col min="7" max="7" width="17.7109375" customWidth="1"/>
    <col min="8" max="8" width="2.7109375" customWidth="1"/>
    <col min="9" max="9" width="18.7109375" customWidth="1"/>
    <col min="10" max="10" width="15.7109375" customWidth="1"/>
    <col min="11" max="11" width="17.7109375" customWidth="1"/>
    <col min="12" max="12" width="3" customWidth="1"/>
    <col min="13" max="13" width="18.7109375" customWidth="1"/>
    <col min="14" max="14" width="15.7109375" customWidth="1"/>
    <col min="15" max="15" width="17.7109375" customWidth="1"/>
  </cols>
  <sheetData>
    <row r="1" spans="1:15" ht="48.75" customHeight="1" x14ac:dyDescent="0.55000000000000004">
      <c r="A1" s="739" t="s">
        <v>144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</row>
    <row r="2" spans="1:15" ht="34.5" x14ac:dyDescent="0.45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</row>
    <row r="3" spans="1:15" ht="35.25" thickBot="1" x14ac:dyDescent="0.5">
      <c r="A3" s="102"/>
      <c r="B3" s="41"/>
      <c r="E3" s="143" t="s">
        <v>113</v>
      </c>
      <c r="G3" s="89" t="s">
        <v>114</v>
      </c>
      <c r="H3" s="151"/>
      <c r="I3" s="151"/>
      <c r="J3" s="151"/>
      <c r="K3" s="151"/>
      <c r="L3" s="151"/>
      <c r="M3" s="151"/>
      <c r="N3" s="151"/>
      <c r="O3" s="151"/>
    </row>
    <row r="4" spans="1:15" ht="35.25" thickBot="1" x14ac:dyDescent="0.5">
      <c r="A4" s="104" t="s">
        <v>140</v>
      </c>
      <c r="B4" s="41"/>
      <c r="E4" s="105">
        <f>G4/2</f>
        <v>575000</v>
      </c>
      <c r="G4" s="152">
        <f>C14+G14+K14+O14+C32+G32+K32+O32+C50+G50+K50+O50+C68+G68+K68+O68+C86</f>
        <v>1150000</v>
      </c>
      <c r="H4" s="151"/>
      <c r="I4" s="151"/>
      <c r="J4" s="151"/>
      <c r="K4" s="151"/>
      <c r="L4" s="151"/>
      <c r="M4" s="151"/>
      <c r="N4" s="151"/>
      <c r="O4" s="151"/>
    </row>
    <row r="5" spans="1:15" ht="35.25" thickBot="1" x14ac:dyDescent="0.5">
      <c r="A5" s="104" t="s">
        <v>141</v>
      </c>
      <c r="B5" s="41"/>
      <c r="E5" s="105">
        <f>G5/2</f>
        <v>0</v>
      </c>
      <c r="G5" s="152">
        <f>B16+F16+J16+N16+B34+F34+J34+N34+B52+F52+J52+N52+B70+F70+J70+N70+B88</f>
        <v>0</v>
      </c>
      <c r="H5" s="151"/>
      <c r="I5" s="151"/>
      <c r="J5" s="151"/>
      <c r="K5" s="151"/>
      <c r="L5" s="151"/>
      <c r="M5" s="151"/>
      <c r="N5" s="151"/>
      <c r="O5" s="151"/>
    </row>
    <row r="6" spans="1:15" ht="35.25" thickBot="1" x14ac:dyDescent="0.5">
      <c r="A6" s="104" t="s">
        <v>147</v>
      </c>
      <c r="B6" s="41"/>
      <c r="E6" s="105">
        <f>G6/2</f>
        <v>0</v>
      </c>
      <c r="G6" s="152">
        <f>C17+G17+K17+O17+C35+G35+K35+O35+C53+G53+K53+O53+C71+G71+K71+O71+C89</f>
        <v>0</v>
      </c>
      <c r="I6" s="151"/>
      <c r="J6" s="151"/>
      <c r="K6" s="151"/>
      <c r="L6" s="151"/>
      <c r="M6" s="151"/>
      <c r="N6" s="151"/>
      <c r="O6" s="151"/>
    </row>
    <row r="7" spans="1:15" ht="34.5" x14ac:dyDescent="0.45">
      <c r="A7" s="104" t="s">
        <v>148</v>
      </c>
      <c r="B7" s="41"/>
      <c r="E7" s="105">
        <f>G7/2</f>
        <v>0</v>
      </c>
      <c r="G7" s="152">
        <f>B21+F21+J21+N21+B39+F39+J39+N39+B57+F57+J57+N57+B75+F75+J75+N75+B93</f>
        <v>0</v>
      </c>
      <c r="H7" s="151"/>
      <c r="J7" s="151"/>
      <c r="K7" s="151"/>
      <c r="L7" s="151"/>
      <c r="M7" s="151"/>
      <c r="N7" s="151"/>
      <c r="O7" s="151"/>
    </row>
    <row r="8" spans="1:15" ht="21" thickBot="1" x14ac:dyDescent="0.35">
      <c r="A8" s="103" t="s">
        <v>84</v>
      </c>
      <c r="B8" s="41"/>
      <c r="E8" s="106">
        <f>E4+E6-E7</f>
        <v>575000</v>
      </c>
      <c r="G8" s="106">
        <f>G4+G6-G7</f>
        <v>1150000</v>
      </c>
    </row>
    <row r="10" spans="1:15" ht="12.75" customHeight="1" x14ac:dyDescent="0.25">
      <c r="A10" s="667" t="s">
        <v>85</v>
      </c>
      <c r="B10" s="676"/>
      <c r="C10" s="677"/>
      <c r="D10" s="3"/>
      <c r="E10" s="667" t="s">
        <v>85</v>
      </c>
      <c r="F10" s="676"/>
      <c r="G10" s="677"/>
      <c r="I10" s="667" t="s">
        <v>85</v>
      </c>
      <c r="J10" s="676"/>
      <c r="K10" s="677"/>
      <c r="L10" s="3"/>
      <c r="M10" s="667" t="s">
        <v>85</v>
      </c>
      <c r="N10" s="676"/>
      <c r="O10" s="677"/>
    </row>
    <row r="11" spans="1:15" ht="12.75" customHeight="1" x14ac:dyDescent="0.2">
      <c r="A11" s="74" t="str">
        <f>Wages!C16</f>
        <v>Name of Employee:</v>
      </c>
      <c r="B11" s="699" t="str">
        <f>Wages!D16</f>
        <v>Sapulene Mkulichi</v>
      </c>
      <c r="C11" s="742"/>
      <c r="D11" s="3"/>
      <c r="E11" s="74" t="str">
        <f>A11</f>
        <v>Name of Employee:</v>
      </c>
      <c r="F11" s="699" t="str">
        <f>Wages!H16</f>
        <v>George Matemba</v>
      </c>
      <c r="G11" s="742"/>
      <c r="I11" s="74" t="s">
        <v>53</v>
      </c>
      <c r="J11" s="699" t="str">
        <f>Wages!L16</f>
        <v>Alinafe James</v>
      </c>
      <c r="K11" s="742"/>
      <c r="L11" s="3"/>
      <c r="M11" s="74" t="s">
        <v>53</v>
      </c>
      <c r="N11" s="670" t="str">
        <f>Wages!P16</f>
        <v>Chimwemwe Banda</v>
      </c>
      <c r="O11" s="675"/>
    </row>
    <row r="12" spans="1:15" ht="12.75" customHeight="1" x14ac:dyDescent="0.2">
      <c r="A12" s="665" t="s">
        <v>63</v>
      </c>
      <c r="B12" s="681"/>
      <c r="C12" s="115" t="str">
        <f>Wages!E17</f>
        <v>CITI01</v>
      </c>
      <c r="D12" s="3"/>
      <c r="E12" s="665" t="s">
        <v>63</v>
      </c>
      <c r="F12" s="681"/>
      <c r="G12" s="115" t="str">
        <f>Wages!I17</f>
        <v>CITI02</v>
      </c>
      <c r="I12" s="665" t="s">
        <v>63</v>
      </c>
      <c r="J12" s="681"/>
      <c r="K12" s="115" t="str">
        <f>Wages!M17</f>
        <v>CITI04</v>
      </c>
      <c r="L12" s="3"/>
      <c r="M12" s="665" t="s">
        <v>63</v>
      </c>
      <c r="N12" s="681"/>
      <c r="O12" s="75" t="str">
        <f>Wages!Q17</f>
        <v>CITI05</v>
      </c>
    </row>
    <row r="13" spans="1:15" ht="13.5" thickBot="1" x14ac:dyDescent="0.25">
      <c r="A13" s="665" t="s">
        <v>54</v>
      </c>
      <c r="B13" s="681"/>
      <c r="C13" s="158" t="str">
        <f>Wages!E18</f>
        <v>January 2026</v>
      </c>
      <c r="D13" s="3"/>
      <c r="E13" s="665" t="s">
        <v>54</v>
      </c>
      <c r="F13" s="681"/>
      <c r="G13" s="158" t="str">
        <f>$C$13</f>
        <v>January 2026</v>
      </c>
      <c r="I13" s="665" t="s">
        <v>54</v>
      </c>
      <c r="J13" s="681"/>
      <c r="K13" s="158" t="str">
        <f>$C$13</f>
        <v>January 2026</v>
      </c>
      <c r="L13" s="3"/>
      <c r="M13" s="665" t="s">
        <v>54</v>
      </c>
      <c r="N13" s="681"/>
      <c r="O13" s="158" t="str">
        <f>$C$13</f>
        <v>January 2026</v>
      </c>
    </row>
    <row r="14" spans="1:15" ht="12.75" customHeight="1" thickBot="1" x14ac:dyDescent="0.25">
      <c r="A14" s="173" t="s">
        <v>61</v>
      </c>
      <c r="B14" s="164"/>
      <c r="C14" s="159">
        <f>Wages!E19</f>
        <v>0</v>
      </c>
      <c r="D14" s="165"/>
      <c r="E14" s="172" t="str">
        <f>E32</f>
        <v>Gross Salary</v>
      </c>
      <c r="F14" s="164"/>
      <c r="G14" s="159">
        <f>Wages!I19</f>
        <v>120000</v>
      </c>
      <c r="H14" s="165"/>
      <c r="I14" s="163" t="str">
        <f>E14</f>
        <v>Gross Salary</v>
      </c>
      <c r="J14" s="164"/>
      <c r="K14" s="160">
        <f>Wages!M19</f>
        <v>80000</v>
      </c>
      <c r="L14" s="165"/>
      <c r="M14" s="166" t="str">
        <f>I14</f>
        <v>Gross Salary</v>
      </c>
      <c r="N14" s="167"/>
      <c r="O14" s="168">
        <f>Wages!Q19</f>
        <v>80000</v>
      </c>
    </row>
    <row r="15" spans="1:15" ht="12.75" customHeight="1" x14ac:dyDescent="0.2">
      <c r="A15" s="54" t="s">
        <v>66</v>
      </c>
      <c r="B15" s="3"/>
      <c r="C15" s="115">
        <f>Wages!E20</f>
        <v>0</v>
      </c>
      <c r="D15" s="3"/>
      <c r="E15" s="54" t="s">
        <v>66</v>
      </c>
      <c r="F15" s="3"/>
      <c r="G15" s="115">
        <f>Wages!I20</f>
        <v>0</v>
      </c>
      <c r="I15" s="54" t="s">
        <v>66</v>
      </c>
      <c r="J15" s="3"/>
      <c r="K15" s="115">
        <f>Wages!M20</f>
        <v>0</v>
      </c>
      <c r="L15" s="3"/>
      <c r="M15" s="54" t="s">
        <v>66</v>
      </c>
      <c r="N15" s="3"/>
      <c r="O15" s="75">
        <f>Wages!Q20</f>
        <v>0</v>
      </c>
    </row>
    <row r="16" spans="1:15" x14ac:dyDescent="0.2">
      <c r="A16" s="54" t="s">
        <v>55</v>
      </c>
      <c r="B16" s="3">
        <f>Wages!D21</f>
        <v>0</v>
      </c>
      <c r="C16" s="77"/>
      <c r="D16" s="3"/>
      <c r="E16" s="54" t="s">
        <v>55</v>
      </c>
      <c r="F16" s="3">
        <f>Wages!H21</f>
        <v>0</v>
      </c>
      <c r="G16" s="115" t="s">
        <v>22</v>
      </c>
      <c r="I16" s="54" t="str">
        <f>E16</f>
        <v>P.A.Y.E</v>
      </c>
      <c r="J16" s="3">
        <f>Wages!L21</f>
        <v>0</v>
      </c>
      <c r="K16" s="115" t="s">
        <v>22</v>
      </c>
      <c r="L16" s="3"/>
      <c r="M16" s="54" t="str">
        <f>I16</f>
        <v>P.A.Y.E</v>
      </c>
      <c r="N16" s="3">
        <f>Wages!P21</f>
        <v>0</v>
      </c>
      <c r="O16" s="75" t="s">
        <v>22</v>
      </c>
    </row>
    <row r="17" spans="1:15" ht="12.75" customHeight="1" x14ac:dyDescent="0.2">
      <c r="A17" s="54" t="s">
        <v>73</v>
      </c>
      <c r="B17" s="55" t="s">
        <v>22</v>
      </c>
      <c r="C17" s="115">
        <f>Wages!E22</f>
        <v>0</v>
      </c>
      <c r="D17" s="3"/>
      <c r="E17" s="54" t="s">
        <v>73</v>
      </c>
      <c r="F17" s="55" t="s">
        <v>22</v>
      </c>
      <c r="G17" s="115">
        <f>Wages!I22</f>
        <v>0</v>
      </c>
      <c r="I17" s="54" t="str">
        <f t="shared" ref="I17:I22" si="0">E17</f>
        <v>Xmas Gift/Leave Pay</v>
      </c>
      <c r="J17" s="55" t="s">
        <v>22</v>
      </c>
      <c r="K17" s="115">
        <f>Wages!M22</f>
        <v>0</v>
      </c>
      <c r="L17" s="3"/>
      <c r="M17" s="54" t="str">
        <f t="shared" ref="M17:M22" si="1">I17</f>
        <v>Xmas Gift/Leave Pay</v>
      </c>
      <c r="O17" s="75">
        <f>Wages!Q22</f>
        <v>0</v>
      </c>
    </row>
    <row r="18" spans="1:15" ht="12.75" customHeight="1" x14ac:dyDescent="0.2">
      <c r="A18" s="54" t="s">
        <v>64</v>
      </c>
      <c r="B18" s="3" t="str">
        <f>Wages!D23</f>
        <v xml:space="preserve"> </v>
      </c>
      <c r="C18" s="111"/>
      <c r="D18" s="3"/>
      <c r="E18" s="54" t="s">
        <v>64</v>
      </c>
      <c r="F18" s="3" t="str">
        <f>Wages!H23</f>
        <v xml:space="preserve"> </v>
      </c>
      <c r="G18" s="111"/>
      <c r="I18" s="54" t="s">
        <v>64</v>
      </c>
      <c r="J18" s="3">
        <f>Wages!L23</f>
        <v>0</v>
      </c>
      <c r="K18" s="111"/>
      <c r="L18" s="3"/>
      <c r="M18" s="54" t="s">
        <v>64</v>
      </c>
      <c r="N18" s="3">
        <f>Wages!P23</f>
        <v>0</v>
      </c>
      <c r="O18" s="111"/>
    </row>
    <row r="19" spans="1:15" ht="12.75" customHeight="1" x14ac:dyDescent="0.2">
      <c r="A19" s="54" t="s">
        <v>56</v>
      </c>
      <c r="B19" s="3">
        <f>Wages!D24</f>
        <v>0</v>
      </c>
      <c r="C19" s="76"/>
      <c r="D19" s="3"/>
      <c r="E19" s="54" t="s">
        <v>56</v>
      </c>
      <c r="F19" s="3">
        <f>Wages!H24</f>
        <v>0</v>
      </c>
      <c r="G19" s="76"/>
      <c r="I19" s="54" t="str">
        <f t="shared" si="0"/>
        <v>Loan Instalment</v>
      </c>
      <c r="J19" s="3">
        <f>Wages!L24</f>
        <v>0</v>
      </c>
      <c r="K19" s="76"/>
      <c r="L19" s="3"/>
      <c r="M19" s="54" t="str">
        <f t="shared" si="1"/>
        <v>Loan Instalment</v>
      </c>
      <c r="N19" s="3">
        <f>Wages!P24</f>
        <v>0</v>
      </c>
      <c r="O19" s="76"/>
    </row>
    <row r="20" spans="1:15" x14ac:dyDescent="0.2">
      <c r="A20" s="54" t="s">
        <v>57</v>
      </c>
      <c r="B20" s="3">
        <f>Wages!D25</f>
        <v>0</v>
      </c>
      <c r="C20" s="76"/>
      <c r="D20" s="3"/>
      <c r="E20" s="54" t="s">
        <v>57</v>
      </c>
      <c r="F20" s="3">
        <f>Wages!H25</f>
        <v>0</v>
      </c>
      <c r="G20" s="76"/>
      <c r="I20" s="54" t="str">
        <f t="shared" si="0"/>
        <v>Absence Deduction</v>
      </c>
      <c r="J20" s="3">
        <f>Wages!L25</f>
        <v>0</v>
      </c>
      <c r="K20" s="76"/>
      <c r="L20" s="3"/>
      <c r="M20" s="54" t="str">
        <f t="shared" si="1"/>
        <v>Absence Deduction</v>
      </c>
      <c r="N20" s="3">
        <f>Wages!P25</f>
        <v>0</v>
      </c>
      <c r="O20" s="76"/>
    </row>
    <row r="21" spans="1:15" ht="12.75" customHeight="1" x14ac:dyDescent="0.2">
      <c r="A21" s="74" t="s">
        <v>58</v>
      </c>
      <c r="B21" s="66">
        <f>SUM(B16:B20)</f>
        <v>0</v>
      </c>
      <c r="C21" s="78"/>
      <c r="D21" s="65"/>
      <c r="E21" s="74" t="s">
        <v>58</v>
      </c>
      <c r="F21" s="66">
        <f>SUM(F16:F20)</f>
        <v>0</v>
      </c>
      <c r="G21" s="78"/>
      <c r="H21" s="64"/>
      <c r="I21" s="74" t="str">
        <f t="shared" si="0"/>
        <v>Total Deductions</v>
      </c>
      <c r="J21" s="66">
        <f>SUM(J16:J20)</f>
        <v>0</v>
      </c>
      <c r="K21" s="78"/>
      <c r="L21" s="65"/>
      <c r="M21" s="74" t="str">
        <f t="shared" si="1"/>
        <v>Total Deductions</v>
      </c>
      <c r="N21" s="66">
        <f>+N19+N20</f>
        <v>0</v>
      </c>
      <c r="O21" s="78"/>
    </row>
    <row r="22" spans="1:15" ht="12.75" customHeight="1" x14ac:dyDescent="0.2">
      <c r="A22" s="54" t="s">
        <v>59</v>
      </c>
      <c r="B22" s="57">
        <f>Wages!D27</f>
        <v>0</v>
      </c>
      <c r="C22" s="76"/>
      <c r="D22" s="3"/>
      <c r="E22" s="54" t="s">
        <v>59</v>
      </c>
      <c r="F22" s="57">
        <f>Wages!H27</f>
        <v>0</v>
      </c>
      <c r="G22" s="76"/>
      <c r="I22" s="54" t="str">
        <f t="shared" si="0"/>
        <v>Loan Balance</v>
      </c>
      <c r="J22" s="57">
        <f>Wages!L27</f>
        <v>0</v>
      </c>
      <c r="K22" s="76"/>
      <c r="L22" s="3"/>
      <c r="M22" s="54" t="str">
        <f t="shared" si="1"/>
        <v>Loan Balance</v>
      </c>
      <c r="N22" s="57">
        <f>Wages!P27</f>
        <v>0</v>
      </c>
      <c r="O22" s="76"/>
    </row>
    <row r="23" spans="1:15" ht="12.75" customHeight="1" x14ac:dyDescent="0.2">
      <c r="A23" s="54"/>
      <c r="B23" s="3"/>
      <c r="C23" s="76"/>
      <c r="D23" s="3"/>
      <c r="E23" s="54"/>
      <c r="F23" s="3"/>
      <c r="G23" s="76"/>
      <c r="I23" s="54"/>
      <c r="J23" s="3"/>
      <c r="K23" s="76"/>
      <c r="L23" s="3"/>
      <c r="M23" s="54"/>
      <c r="N23" s="3"/>
      <c r="O23" s="76"/>
    </row>
    <row r="24" spans="1:15" x14ac:dyDescent="0.2">
      <c r="A24" s="133" t="s">
        <v>60</v>
      </c>
      <c r="B24" s="134"/>
      <c r="C24" s="135">
        <f>SUM(C14+C15+C17-B21)</f>
        <v>0</v>
      </c>
      <c r="D24" s="3"/>
      <c r="E24" s="136" t="s">
        <v>60</v>
      </c>
      <c r="F24" s="137"/>
      <c r="G24" s="135">
        <f>SUM(G14+G15+G17-F21)</f>
        <v>120000</v>
      </c>
      <c r="I24" s="133" t="s">
        <v>60</v>
      </c>
      <c r="J24" s="134"/>
      <c r="K24" s="135">
        <f>SUM(K14+K15+K17-J21)</f>
        <v>80000</v>
      </c>
      <c r="L24" s="3"/>
      <c r="M24" s="133" t="s">
        <v>60</v>
      </c>
      <c r="N24" s="134"/>
      <c r="O24" s="135">
        <f>SUM(O14+O15+O17-N21)</f>
        <v>80000</v>
      </c>
    </row>
    <row r="25" spans="1:15" x14ac:dyDescent="0.2">
      <c r="A25" s="58" t="s">
        <v>125</v>
      </c>
      <c r="B25" s="59"/>
      <c r="C25" s="132">
        <f>C24/2</f>
        <v>0</v>
      </c>
      <c r="D25" s="3"/>
      <c r="E25" s="58" t="str">
        <f>A25</f>
        <v>Net Pay mid and end of Month</v>
      </c>
      <c r="F25" s="59"/>
      <c r="G25" s="132">
        <f>G24/2</f>
        <v>60000</v>
      </c>
      <c r="I25" s="58" t="str">
        <f>A25</f>
        <v>Net Pay mid and end of Month</v>
      </c>
      <c r="J25" s="59"/>
      <c r="K25" s="132">
        <f>K24/2</f>
        <v>40000</v>
      </c>
      <c r="L25" s="3"/>
      <c r="M25" s="58" t="str">
        <f>A25</f>
        <v>Net Pay mid and end of Month</v>
      </c>
      <c r="N25" s="59"/>
      <c r="O25" s="132">
        <f>O24/2</f>
        <v>40000</v>
      </c>
    </row>
    <row r="26" spans="1:15" x14ac:dyDescent="0.2">
      <c r="A26" s="130"/>
      <c r="B26" s="131"/>
      <c r="C26" s="129"/>
      <c r="D26" s="131"/>
      <c r="E26" s="130"/>
      <c r="F26" s="131"/>
      <c r="G26" s="129"/>
      <c r="H26" s="86"/>
      <c r="I26" s="130"/>
      <c r="J26" s="131"/>
      <c r="K26" s="129"/>
      <c r="L26" s="131"/>
      <c r="M26" s="130"/>
      <c r="N26" s="131"/>
      <c r="O26" s="129"/>
    </row>
    <row r="27" spans="1:15" x14ac:dyDescent="0.2">
      <c r="A27" s="4"/>
      <c r="B27" s="3"/>
      <c r="C27" s="79"/>
      <c r="D27" s="3"/>
      <c r="E27" s="4"/>
      <c r="F27" s="3"/>
      <c r="G27" s="79"/>
      <c r="I27" s="4"/>
      <c r="J27" s="3"/>
      <c r="K27" s="79"/>
      <c r="L27" s="3"/>
      <c r="M27" s="4"/>
      <c r="N27" s="3"/>
      <c r="O27" s="79"/>
    </row>
    <row r="28" spans="1:15" ht="15.75" x14ac:dyDescent="0.25">
      <c r="A28" s="667" t="s">
        <v>85</v>
      </c>
      <c r="B28" s="668"/>
      <c r="C28" s="669"/>
      <c r="E28" s="667" t="s">
        <v>85</v>
      </c>
      <c r="F28" s="676"/>
      <c r="G28" s="677"/>
      <c r="H28" s="3"/>
      <c r="I28" s="667" t="s">
        <v>85</v>
      </c>
      <c r="J28" s="676"/>
      <c r="K28" s="677"/>
      <c r="M28" s="667" t="s">
        <v>85</v>
      </c>
      <c r="N28" s="676"/>
      <c r="O28" s="677"/>
    </row>
    <row r="29" spans="1:15" ht="30" customHeight="1" x14ac:dyDescent="0.2">
      <c r="A29" s="74" t="s">
        <v>53</v>
      </c>
      <c r="B29" s="670" t="str">
        <f>Wages!D34</f>
        <v xml:space="preserve">vacant  </v>
      </c>
      <c r="C29" s="671"/>
      <c r="E29" s="74" t="s">
        <v>53</v>
      </c>
      <c r="F29" s="670" t="str">
        <f>Wages!H34</f>
        <v>Maureen Ulaya</v>
      </c>
      <c r="G29" s="671"/>
      <c r="H29" s="3"/>
      <c r="I29" s="74" t="str">
        <f>E29</f>
        <v>Name of Employee:</v>
      </c>
      <c r="J29" s="740" t="str">
        <f>Wages!L34</f>
        <v>Francis Chatsweka</v>
      </c>
      <c r="K29" s="741"/>
      <c r="M29" s="74" t="s">
        <v>53</v>
      </c>
      <c r="N29" s="670" t="str">
        <f>Wages!P34</f>
        <v>Stenala Mponda</v>
      </c>
      <c r="O29" s="675"/>
    </row>
    <row r="30" spans="1:15" x14ac:dyDescent="0.2">
      <c r="A30" s="665" t="s">
        <v>63</v>
      </c>
      <c r="B30" s="666"/>
      <c r="C30" s="75" t="str">
        <f>Wages!E35</f>
        <v>CITI06</v>
      </c>
      <c r="E30" s="665" t="s">
        <v>63</v>
      </c>
      <c r="F30" s="681"/>
      <c r="G30" s="75" t="str">
        <f>Wages!I35</f>
        <v>CITI07</v>
      </c>
      <c r="H30" s="3"/>
      <c r="I30" s="54" t="s">
        <v>63</v>
      </c>
      <c r="J30" s="4"/>
      <c r="K30" s="75" t="str">
        <f>Wages!M35</f>
        <v>CITI08</v>
      </c>
      <c r="M30" s="54" t="s">
        <v>63</v>
      </c>
      <c r="N30" s="4"/>
      <c r="O30" s="75" t="str">
        <f>Wages!Q35</f>
        <v>CITI09</v>
      </c>
    </row>
    <row r="31" spans="1:15" ht="13.5" thickBot="1" x14ac:dyDescent="0.25">
      <c r="A31" s="665" t="s">
        <v>54</v>
      </c>
      <c r="B31" s="666"/>
      <c r="C31" s="158" t="str">
        <f>$C$13</f>
        <v>January 2026</v>
      </c>
      <c r="E31" s="665" t="s">
        <v>54</v>
      </c>
      <c r="F31" s="681"/>
      <c r="G31" s="158" t="str">
        <f>$C$13</f>
        <v>January 2026</v>
      </c>
      <c r="H31" s="3"/>
      <c r="I31" s="54" t="s">
        <v>54</v>
      </c>
      <c r="J31" s="4"/>
      <c r="K31" s="158" t="str">
        <f>$C$13</f>
        <v>January 2026</v>
      </c>
      <c r="M31" s="54" t="s">
        <v>54</v>
      </c>
      <c r="N31" s="4"/>
      <c r="O31" s="158" t="str">
        <f>$C$13</f>
        <v>January 2026</v>
      </c>
    </row>
    <row r="32" spans="1:15" s="171" customFormat="1" ht="13.5" thickBot="1" x14ac:dyDescent="0.25">
      <c r="A32" s="161" t="s">
        <v>61</v>
      </c>
      <c r="B32" s="162"/>
      <c r="C32" s="169">
        <f>Wages!E37</f>
        <v>0</v>
      </c>
      <c r="E32" s="161" t="str">
        <f>A32</f>
        <v>Gross Salary</v>
      </c>
      <c r="F32" s="162"/>
      <c r="G32" s="170">
        <f>Wages!I37</f>
        <v>80000</v>
      </c>
      <c r="H32" s="162"/>
      <c r="I32" s="161" t="str">
        <f>E32</f>
        <v>Gross Salary</v>
      </c>
      <c r="J32" s="162"/>
      <c r="K32" s="170">
        <f>Wages!M37</f>
        <v>70000</v>
      </c>
      <c r="M32" s="161" t="str">
        <f>I32</f>
        <v>Gross Salary</v>
      </c>
      <c r="N32" s="162"/>
      <c r="O32" s="170">
        <f>Wages!Q37</f>
        <v>70000</v>
      </c>
    </row>
    <row r="33" spans="1:15" x14ac:dyDescent="0.2">
      <c r="A33" s="54" t="s">
        <v>66</v>
      </c>
      <c r="B33" s="3"/>
      <c r="C33" s="77">
        <f>Wages!E38</f>
        <v>0</v>
      </c>
      <c r="E33" s="54" t="s">
        <v>66</v>
      </c>
      <c r="F33" s="3"/>
      <c r="G33" s="75">
        <f>Wages!I38</f>
        <v>0</v>
      </c>
      <c r="H33" s="3"/>
      <c r="I33" s="54" t="s">
        <v>66</v>
      </c>
      <c r="J33" s="3"/>
      <c r="K33" s="75">
        <f>Wages!M38</f>
        <v>0</v>
      </c>
      <c r="M33" s="54" t="s">
        <v>66</v>
      </c>
      <c r="N33" s="3"/>
      <c r="O33" s="75">
        <f>Wages!Q38</f>
        <v>0</v>
      </c>
    </row>
    <row r="34" spans="1:15" x14ac:dyDescent="0.2">
      <c r="A34" s="54" t="s">
        <v>55</v>
      </c>
      <c r="B34" s="3">
        <f>Wages!D39</f>
        <v>0</v>
      </c>
      <c r="C34" s="77"/>
      <c r="E34" s="54" t="s">
        <v>55</v>
      </c>
      <c r="F34" s="3">
        <f>Wages!H39</f>
        <v>0</v>
      </c>
      <c r="G34" s="77"/>
      <c r="H34" s="3"/>
      <c r="I34" s="54" t="str">
        <f>E34</f>
        <v>P.A.Y.E</v>
      </c>
      <c r="J34" s="3">
        <f>Wages!L39</f>
        <v>0</v>
      </c>
      <c r="K34" s="77"/>
      <c r="M34" s="54" t="str">
        <f>I16</f>
        <v>P.A.Y.E</v>
      </c>
      <c r="N34" s="3">
        <f>Wages!P39</f>
        <v>0</v>
      </c>
      <c r="O34" s="77"/>
    </row>
    <row r="35" spans="1:15" x14ac:dyDescent="0.2">
      <c r="A35" s="54" t="str">
        <f>A17</f>
        <v>Xmas Gift/Leave Pay</v>
      </c>
      <c r="C35" s="111">
        <f>Wages!E40</f>
        <v>0</v>
      </c>
      <c r="E35" s="54" t="str">
        <f>A17</f>
        <v>Xmas Gift/Leave Pay</v>
      </c>
      <c r="G35" s="75">
        <f>Wages!I40</f>
        <v>0</v>
      </c>
      <c r="H35" s="3"/>
      <c r="I35" s="54" t="str">
        <f t="shared" ref="I35:I40" si="2">E35</f>
        <v>Xmas Gift/Leave Pay</v>
      </c>
      <c r="K35" s="75">
        <f>Wages!M40</f>
        <v>0</v>
      </c>
      <c r="M35" s="54" t="str">
        <f>I17</f>
        <v>Xmas Gift/Leave Pay</v>
      </c>
      <c r="O35" s="75">
        <f>Wages!Q40</f>
        <v>0</v>
      </c>
    </row>
    <row r="36" spans="1:15" x14ac:dyDescent="0.2">
      <c r="A36" s="54" t="s">
        <v>64</v>
      </c>
      <c r="B36" s="3">
        <f>Wages!D41</f>
        <v>0</v>
      </c>
      <c r="C36" s="111"/>
      <c r="E36" s="54" t="s">
        <v>64</v>
      </c>
      <c r="G36" s="111"/>
      <c r="H36" s="3"/>
      <c r="I36" s="54" t="s">
        <v>64</v>
      </c>
      <c r="K36" s="111"/>
      <c r="M36" s="54" t="s">
        <v>64</v>
      </c>
      <c r="O36" s="111"/>
    </row>
    <row r="37" spans="1:15" x14ac:dyDescent="0.2">
      <c r="A37" s="54" t="str">
        <f>A19</f>
        <v>Loan Instalment</v>
      </c>
      <c r="B37" s="3">
        <f>Wages!D42</f>
        <v>0</v>
      </c>
      <c r="C37" s="76"/>
      <c r="E37" s="54" t="str">
        <f>A19</f>
        <v>Loan Instalment</v>
      </c>
      <c r="F37" s="55">
        <f>Wages!H42</f>
        <v>0</v>
      </c>
      <c r="G37" s="76"/>
      <c r="H37" s="3"/>
      <c r="I37" s="54" t="str">
        <f t="shared" si="2"/>
        <v>Loan Instalment</v>
      </c>
      <c r="J37" s="55">
        <f>Wages!L42</f>
        <v>0</v>
      </c>
      <c r="K37" s="76"/>
      <c r="M37" s="54" t="str">
        <f>I19</f>
        <v>Loan Instalment</v>
      </c>
      <c r="N37" s="55">
        <f>Wages!P42</f>
        <v>0</v>
      </c>
      <c r="O37" s="76"/>
    </row>
    <row r="38" spans="1:15" x14ac:dyDescent="0.2">
      <c r="A38" s="54" t="str">
        <f>A20</f>
        <v>Absence Deduction</v>
      </c>
      <c r="B38" s="3">
        <f>Wages!D43</f>
        <v>0</v>
      </c>
      <c r="C38" s="76"/>
      <c r="E38" s="54" t="str">
        <f>A20</f>
        <v>Absence Deduction</v>
      </c>
      <c r="F38" s="56">
        <f>Wages!H43</f>
        <v>0</v>
      </c>
      <c r="G38" s="76"/>
      <c r="H38" s="3"/>
      <c r="I38" s="54" t="str">
        <f t="shared" si="2"/>
        <v>Absence Deduction</v>
      </c>
      <c r="J38" s="56">
        <f>Wages!L43</f>
        <v>0</v>
      </c>
      <c r="K38" s="76"/>
      <c r="M38" s="54" t="str">
        <f>I20</f>
        <v>Absence Deduction</v>
      </c>
      <c r="N38" s="56">
        <f>Wages!P43</f>
        <v>0</v>
      </c>
      <c r="O38" s="76"/>
    </row>
    <row r="39" spans="1:15" x14ac:dyDescent="0.2">
      <c r="A39" s="74" t="str">
        <f>A21</f>
        <v>Total Deductions</v>
      </c>
      <c r="B39" s="66">
        <f>SUM(B34:B38)</f>
        <v>0</v>
      </c>
      <c r="C39" s="78"/>
      <c r="E39" s="74" t="str">
        <f>A21</f>
        <v>Total Deductions</v>
      </c>
      <c r="F39" s="66">
        <f>SUM(F34:F38)</f>
        <v>0</v>
      </c>
      <c r="G39" s="78"/>
      <c r="H39" s="65"/>
      <c r="I39" s="74" t="str">
        <f>E21</f>
        <v>Total Deductions</v>
      </c>
      <c r="J39" s="66">
        <f>SUM(J34:J38)</f>
        <v>0</v>
      </c>
      <c r="K39" s="78"/>
      <c r="L39" s="64"/>
      <c r="M39" s="74" t="str">
        <f>I21</f>
        <v>Total Deductions</v>
      </c>
      <c r="N39" s="66">
        <f>SUM(N34:N38)</f>
        <v>0</v>
      </c>
      <c r="O39" s="78"/>
    </row>
    <row r="40" spans="1:15" x14ac:dyDescent="0.2">
      <c r="A40" s="54" t="str">
        <f>A22</f>
        <v>Loan Balance</v>
      </c>
      <c r="B40" s="57">
        <f>Wages!D45</f>
        <v>0</v>
      </c>
      <c r="C40" s="76"/>
      <c r="E40" s="54" t="str">
        <f>A22</f>
        <v>Loan Balance</v>
      </c>
      <c r="F40" s="57">
        <f>Wages!H45</f>
        <v>0</v>
      </c>
      <c r="G40" s="76"/>
      <c r="H40" s="3"/>
      <c r="I40" s="54" t="str">
        <f t="shared" si="2"/>
        <v>Loan Balance</v>
      </c>
      <c r="J40" s="57">
        <f>Wages!L45</f>
        <v>0</v>
      </c>
      <c r="K40" s="76"/>
      <c r="M40" s="54" t="str">
        <f>I22</f>
        <v>Loan Balance</v>
      </c>
      <c r="N40" s="57">
        <f>Wages!P45</f>
        <v>0</v>
      </c>
      <c r="O40" s="76"/>
    </row>
    <row r="41" spans="1:15" x14ac:dyDescent="0.2">
      <c r="A41" s="54"/>
      <c r="B41" s="3"/>
      <c r="C41" s="76"/>
      <c r="E41" s="54"/>
      <c r="F41" s="3"/>
      <c r="G41" s="76"/>
      <c r="H41" s="3"/>
      <c r="I41" s="54"/>
      <c r="J41" s="3"/>
      <c r="K41" s="76"/>
      <c r="M41" s="54"/>
      <c r="N41" s="3"/>
      <c r="O41" s="76"/>
    </row>
    <row r="42" spans="1:15" x14ac:dyDescent="0.2">
      <c r="A42" s="133" t="s">
        <v>60</v>
      </c>
      <c r="B42" s="134"/>
      <c r="C42" s="135">
        <f>SUM(C32+C33+C35-B39)</f>
        <v>0</v>
      </c>
      <c r="E42" s="133" t="s">
        <v>60</v>
      </c>
      <c r="F42" s="134"/>
      <c r="G42" s="135">
        <f>SUM(G32+G33+G35-F39)</f>
        <v>80000</v>
      </c>
      <c r="H42" s="3"/>
      <c r="I42" s="133" t="s">
        <v>60</v>
      </c>
      <c r="J42" s="134"/>
      <c r="K42" s="135">
        <f>SUM(K32+K33+K35-J39)</f>
        <v>70000</v>
      </c>
      <c r="M42" s="133" t="s">
        <v>60</v>
      </c>
      <c r="N42" s="134"/>
      <c r="O42" s="135">
        <f>SUM(O32+O33+O35-N39)</f>
        <v>70000</v>
      </c>
    </row>
    <row r="43" spans="1:15" x14ac:dyDescent="0.2">
      <c r="A43" s="58" t="s">
        <v>125</v>
      </c>
      <c r="B43" s="59"/>
      <c r="C43" s="132">
        <f>C42/2</f>
        <v>0</v>
      </c>
      <c r="E43" s="58" t="s">
        <v>125</v>
      </c>
      <c r="F43" s="59"/>
      <c r="G43" s="132">
        <f>G42/2</f>
        <v>40000</v>
      </c>
      <c r="H43" s="3"/>
      <c r="I43" s="58" t="str">
        <f>E43</f>
        <v>Net Pay mid and end of Month</v>
      </c>
      <c r="J43" s="59"/>
      <c r="K43" s="132">
        <f>K42/2</f>
        <v>35000</v>
      </c>
      <c r="M43" s="58" t="str">
        <f>E43</f>
        <v>Net Pay mid and end of Month</v>
      </c>
      <c r="N43" s="59"/>
      <c r="O43" s="132">
        <f>O42/2</f>
        <v>35000</v>
      </c>
    </row>
    <row r="44" spans="1:15" x14ac:dyDescent="0.2">
      <c r="A44" s="4"/>
      <c r="B44" s="3"/>
      <c r="C44" s="79"/>
      <c r="D44" s="3"/>
      <c r="E44" s="4"/>
      <c r="F44" s="3"/>
      <c r="G44" s="79"/>
      <c r="I44" s="4"/>
      <c r="J44" s="3"/>
      <c r="K44" s="79"/>
      <c r="L44" s="3"/>
    </row>
    <row r="46" spans="1:15" ht="15.75" x14ac:dyDescent="0.25">
      <c r="A46" s="667" t="s">
        <v>85</v>
      </c>
      <c r="B46" s="676"/>
      <c r="C46" s="677"/>
      <c r="D46" s="3"/>
      <c r="E46" s="667" t="s">
        <v>85</v>
      </c>
      <c r="F46" s="676"/>
      <c r="G46" s="677"/>
      <c r="I46" s="667" t="s">
        <v>85</v>
      </c>
      <c r="J46" s="676"/>
      <c r="K46" s="677"/>
      <c r="L46" s="3"/>
      <c r="M46" s="667" t="s">
        <v>85</v>
      </c>
      <c r="N46" s="676"/>
      <c r="O46" s="677"/>
    </row>
    <row r="47" spans="1:15" ht="15" x14ac:dyDescent="0.2">
      <c r="A47" s="74" t="s">
        <v>53</v>
      </c>
      <c r="B47" s="670" t="str">
        <f>Wages!D52</f>
        <v>Simikizani Siki</v>
      </c>
      <c r="C47" s="675"/>
      <c r="D47" s="3"/>
      <c r="E47" s="74" t="str">
        <f>A47</f>
        <v>Name of Employee:</v>
      </c>
      <c r="F47" s="670" t="str">
        <f>Wages!H52</f>
        <v>Amini Wecha</v>
      </c>
      <c r="G47" s="675"/>
      <c r="I47" s="74" t="s">
        <v>53</v>
      </c>
      <c r="J47" s="670" t="str">
        <f>Wages!L52</f>
        <v>Tayifolo Mandowa</v>
      </c>
      <c r="K47" s="675"/>
      <c r="L47" s="3"/>
      <c r="M47" s="74" t="s">
        <v>53</v>
      </c>
      <c r="N47" s="670" t="str">
        <f>Wages!P52</f>
        <v>Monica George</v>
      </c>
      <c r="O47" s="675"/>
    </row>
    <row r="48" spans="1:15" x14ac:dyDescent="0.2">
      <c r="A48" s="665" t="s">
        <v>63</v>
      </c>
      <c r="B48" s="681"/>
      <c r="C48" s="75" t="str">
        <f>Wages!E53</f>
        <v>CITI10</v>
      </c>
      <c r="D48" s="3"/>
      <c r="E48" s="665" t="s">
        <v>63</v>
      </c>
      <c r="F48" s="681"/>
      <c r="G48" s="75" t="str">
        <f>Wages!I53</f>
        <v>CITI11</v>
      </c>
      <c r="I48" s="665" t="s">
        <v>63</v>
      </c>
      <c r="J48" s="681"/>
      <c r="K48" s="75" t="str">
        <f>Wages!M53</f>
        <v>CITI12</v>
      </c>
      <c r="L48" s="3"/>
      <c r="M48" s="665" t="s">
        <v>63</v>
      </c>
      <c r="N48" s="681"/>
      <c r="O48" s="75" t="str">
        <f>Wages!Q53</f>
        <v>CITI13</v>
      </c>
    </row>
    <row r="49" spans="1:15" ht="13.5" thickBot="1" x14ac:dyDescent="0.25">
      <c r="A49" s="665" t="s">
        <v>54</v>
      </c>
      <c r="B49" s="681"/>
      <c r="C49" s="158" t="str">
        <f>$C$13</f>
        <v>January 2026</v>
      </c>
      <c r="D49" s="3"/>
      <c r="E49" s="665" t="s">
        <v>54</v>
      </c>
      <c r="F49" s="681"/>
      <c r="G49" s="158" t="str">
        <f>$C$13</f>
        <v>January 2026</v>
      </c>
      <c r="I49" s="665" t="s">
        <v>54</v>
      </c>
      <c r="J49" s="681"/>
      <c r="K49" s="158" t="str">
        <f>$C$13</f>
        <v>January 2026</v>
      </c>
      <c r="L49" s="3"/>
      <c r="M49" s="665" t="s">
        <v>54</v>
      </c>
      <c r="N49" s="681"/>
      <c r="O49" s="158" t="str">
        <f>$C$13</f>
        <v>January 2026</v>
      </c>
    </row>
    <row r="50" spans="1:15" s="171" customFormat="1" ht="13.5" thickBot="1" x14ac:dyDescent="0.25">
      <c r="A50" s="161" t="s">
        <v>61</v>
      </c>
      <c r="B50" s="162"/>
      <c r="C50" s="170">
        <f>Wages!E55</f>
        <v>70000</v>
      </c>
      <c r="D50" s="162"/>
      <c r="E50" s="161" t="str">
        <f>A50</f>
        <v>Gross Salary</v>
      </c>
      <c r="F50" s="162"/>
      <c r="G50" s="170">
        <f>Wages!I55</f>
        <v>70000</v>
      </c>
      <c r="I50" s="161" t="str">
        <f>E50</f>
        <v>Gross Salary</v>
      </c>
      <c r="J50" s="162"/>
      <c r="K50" s="170">
        <f>Wages!M55</f>
        <v>120000</v>
      </c>
      <c r="L50" s="162"/>
      <c r="M50" s="161" t="str">
        <f>I50</f>
        <v>Gross Salary</v>
      </c>
      <c r="N50" s="162"/>
      <c r="O50" s="170">
        <f>Wages!Q55</f>
        <v>80000</v>
      </c>
    </row>
    <row r="51" spans="1:15" x14ac:dyDescent="0.2">
      <c r="A51" s="54" t="s">
        <v>66</v>
      </c>
      <c r="B51" s="3"/>
      <c r="C51" s="75">
        <f>Wages!E56</f>
        <v>0</v>
      </c>
      <c r="D51" s="3"/>
      <c r="E51" s="54" t="s">
        <v>66</v>
      </c>
      <c r="F51" s="3"/>
      <c r="G51" s="75">
        <f>Wages!I56</f>
        <v>0</v>
      </c>
      <c r="I51" s="54" t="s">
        <v>66</v>
      </c>
      <c r="J51" s="3"/>
      <c r="K51" s="75">
        <f>Wages!M56</f>
        <v>0</v>
      </c>
      <c r="L51" s="3"/>
      <c r="M51" s="54" t="s">
        <v>66</v>
      </c>
      <c r="N51" s="3"/>
      <c r="O51" s="75">
        <f>Wages!Q56</f>
        <v>0</v>
      </c>
    </row>
    <row r="52" spans="1:15" x14ac:dyDescent="0.2">
      <c r="A52" s="54" t="s">
        <v>55</v>
      </c>
      <c r="B52" s="3">
        <f>Wages!D57</f>
        <v>0</v>
      </c>
      <c r="C52" s="77"/>
      <c r="D52" s="3"/>
      <c r="E52" s="54" t="str">
        <f>A52</f>
        <v>P.A.Y.E</v>
      </c>
      <c r="F52" s="3">
        <f>Wages!H57</f>
        <v>0</v>
      </c>
      <c r="G52" s="77"/>
      <c r="I52" s="54" t="str">
        <f>M34</f>
        <v>P.A.Y.E</v>
      </c>
      <c r="J52" s="3">
        <f>Wages!L57</f>
        <v>0</v>
      </c>
      <c r="K52" s="77"/>
      <c r="L52" s="3"/>
      <c r="M52" s="54" t="str">
        <f>A126</f>
        <v>CITI06</v>
      </c>
      <c r="N52" s="3">
        <f>Wages!P57</f>
        <v>0</v>
      </c>
      <c r="O52" s="77"/>
    </row>
    <row r="53" spans="1:15" x14ac:dyDescent="0.2">
      <c r="A53" s="54" t="str">
        <f>E35</f>
        <v>Xmas Gift/Leave Pay</v>
      </c>
      <c r="C53" s="75">
        <f>Wages!E58</f>
        <v>0</v>
      </c>
      <c r="D53" s="3"/>
      <c r="E53" s="54" t="str">
        <f>A53</f>
        <v>Xmas Gift/Leave Pay</v>
      </c>
      <c r="G53" s="75">
        <f>Wages!I58</f>
        <v>0</v>
      </c>
      <c r="I53" s="54" t="str">
        <f>M35</f>
        <v>Xmas Gift/Leave Pay</v>
      </c>
      <c r="K53" s="75">
        <f>Wages!M58</f>
        <v>0</v>
      </c>
      <c r="L53" s="3"/>
      <c r="M53" s="54" t="str">
        <f>I53</f>
        <v>Xmas Gift/Leave Pay</v>
      </c>
      <c r="O53" s="75">
        <f>Wages!Q58</f>
        <v>0</v>
      </c>
    </row>
    <row r="54" spans="1:15" x14ac:dyDescent="0.2">
      <c r="A54" s="54" t="s">
        <v>64</v>
      </c>
      <c r="C54" s="111"/>
      <c r="D54" s="3"/>
      <c r="E54" s="54" t="s">
        <v>64</v>
      </c>
      <c r="G54" s="111"/>
      <c r="I54" s="54" t="s">
        <v>64</v>
      </c>
      <c r="K54" s="111"/>
      <c r="L54" s="3"/>
      <c r="M54" s="54" t="s">
        <v>64</v>
      </c>
      <c r="O54" s="111"/>
    </row>
    <row r="55" spans="1:15" x14ac:dyDescent="0.2">
      <c r="A55" s="54" t="str">
        <f>E37</f>
        <v>Loan Instalment</v>
      </c>
      <c r="B55" s="55">
        <f>Wages!D60</f>
        <v>0</v>
      </c>
      <c r="C55" s="76"/>
      <c r="D55" s="3"/>
      <c r="E55" s="54" t="str">
        <f>A55</f>
        <v>Loan Instalment</v>
      </c>
      <c r="F55" s="55">
        <f>Wages!H60</f>
        <v>0</v>
      </c>
      <c r="G55" s="76"/>
      <c r="I55" s="54" t="str">
        <f>M37</f>
        <v>Loan Instalment</v>
      </c>
      <c r="J55" s="55">
        <f>Wages!L60</f>
        <v>0</v>
      </c>
      <c r="K55" s="76"/>
      <c r="L55" s="3"/>
      <c r="M55" s="54" t="str">
        <f>I55</f>
        <v>Loan Instalment</v>
      </c>
      <c r="N55" s="55">
        <f>Wages!P60</f>
        <v>0</v>
      </c>
      <c r="O55" s="76"/>
    </row>
    <row r="56" spans="1:15" x14ac:dyDescent="0.2">
      <c r="A56" s="54" t="str">
        <f>E38</f>
        <v>Absence Deduction</v>
      </c>
      <c r="B56" s="56">
        <f>Wages!D61</f>
        <v>0</v>
      </c>
      <c r="C56" s="76"/>
      <c r="D56" s="3"/>
      <c r="E56" s="54" t="str">
        <f>A56</f>
        <v>Absence Deduction</v>
      </c>
      <c r="F56" s="56">
        <f>Wages!H61</f>
        <v>0</v>
      </c>
      <c r="G56" s="76"/>
      <c r="I56" s="54" t="str">
        <f>M38</f>
        <v>Absence Deduction</v>
      </c>
      <c r="J56" s="56">
        <f>Wages!L61</f>
        <v>0</v>
      </c>
      <c r="K56" s="76"/>
      <c r="L56" s="3"/>
      <c r="M56" s="54" t="str">
        <f>I56</f>
        <v>Absence Deduction</v>
      </c>
      <c r="N56" s="56">
        <f>Wages!P61</f>
        <v>0</v>
      </c>
      <c r="O56" s="76"/>
    </row>
    <row r="57" spans="1:15" x14ac:dyDescent="0.2">
      <c r="A57" s="74" t="str">
        <f>E39</f>
        <v>Total Deductions</v>
      </c>
      <c r="B57" s="66">
        <f>SUM(B52:B56)</f>
        <v>0</v>
      </c>
      <c r="C57" s="78"/>
      <c r="D57" s="65"/>
      <c r="E57" s="74" t="str">
        <f>I39</f>
        <v>Total Deductions</v>
      </c>
      <c r="F57" s="66">
        <f>SUM(F52:F56)</f>
        <v>0</v>
      </c>
      <c r="G57" s="78"/>
      <c r="H57" s="64"/>
      <c r="I57" s="74" t="str">
        <f>M39</f>
        <v>Total Deductions</v>
      </c>
      <c r="J57" s="66">
        <f>SUM(J52:J56)</f>
        <v>0</v>
      </c>
      <c r="K57" s="78"/>
      <c r="L57" s="65"/>
      <c r="M57" s="74" t="str">
        <f>I57</f>
        <v>Total Deductions</v>
      </c>
      <c r="N57" s="66">
        <f>+N55+N56</f>
        <v>0</v>
      </c>
      <c r="O57" s="78"/>
    </row>
    <row r="58" spans="1:15" x14ac:dyDescent="0.2">
      <c r="A58" s="54" t="str">
        <f>E40</f>
        <v>Loan Balance</v>
      </c>
      <c r="B58" s="57">
        <f>Wages!D63</f>
        <v>0</v>
      </c>
      <c r="C58" s="76"/>
      <c r="D58" s="3"/>
      <c r="E58" s="54" t="str">
        <f>A58</f>
        <v>Loan Balance</v>
      </c>
      <c r="F58" s="57">
        <f>Wages!H63</f>
        <v>0</v>
      </c>
      <c r="G58" s="76"/>
      <c r="I58" s="54" t="str">
        <f>M40</f>
        <v>Loan Balance</v>
      </c>
      <c r="J58" s="57">
        <f>Wages!L63</f>
        <v>0</v>
      </c>
      <c r="K58" s="76"/>
      <c r="L58" s="3"/>
      <c r="M58" s="54" t="str">
        <f>I58</f>
        <v>Loan Balance</v>
      </c>
      <c r="N58" s="57">
        <f>Wages!P63</f>
        <v>0</v>
      </c>
      <c r="O58" s="76"/>
    </row>
    <row r="59" spans="1:15" x14ac:dyDescent="0.2">
      <c r="A59" s="54"/>
      <c r="B59" s="3"/>
      <c r="C59" s="76"/>
      <c r="D59" s="3"/>
      <c r="E59" s="54"/>
      <c r="F59" s="3"/>
      <c r="G59" s="76"/>
      <c r="I59" s="54"/>
      <c r="J59" s="3"/>
      <c r="K59" s="76"/>
      <c r="L59" s="3"/>
      <c r="M59" s="54"/>
      <c r="N59" s="3"/>
      <c r="O59" s="76"/>
    </row>
    <row r="60" spans="1:15" x14ac:dyDescent="0.2">
      <c r="A60" s="133" t="s">
        <v>60</v>
      </c>
      <c r="B60" s="134"/>
      <c r="C60" s="135">
        <f>SUM(C50+C51+C53-B57)</f>
        <v>70000</v>
      </c>
      <c r="D60" s="3"/>
      <c r="E60" s="133" t="s">
        <v>60</v>
      </c>
      <c r="F60" s="134"/>
      <c r="G60" s="135">
        <f>SUM(G50+G51+G53-F57)</f>
        <v>70000</v>
      </c>
      <c r="I60" s="133" t="s">
        <v>60</v>
      </c>
      <c r="J60" s="134"/>
      <c r="K60" s="135">
        <f>SUM(K50+K51+K53-J57)</f>
        <v>120000</v>
      </c>
      <c r="L60" s="3"/>
      <c r="M60" s="133" t="s">
        <v>60</v>
      </c>
      <c r="N60" s="134"/>
      <c r="O60" s="135">
        <f>SUM(O50+O51+O53-N57)</f>
        <v>80000</v>
      </c>
    </row>
    <row r="61" spans="1:15" x14ac:dyDescent="0.2">
      <c r="A61" s="58" t="s">
        <v>125</v>
      </c>
      <c r="B61" s="59"/>
      <c r="C61" s="132">
        <f>C60/2</f>
        <v>35000</v>
      </c>
      <c r="D61" s="3"/>
      <c r="E61" s="58" t="str">
        <f>A61</f>
        <v>Net Pay mid and end of Month</v>
      </c>
      <c r="F61" s="59"/>
      <c r="G61" s="132">
        <f>G60/2</f>
        <v>35000</v>
      </c>
      <c r="I61" s="58" t="str">
        <f>A61</f>
        <v>Net Pay mid and end of Month</v>
      </c>
      <c r="J61" s="59"/>
      <c r="K61" s="132">
        <f>K60/2</f>
        <v>60000</v>
      </c>
      <c r="L61" s="3"/>
      <c r="M61" s="58" t="str">
        <f>A61</f>
        <v>Net Pay mid and end of Month</v>
      </c>
      <c r="N61" s="59"/>
      <c r="O61" s="132">
        <f>O60/2</f>
        <v>40000</v>
      </c>
    </row>
    <row r="64" spans="1:15" ht="15.75" x14ac:dyDescent="0.25">
      <c r="A64" s="667" t="s">
        <v>85</v>
      </c>
      <c r="B64" s="676"/>
      <c r="C64" s="677"/>
      <c r="D64" s="3"/>
      <c r="E64" s="667" t="s">
        <v>85</v>
      </c>
      <c r="F64" s="676"/>
      <c r="G64" s="677"/>
      <c r="I64" s="667" t="s">
        <v>85</v>
      </c>
      <c r="J64" s="676"/>
      <c r="K64" s="677"/>
      <c r="L64" s="3"/>
      <c r="M64" s="667" t="s">
        <v>85</v>
      </c>
      <c r="N64" s="676"/>
      <c r="O64" s="677"/>
    </row>
    <row r="65" spans="1:15" ht="15" x14ac:dyDescent="0.2">
      <c r="A65" s="74" t="s">
        <v>53</v>
      </c>
      <c r="B65" s="670" t="str">
        <f>Wages!D70</f>
        <v>Madalitso Baluti</v>
      </c>
      <c r="C65" s="675"/>
      <c r="D65" s="3"/>
      <c r="E65" s="74" t="str">
        <f>A65</f>
        <v>Name of Employee:</v>
      </c>
      <c r="F65" s="670" t="str">
        <f>Wages!H70</f>
        <v>Peter James</v>
      </c>
      <c r="G65" s="675"/>
      <c r="I65" s="74" t="s">
        <v>53</v>
      </c>
      <c r="J65" s="670" t="str">
        <f>Wages!L70</f>
        <v>Maggie Billy</v>
      </c>
      <c r="K65" s="675"/>
      <c r="L65" s="3"/>
      <c r="M65" s="74" t="s">
        <v>53</v>
      </c>
      <c r="N65" s="670" t="str">
        <f>Wages!P70</f>
        <v xml:space="preserve">vacant  </v>
      </c>
      <c r="O65" s="675"/>
    </row>
    <row r="66" spans="1:15" x14ac:dyDescent="0.2">
      <c r="A66" s="665" t="s">
        <v>63</v>
      </c>
      <c r="B66" s="681"/>
      <c r="C66" s="75" t="str">
        <f>Wages!E71</f>
        <v>CITI14</v>
      </c>
      <c r="D66" s="3"/>
      <c r="E66" s="665" t="s">
        <v>63</v>
      </c>
      <c r="F66" s="681"/>
      <c r="G66" s="75" t="str">
        <f>Wages!I71</f>
        <v>CITI15</v>
      </c>
      <c r="I66" s="665" t="s">
        <v>63</v>
      </c>
      <c r="J66" s="681"/>
      <c r="K66" s="75" t="str">
        <f>Wages!M71</f>
        <v>CITI16</v>
      </c>
      <c r="L66" s="3"/>
      <c r="M66" s="665" t="s">
        <v>63</v>
      </c>
      <c r="N66" s="681"/>
      <c r="O66" s="75" t="str">
        <f>Wages!Q71</f>
        <v>CITI17</v>
      </c>
    </row>
    <row r="67" spans="1:15" ht="13.5" thickBot="1" x14ac:dyDescent="0.25">
      <c r="A67" s="665" t="s">
        <v>54</v>
      </c>
      <c r="B67" s="681"/>
      <c r="C67" s="158" t="str">
        <f>$C$13</f>
        <v>January 2026</v>
      </c>
      <c r="D67" s="3"/>
      <c r="E67" s="665" t="s">
        <v>54</v>
      </c>
      <c r="F67" s="681"/>
      <c r="G67" s="158" t="str">
        <f>$C$13</f>
        <v>January 2026</v>
      </c>
      <c r="I67" s="665" t="s">
        <v>54</v>
      </c>
      <c r="J67" s="681"/>
      <c r="K67" s="158" t="str">
        <f>$C$13</f>
        <v>January 2026</v>
      </c>
      <c r="L67" s="3"/>
      <c r="M67" s="665" t="s">
        <v>54</v>
      </c>
      <c r="N67" s="681"/>
      <c r="O67" s="158" t="str">
        <f>$C$13</f>
        <v>January 2026</v>
      </c>
    </row>
    <row r="68" spans="1:15" s="171" customFormat="1" ht="13.5" thickBot="1" x14ac:dyDescent="0.25">
      <c r="A68" s="161" t="s">
        <v>61</v>
      </c>
      <c r="B68" s="162"/>
      <c r="C68" s="170">
        <f>Wages!E73</f>
        <v>90000</v>
      </c>
      <c r="D68" s="162"/>
      <c r="E68" s="161" t="str">
        <f>A68</f>
        <v>Gross Salary</v>
      </c>
      <c r="F68" s="162"/>
      <c r="G68" s="170">
        <f>Wages!I73</f>
        <v>60000</v>
      </c>
      <c r="I68" s="161" t="str">
        <f>E68</f>
        <v>Gross Salary</v>
      </c>
      <c r="J68" s="162"/>
      <c r="K68" s="170">
        <f>Wages!M73</f>
        <v>80000</v>
      </c>
      <c r="L68" s="162"/>
      <c r="M68" s="161" t="str">
        <f>I68</f>
        <v>Gross Salary</v>
      </c>
      <c r="N68" s="162"/>
      <c r="O68" s="170">
        <f>Wages!Q73</f>
        <v>0</v>
      </c>
    </row>
    <row r="69" spans="1:15" x14ac:dyDescent="0.2">
      <c r="A69" s="54" t="s">
        <v>66</v>
      </c>
      <c r="B69" s="3"/>
      <c r="C69" s="75">
        <f>Wages!E74</f>
        <v>0</v>
      </c>
      <c r="D69" s="3"/>
      <c r="E69" s="54" t="s">
        <v>66</v>
      </c>
      <c r="F69" s="3"/>
      <c r="G69" s="75">
        <f>Wages!I74</f>
        <v>0</v>
      </c>
      <c r="I69" s="54" t="s">
        <v>66</v>
      </c>
      <c r="J69" s="3"/>
      <c r="K69" s="75">
        <f>Wages!M74</f>
        <v>0</v>
      </c>
      <c r="L69" s="3"/>
      <c r="M69" s="54" t="s">
        <v>66</v>
      </c>
      <c r="N69" s="3"/>
      <c r="O69" s="75">
        <f>Wages!Q74</f>
        <v>0</v>
      </c>
    </row>
    <row r="70" spans="1:15" x14ac:dyDescent="0.2">
      <c r="A70" s="54" t="s">
        <v>55</v>
      </c>
      <c r="B70" s="3">
        <f>Wages!D75</f>
        <v>0</v>
      </c>
      <c r="C70" s="77"/>
      <c r="D70" s="3"/>
      <c r="E70" s="54" t="str">
        <f>A70</f>
        <v>P.A.Y.E</v>
      </c>
      <c r="F70" s="3">
        <f>Wages!H75</f>
        <v>0</v>
      </c>
      <c r="G70" s="77"/>
      <c r="I70" s="54" t="str">
        <f>I52</f>
        <v>P.A.Y.E</v>
      </c>
      <c r="J70" s="3">
        <f>Wages!L75</f>
        <v>0</v>
      </c>
      <c r="K70" s="77"/>
      <c r="L70" s="3"/>
      <c r="M70" s="54" t="str">
        <f>M52</f>
        <v>CITI06</v>
      </c>
      <c r="N70" s="3">
        <f>Wages!P75</f>
        <v>0</v>
      </c>
      <c r="O70" s="77"/>
    </row>
    <row r="71" spans="1:15" x14ac:dyDescent="0.2">
      <c r="A71" s="54" t="str">
        <f>A53</f>
        <v>Xmas Gift/Leave Pay</v>
      </c>
      <c r="C71" s="75">
        <f>Wages!E76</f>
        <v>0</v>
      </c>
      <c r="D71" s="3"/>
      <c r="E71" s="54" t="str">
        <f>A71</f>
        <v>Xmas Gift/Leave Pay</v>
      </c>
      <c r="G71" s="75">
        <f>Wages!I76</f>
        <v>0</v>
      </c>
      <c r="I71" s="54" t="str">
        <f>I53</f>
        <v>Xmas Gift/Leave Pay</v>
      </c>
      <c r="K71" s="75">
        <f>Wages!M76</f>
        <v>0</v>
      </c>
      <c r="L71" s="3"/>
      <c r="M71" s="54" t="str">
        <f>I71</f>
        <v>Xmas Gift/Leave Pay</v>
      </c>
      <c r="O71" s="75">
        <f>Wages!Q76</f>
        <v>0</v>
      </c>
    </row>
    <row r="72" spans="1:15" x14ac:dyDescent="0.2">
      <c r="A72" s="54" t="s">
        <v>64</v>
      </c>
      <c r="C72" s="111"/>
      <c r="D72" s="3"/>
      <c r="E72" s="54" t="s">
        <v>64</v>
      </c>
      <c r="G72" s="111"/>
      <c r="I72" s="54" t="s">
        <v>64</v>
      </c>
      <c r="K72" s="111"/>
      <c r="L72" s="3"/>
      <c r="M72" s="54" t="s">
        <v>64</v>
      </c>
      <c r="O72" s="111"/>
    </row>
    <row r="73" spans="1:15" x14ac:dyDescent="0.2">
      <c r="A73" s="54" t="str">
        <f>A55</f>
        <v>Loan Instalment</v>
      </c>
      <c r="B73" s="55">
        <f>Wages!D78</f>
        <v>0</v>
      </c>
      <c r="C73" s="76"/>
      <c r="D73" s="3"/>
      <c r="E73" s="54" t="str">
        <f>A73</f>
        <v>Loan Instalment</v>
      </c>
      <c r="F73" s="55">
        <f>Wages!H78</f>
        <v>0</v>
      </c>
      <c r="G73" s="76"/>
      <c r="I73" s="54" t="str">
        <f>I55</f>
        <v>Loan Instalment</v>
      </c>
      <c r="J73" s="55">
        <f>Wages!L78</f>
        <v>0</v>
      </c>
      <c r="K73" s="76"/>
      <c r="L73" s="3"/>
      <c r="M73" s="54" t="str">
        <f>I73</f>
        <v>Loan Instalment</v>
      </c>
      <c r="N73" s="55">
        <f>Wages!P78</f>
        <v>0</v>
      </c>
      <c r="O73" s="76"/>
    </row>
    <row r="74" spans="1:15" x14ac:dyDescent="0.2">
      <c r="A74" s="54" t="str">
        <f>A56</f>
        <v>Absence Deduction</v>
      </c>
      <c r="B74" s="56">
        <f>Wages!D79</f>
        <v>0</v>
      </c>
      <c r="C74" s="76"/>
      <c r="D74" s="3"/>
      <c r="E74" s="54" t="str">
        <f>A74</f>
        <v>Absence Deduction</v>
      </c>
      <c r="F74" s="56">
        <f>Wages!I79</f>
        <v>0</v>
      </c>
      <c r="G74" s="76"/>
      <c r="I74" s="54" t="str">
        <f>I56</f>
        <v>Absence Deduction</v>
      </c>
      <c r="J74" s="56">
        <f>Wages!L79</f>
        <v>0</v>
      </c>
      <c r="K74" s="76"/>
      <c r="L74" s="3"/>
      <c r="M74" s="54" t="str">
        <f>I74</f>
        <v>Absence Deduction</v>
      </c>
      <c r="N74" s="56">
        <f>Wages!P79</f>
        <v>0</v>
      </c>
      <c r="O74" s="76"/>
    </row>
    <row r="75" spans="1:15" x14ac:dyDescent="0.2">
      <c r="A75" s="74" t="str">
        <f>A57</f>
        <v>Total Deductions</v>
      </c>
      <c r="B75" s="66">
        <f>SUM(B70:B74)</f>
        <v>0</v>
      </c>
      <c r="C75" s="78"/>
      <c r="D75" s="65"/>
      <c r="E75" s="74" t="str">
        <f>E57</f>
        <v>Total Deductions</v>
      </c>
      <c r="F75" s="66">
        <f>SUM(F70:F74)</f>
        <v>0</v>
      </c>
      <c r="G75" s="78"/>
      <c r="H75" s="64"/>
      <c r="I75" s="74" t="str">
        <f>I57</f>
        <v>Total Deductions</v>
      </c>
      <c r="J75" s="66">
        <f>SUM(J70:J74)</f>
        <v>0</v>
      </c>
      <c r="K75" s="78"/>
      <c r="L75" s="65"/>
      <c r="M75" s="74" t="str">
        <f>I75</f>
        <v>Total Deductions</v>
      </c>
      <c r="N75" s="66">
        <f>+N73+N74</f>
        <v>0</v>
      </c>
      <c r="O75" s="78"/>
    </row>
    <row r="76" spans="1:15" x14ac:dyDescent="0.2">
      <c r="A76" s="54" t="str">
        <f>A58</f>
        <v>Loan Balance</v>
      </c>
      <c r="B76" s="57">
        <f>Wages!D81</f>
        <v>0</v>
      </c>
      <c r="C76" s="76"/>
      <c r="D76" s="3"/>
      <c r="E76" s="54" t="str">
        <f>A76</f>
        <v>Loan Balance</v>
      </c>
      <c r="F76" s="57">
        <f>Wages!H81</f>
        <v>0</v>
      </c>
      <c r="G76" s="76"/>
      <c r="I76" s="54" t="str">
        <f>I58</f>
        <v>Loan Balance</v>
      </c>
      <c r="J76" s="57">
        <f>Wages!L81</f>
        <v>0</v>
      </c>
      <c r="K76" s="76"/>
      <c r="L76" s="3"/>
      <c r="M76" s="54" t="str">
        <f>I76</f>
        <v>Loan Balance</v>
      </c>
      <c r="N76" s="57">
        <f>Wages!P81</f>
        <v>0</v>
      </c>
      <c r="O76" s="76"/>
    </row>
    <row r="77" spans="1:15" x14ac:dyDescent="0.2">
      <c r="A77" s="54"/>
      <c r="B77" s="3"/>
      <c r="C77" s="76"/>
      <c r="D77" s="3"/>
      <c r="E77" s="54"/>
      <c r="F77" s="3"/>
      <c r="G77" s="76"/>
      <c r="I77" s="54"/>
      <c r="J77" s="3"/>
      <c r="K77" s="76"/>
      <c r="L77" s="3"/>
      <c r="M77" s="54"/>
      <c r="N77" s="3"/>
      <c r="O77" s="76"/>
    </row>
    <row r="78" spans="1:15" x14ac:dyDescent="0.2">
      <c r="A78" s="133" t="s">
        <v>60</v>
      </c>
      <c r="B78" s="134"/>
      <c r="C78" s="135">
        <f>SUM(C68+C69+C71-B75)</f>
        <v>90000</v>
      </c>
      <c r="D78" s="3"/>
      <c r="E78" s="133" t="s">
        <v>60</v>
      </c>
      <c r="F78" s="134"/>
      <c r="G78" s="135">
        <f>SUM(G68+G69+G71-F75)</f>
        <v>60000</v>
      </c>
      <c r="I78" s="133" t="s">
        <v>60</v>
      </c>
      <c r="J78" s="134"/>
      <c r="K78" s="135">
        <f>SUM(K68+K69+K71-J75)</f>
        <v>80000</v>
      </c>
      <c r="L78" s="3"/>
      <c r="M78" s="133" t="s">
        <v>60</v>
      </c>
      <c r="N78" s="134"/>
      <c r="O78" s="135">
        <f>SUM(O68+O69+O71-N75)</f>
        <v>0</v>
      </c>
    </row>
    <row r="79" spans="1:15" x14ac:dyDescent="0.2">
      <c r="A79" s="58" t="s">
        <v>125</v>
      </c>
      <c r="B79" s="59"/>
      <c r="C79" s="132">
        <f>C78/2</f>
        <v>45000</v>
      </c>
      <c r="D79" s="3"/>
      <c r="E79" s="58" t="str">
        <f>A79</f>
        <v>Net Pay mid and end of Month</v>
      </c>
      <c r="F79" s="59"/>
      <c r="G79" s="132">
        <f>G78/2</f>
        <v>30000</v>
      </c>
      <c r="I79" s="58" t="str">
        <f>A79</f>
        <v>Net Pay mid and end of Month</v>
      </c>
      <c r="J79" s="59"/>
      <c r="K79" s="132">
        <f>K78/2</f>
        <v>40000</v>
      </c>
      <c r="L79" s="3"/>
      <c r="M79" s="58" t="str">
        <f>A79</f>
        <v>Net Pay mid and end of Month</v>
      </c>
      <c r="N79" s="59"/>
      <c r="O79" s="132">
        <f>O78/2</f>
        <v>0</v>
      </c>
    </row>
    <row r="82" spans="1:15" ht="15.75" x14ac:dyDescent="0.25">
      <c r="A82" s="667" t="s">
        <v>85</v>
      </c>
      <c r="B82" s="676"/>
      <c r="C82" s="677"/>
      <c r="E82" s="667" t="s">
        <v>85</v>
      </c>
      <c r="F82" s="676"/>
      <c r="G82" s="677"/>
      <c r="I82" s="667" t="s">
        <v>85</v>
      </c>
      <c r="J82" s="676"/>
      <c r="K82" s="677"/>
      <c r="M82" s="667" t="s">
        <v>85</v>
      </c>
      <c r="N82" s="676"/>
      <c r="O82" s="677"/>
    </row>
    <row r="83" spans="1:15" ht="15" x14ac:dyDescent="0.2">
      <c r="A83" s="74" t="s">
        <v>53</v>
      </c>
      <c r="B83" s="670" t="str">
        <f>Wages!D88</f>
        <v>Esnat Adam</v>
      </c>
      <c r="C83" s="675"/>
      <c r="E83" s="74" t="s">
        <v>53</v>
      </c>
      <c r="F83" s="729" t="str">
        <f>Wages!L123</f>
        <v>Agness  Mponda</v>
      </c>
      <c r="G83" s="730"/>
      <c r="I83" s="74" t="s">
        <v>53</v>
      </c>
      <c r="J83" s="729" t="str">
        <f>Wages!P123</f>
        <v>Elizabeth Chinkono</v>
      </c>
      <c r="K83" s="730"/>
      <c r="M83" s="74" t="s">
        <v>53</v>
      </c>
      <c r="N83" s="670" t="str">
        <f>Wages!D141</f>
        <v xml:space="preserve">vacant  </v>
      </c>
      <c r="O83" s="675"/>
    </row>
    <row r="84" spans="1:15" x14ac:dyDescent="0.2">
      <c r="A84" s="665" t="s">
        <v>63</v>
      </c>
      <c r="B84" s="681"/>
      <c r="C84" s="75" t="str">
        <f>Wages!E89</f>
        <v>CITI18</v>
      </c>
      <c r="E84" s="665" t="s">
        <v>63</v>
      </c>
      <c r="F84" s="681"/>
      <c r="G84" s="582" t="str">
        <f>Wages!M124</f>
        <v>CITI28</v>
      </c>
      <c r="I84" s="665" t="s">
        <v>63</v>
      </c>
      <c r="J84" s="681"/>
      <c r="K84" s="582" t="str">
        <f>Wages!Q124</f>
        <v>CITI29</v>
      </c>
      <c r="M84" s="665" t="s">
        <v>63</v>
      </c>
      <c r="N84" s="681"/>
      <c r="O84" s="582" t="str">
        <f>Wages!E142</f>
        <v>CITI30</v>
      </c>
    </row>
    <row r="85" spans="1:15" ht="13.5" thickBot="1" x14ac:dyDescent="0.25">
      <c r="A85" s="665" t="s">
        <v>54</v>
      </c>
      <c r="B85" s="681"/>
      <c r="C85" s="158" t="str">
        <f>$C$13</f>
        <v>January 2026</v>
      </c>
      <c r="E85" s="665" t="s">
        <v>54</v>
      </c>
      <c r="F85" s="681"/>
      <c r="G85" s="158" t="str">
        <f>$C$13</f>
        <v>January 2026</v>
      </c>
      <c r="I85" s="665" t="s">
        <v>54</v>
      </c>
      <c r="J85" s="681"/>
      <c r="K85" s="158" t="str">
        <f>$C$13</f>
        <v>January 2026</v>
      </c>
      <c r="M85" s="665" t="s">
        <v>54</v>
      </c>
      <c r="N85" s="681"/>
      <c r="O85" s="158" t="str">
        <f>$C$13</f>
        <v>January 2026</v>
      </c>
    </row>
    <row r="86" spans="1:15" ht="13.5" thickBot="1" x14ac:dyDescent="0.25">
      <c r="A86" s="161" t="s">
        <v>61</v>
      </c>
      <c r="B86" s="162"/>
      <c r="C86" s="170">
        <f>Wages!E91</f>
        <v>80000</v>
      </c>
      <c r="E86" s="161" t="s">
        <v>61</v>
      </c>
      <c r="F86" s="162"/>
      <c r="G86" s="576">
        <f>Wages!M126</f>
        <v>80000</v>
      </c>
      <c r="I86" s="161" t="s">
        <v>61</v>
      </c>
      <c r="J86" s="162"/>
      <c r="K86" s="160">
        <f>Wages!Q126</f>
        <v>100000</v>
      </c>
      <c r="M86" s="161" t="s">
        <v>61</v>
      </c>
      <c r="N86" s="162"/>
      <c r="O86" s="576">
        <f>Wages!E144</f>
        <v>0</v>
      </c>
    </row>
    <row r="87" spans="1:15" x14ac:dyDescent="0.2">
      <c r="A87" s="54" t="s">
        <v>66</v>
      </c>
      <c r="B87" s="3"/>
      <c r="C87" s="75">
        <f>Wages!E92</f>
        <v>0</v>
      </c>
      <c r="E87" s="54" t="s">
        <v>66</v>
      </c>
      <c r="F87" s="3"/>
      <c r="G87" s="410">
        <f>Wages!M127</f>
        <v>0</v>
      </c>
      <c r="I87" s="54" t="s">
        <v>66</v>
      </c>
      <c r="J87" s="3"/>
      <c r="K87" s="158">
        <f>Wages!Q127</f>
        <v>0</v>
      </c>
      <c r="M87" s="54" t="s">
        <v>66</v>
      </c>
      <c r="N87" s="3"/>
      <c r="O87" s="410">
        <f>Wages!E145</f>
        <v>0</v>
      </c>
    </row>
    <row r="88" spans="1:15" x14ac:dyDescent="0.2">
      <c r="A88" s="54" t="s">
        <v>55</v>
      </c>
      <c r="B88" s="3">
        <f>Wages!D93</f>
        <v>0</v>
      </c>
      <c r="C88" s="77"/>
      <c r="E88" s="54" t="s">
        <v>55</v>
      </c>
      <c r="F88" s="3">
        <f>Wages!L128</f>
        <v>0</v>
      </c>
      <c r="G88" s="410"/>
      <c r="I88" s="54" t="s">
        <v>55</v>
      </c>
      <c r="J88" s="3">
        <f>Wages!P128</f>
        <v>0</v>
      </c>
      <c r="K88" s="158" t="s">
        <v>22</v>
      </c>
      <c r="M88" s="54" t="s">
        <v>55</v>
      </c>
      <c r="N88" s="3">
        <f>Wages!D146</f>
        <v>0</v>
      </c>
      <c r="O88" s="410"/>
    </row>
    <row r="89" spans="1:15" x14ac:dyDescent="0.2">
      <c r="A89" s="54" t="str">
        <f>A71</f>
        <v>Xmas Gift/Leave Pay</v>
      </c>
      <c r="C89" s="75">
        <f>Wages!E94</f>
        <v>0</v>
      </c>
      <c r="E89" s="54" t="str">
        <f>E71</f>
        <v>Xmas Gift/Leave Pay</v>
      </c>
      <c r="G89" s="410">
        <f>Wages!M129</f>
        <v>0</v>
      </c>
      <c r="I89" s="54" t="str">
        <f>I71</f>
        <v>Xmas Gift/Leave Pay</v>
      </c>
      <c r="K89" s="158">
        <f>Wages!Q129</f>
        <v>0</v>
      </c>
      <c r="M89" s="54" t="str">
        <f>M71</f>
        <v>Xmas Gift/Leave Pay</v>
      </c>
      <c r="O89" s="410"/>
    </row>
    <row r="90" spans="1:15" x14ac:dyDescent="0.2">
      <c r="A90" s="54" t="s">
        <v>64</v>
      </c>
      <c r="C90" s="111"/>
      <c r="E90" s="54" t="s">
        <v>64</v>
      </c>
      <c r="G90" s="410"/>
      <c r="I90" s="54" t="s">
        <v>64</v>
      </c>
      <c r="K90" s="158" t="s">
        <v>22</v>
      </c>
      <c r="M90" s="54" t="s">
        <v>64</v>
      </c>
      <c r="O90" s="410"/>
    </row>
    <row r="91" spans="1:15" x14ac:dyDescent="0.2">
      <c r="A91" s="54" t="str">
        <f>A73</f>
        <v>Loan Instalment</v>
      </c>
      <c r="B91" s="55">
        <f>Wages!D96</f>
        <v>0</v>
      </c>
      <c r="C91" s="76"/>
      <c r="E91" s="54" t="str">
        <f>E73</f>
        <v>Loan Instalment</v>
      </c>
      <c r="F91" s="55">
        <f>Wages!L131</f>
        <v>0</v>
      </c>
      <c r="G91" s="410"/>
      <c r="I91" s="54" t="str">
        <f>I73</f>
        <v>Loan Instalment</v>
      </c>
      <c r="J91" s="55">
        <f>Wages!P131</f>
        <v>0</v>
      </c>
      <c r="K91" s="158" t="s">
        <v>22</v>
      </c>
      <c r="M91" s="54" t="str">
        <f>M73</f>
        <v>Loan Instalment</v>
      </c>
      <c r="N91" s="55">
        <f>Wages!D149</f>
        <v>0</v>
      </c>
      <c r="O91" s="410"/>
    </row>
    <row r="92" spans="1:15" x14ac:dyDescent="0.2">
      <c r="A92" s="54" t="str">
        <f>A74</f>
        <v>Absence Deduction</v>
      </c>
      <c r="B92" s="56">
        <f>Wages!D97</f>
        <v>0</v>
      </c>
      <c r="C92" s="76"/>
      <c r="E92" s="54" t="str">
        <f>E74</f>
        <v>Absence Deduction</v>
      </c>
      <c r="F92" s="56">
        <f>Wages!L132</f>
        <v>0</v>
      </c>
      <c r="G92" s="410"/>
      <c r="I92" s="54" t="str">
        <f>I74</f>
        <v>Absence Deduction</v>
      </c>
      <c r="J92" s="56">
        <f>Wages!P132</f>
        <v>0</v>
      </c>
      <c r="K92" s="158" t="s">
        <v>22</v>
      </c>
      <c r="M92" s="54" t="str">
        <f>M74</f>
        <v>Absence Deduction</v>
      </c>
      <c r="N92" s="56">
        <f>Wages!D150</f>
        <v>0</v>
      </c>
      <c r="O92" s="410"/>
    </row>
    <row r="93" spans="1:15" x14ac:dyDescent="0.2">
      <c r="A93" s="74" t="str">
        <f>A75</f>
        <v>Total Deductions</v>
      </c>
      <c r="B93" s="66">
        <f>Wages!D98</f>
        <v>0</v>
      </c>
      <c r="C93" s="78"/>
      <c r="E93" s="74" t="str">
        <f>E75</f>
        <v>Total Deductions</v>
      </c>
      <c r="F93" s="66">
        <f>Wages!L133</f>
        <v>0</v>
      </c>
      <c r="G93" s="410"/>
      <c r="I93" s="74" t="str">
        <f>I75</f>
        <v>Total Deductions</v>
      </c>
      <c r="J93" s="66">
        <f>Wages!P133</f>
        <v>0</v>
      </c>
      <c r="K93" s="158" t="s">
        <v>22</v>
      </c>
      <c r="M93" s="74" t="str">
        <f>M75</f>
        <v>Total Deductions</v>
      </c>
      <c r="N93" s="66">
        <f>Wages!D151</f>
        <v>0</v>
      </c>
      <c r="O93" s="410"/>
    </row>
    <row r="94" spans="1:15" x14ac:dyDescent="0.2">
      <c r="A94" s="54" t="str">
        <f>A76</f>
        <v>Loan Balance</v>
      </c>
      <c r="B94" s="57">
        <f>Wages!D99</f>
        <v>0</v>
      </c>
      <c r="C94" s="76"/>
      <c r="E94" s="54" t="str">
        <f>E76</f>
        <v>Loan Balance</v>
      </c>
      <c r="F94" s="57">
        <f>Wages!L134</f>
        <v>0</v>
      </c>
      <c r="G94" s="410"/>
      <c r="I94" s="54" t="str">
        <f>I76</f>
        <v>Loan Balance</v>
      </c>
      <c r="J94" s="57">
        <f>Wages!P134</f>
        <v>0</v>
      </c>
      <c r="K94" s="158" t="s">
        <v>22</v>
      </c>
      <c r="M94" s="54" t="str">
        <f>M76</f>
        <v>Loan Balance</v>
      </c>
      <c r="N94" s="57">
        <f>Wages!D152</f>
        <v>0</v>
      </c>
      <c r="O94" s="410"/>
    </row>
    <row r="95" spans="1:15" x14ac:dyDescent="0.2">
      <c r="A95" s="54"/>
      <c r="B95" s="3"/>
      <c r="C95" s="76"/>
      <c r="E95" s="54"/>
      <c r="F95" s="3"/>
      <c r="G95" s="410"/>
      <c r="I95" s="54"/>
      <c r="J95" s="3"/>
      <c r="K95" s="158" t="s">
        <v>22</v>
      </c>
      <c r="M95" s="54"/>
      <c r="N95" s="3"/>
      <c r="O95" s="410"/>
    </row>
    <row r="96" spans="1:15" x14ac:dyDescent="0.2">
      <c r="A96" s="133" t="s">
        <v>60</v>
      </c>
      <c r="B96" s="134"/>
      <c r="C96" s="135">
        <f>Wages!E101</f>
        <v>80000</v>
      </c>
      <c r="E96" s="133" t="s">
        <v>60</v>
      </c>
      <c r="F96" s="134"/>
      <c r="G96" s="579">
        <f>Wages!M136</f>
        <v>80000</v>
      </c>
      <c r="I96" s="133" t="s">
        <v>60</v>
      </c>
      <c r="J96" s="134"/>
      <c r="K96" s="589">
        <f>Wages!Q136</f>
        <v>100000</v>
      </c>
      <c r="M96" s="133" t="s">
        <v>60</v>
      </c>
      <c r="N96" s="134"/>
      <c r="O96" s="579">
        <f>Wages!E154</f>
        <v>0</v>
      </c>
    </row>
    <row r="97" spans="1:15" x14ac:dyDescent="0.2">
      <c r="A97" s="58" t="s">
        <v>125</v>
      </c>
      <c r="B97" s="59"/>
      <c r="C97" s="132">
        <f>Wages!E102</f>
        <v>40000</v>
      </c>
      <c r="E97" s="58" t="s">
        <v>125</v>
      </c>
      <c r="F97" s="59"/>
      <c r="G97" s="580">
        <f>Wages!M137</f>
        <v>40000</v>
      </c>
      <c r="I97" s="58" t="s">
        <v>125</v>
      </c>
      <c r="J97" s="59"/>
      <c r="K97" s="590">
        <f>Wages!Q137</f>
        <v>50000</v>
      </c>
      <c r="M97" s="58" t="s">
        <v>125</v>
      </c>
      <c r="N97" s="59"/>
      <c r="O97" s="580">
        <f>Wages!E155</f>
        <v>0</v>
      </c>
    </row>
    <row r="98" spans="1:15" x14ac:dyDescent="0.2">
      <c r="A98" s="553"/>
      <c r="B98" s="3"/>
      <c r="C98" s="553"/>
    </row>
    <row r="99" spans="1:15" x14ac:dyDescent="0.2">
      <c r="A99" s="553"/>
      <c r="B99" s="3"/>
      <c r="C99" s="553"/>
    </row>
    <row r="100" spans="1:15" ht="15.75" x14ac:dyDescent="0.25">
      <c r="A100" s="667" t="s">
        <v>85</v>
      </c>
      <c r="B100" s="676"/>
      <c r="C100" s="677"/>
      <c r="E100" s="667" t="s">
        <v>85</v>
      </c>
      <c r="F100" s="676"/>
      <c r="G100" s="677"/>
      <c r="I100" s="667" t="s">
        <v>85</v>
      </c>
      <c r="J100" s="676"/>
      <c r="K100" s="677"/>
    </row>
    <row r="101" spans="1:15" ht="15" x14ac:dyDescent="0.2">
      <c r="A101" s="74" t="s">
        <v>53</v>
      </c>
      <c r="B101" s="729" t="str">
        <f>Wages!H141</f>
        <v>Dancan Botha</v>
      </c>
      <c r="C101" s="730"/>
      <c r="E101" s="74" t="s">
        <v>53</v>
      </c>
      <c r="F101" s="670" t="str">
        <f>Wages!L141</f>
        <v>Ibrahim Amadu</v>
      </c>
      <c r="G101" s="675"/>
      <c r="I101" s="74" t="s">
        <v>53</v>
      </c>
      <c r="J101" s="729" t="str">
        <f>Wages!P141</f>
        <v xml:space="preserve">vacant  </v>
      </c>
      <c r="K101" s="730"/>
    </row>
    <row r="102" spans="1:15" x14ac:dyDescent="0.2">
      <c r="A102" s="665" t="s">
        <v>63</v>
      </c>
      <c r="B102" s="681"/>
      <c r="C102" s="581" t="str">
        <f>Wages!I142</f>
        <v>CITI30</v>
      </c>
      <c r="E102" s="665" t="s">
        <v>63</v>
      </c>
      <c r="F102" s="681"/>
      <c r="G102" s="582" t="str">
        <f>Wages!M142</f>
        <v>CITI31</v>
      </c>
      <c r="I102" s="665" t="s">
        <v>63</v>
      </c>
      <c r="J102" s="681"/>
      <c r="K102" s="582" t="str">
        <f>Wages!Q142</f>
        <v>CITI03</v>
      </c>
    </row>
    <row r="103" spans="1:15" x14ac:dyDescent="0.2">
      <c r="A103" s="665" t="s">
        <v>54</v>
      </c>
      <c r="B103" s="681"/>
      <c r="C103" s="158" t="str">
        <f>$C$13</f>
        <v>January 2026</v>
      </c>
      <c r="E103" s="665" t="s">
        <v>54</v>
      </c>
      <c r="F103" s="681"/>
      <c r="G103" s="158" t="str">
        <f>$C$13</f>
        <v>January 2026</v>
      </c>
      <c r="I103" s="665" t="s">
        <v>54</v>
      </c>
      <c r="J103" s="681"/>
      <c r="K103" s="158" t="str">
        <f>$C$13</f>
        <v>January 2026</v>
      </c>
    </row>
    <row r="104" spans="1:15" x14ac:dyDescent="0.2">
      <c r="A104" s="161" t="s">
        <v>61</v>
      </c>
      <c r="B104" s="162"/>
      <c r="C104" s="576">
        <f>Wages!I144</f>
        <v>94000</v>
      </c>
      <c r="E104" s="161" t="s">
        <v>61</v>
      </c>
      <c r="F104" s="162"/>
      <c r="G104" s="576">
        <f>Wages!M144</f>
        <v>80000</v>
      </c>
      <c r="I104" s="161" t="s">
        <v>61</v>
      </c>
      <c r="J104" s="162"/>
      <c r="K104" s="576">
        <f>Wages!Q144</f>
        <v>0</v>
      </c>
    </row>
    <row r="105" spans="1:15" x14ac:dyDescent="0.2">
      <c r="A105" s="54" t="s">
        <v>66</v>
      </c>
      <c r="B105" s="3"/>
      <c r="C105" s="575">
        <f>Wages!I145</f>
        <v>0</v>
      </c>
      <c r="E105" s="54" t="s">
        <v>66</v>
      </c>
      <c r="F105" s="3"/>
      <c r="G105" s="410">
        <f>Wages!M145</f>
        <v>0</v>
      </c>
      <c r="I105" s="54" t="s">
        <v>66</v>
      </c>
      <c r="J105" s="3"/>
      <c r="K105" s="410">
        <f>Wages!Q145</f>
        <v>0</v>
      </c>
    </row>
    <row r="106" spans="1:15" x14ac:dyDescent="0.2">
      <c r="A106" s="54" t="s">
        <v>55</v>
      </c>
      <c r="B106" s="3">
        <f>Wages!H146</f>
        <v>0</v>
      </c>
      <c r="C106" s="575"/>
      <c r="E106" s="54" t="s">
        <v>55</v>
      </c>
      <c r="F106" s="3">
        <f>Wages!L146</f>
        <v>0</v>
      </c>
      <c r="G106" s="410"/>
      <c r="I106" s="54" t="s">
        <v>55</v>
      </c>
      <c r="J106" s="3">
        <f>Wages!P146</f>
        <v>0</v>
      </c>
      <c r="K106" s="410"/>
    </row>
    <row r="107" spans="1:15" x14ac:dyDescent="0.2">
      <c r="A107" s="54" t="str">
        <f>A89</f>
        <v>Xmas Gift/Leave Pay</v>
      </c>
      <c r="C107" s="575">
        <f>Wages!I147</f>
        <v>0</v>
      </c>
      <c r="E107" s="54" t="str">
        <f>E89</f>
        <v>Xmas Gift/Leave Pay</v>
      </c>
      <c r="G107" s="410">
        <f>Wages!M147</f>
        <v>0</v>
      </c>
      <c r="I107" s="54" t="str">
        <f>I89</f>
        <v>Xmas Gift/Leave Pay</v>
      </c>
      <c r="K107" s="410">
        <f>Wages!Q147</f>
        <v>0</v>
      </c>
    </row>
    <row r="108" spans="1:15" x14ac:dyDescent="0.2">
      <c r="A108" s="54" t="s">
        <v>64</v>
      </c>
      <c r="C108" s="575">
        <f>Wages!I147</f>
        <v>0</v>
      </c>
      <c r="E108" s="54" t="s">
        <v>64</v>
      </c>
      <c r="G108" s="410"/>
      <c r="I108" s="54" t="s">
        <v>64</v>
      </c>
      <c r="K108" s="410"/>
    </row>
    <row r="109" spans="1:15" x14ac:dyDescent="0.2">
      <c r="A109" s="54" t="str">
        <f>A91</f>
        <v>Loan Instalment</v>
      </c>
      <c r="B109" s="55">
        <f>Wages!H149</f>
        <v>0</v>
      </c>
      <c r="C109" s="575"/>
      <c r="E109" s="54" t="str">
        <f>E91</f>
        <v>Loan Instalment</v>
      </c>
      <c r="F109" s="55">
        <f>Wages!L149</f>
        <v>0</v>
      </c>
      <c r="G109" s="410"/>
      <c r="I109" s="54" t="str">
        <f>I91</f>
        <v>Loan Instalment</v>
      </c>
      <c r="J109" s="55">
        <f>Wages!P149</f>
        <v>0</v>
      </c>
      <c r="K109" s="410"/>
    </row>
    <row r="110" spans="1:15" x14ac:dyDescent="0.2">
      <c r="A110" s="54" t="str">
        <f>A92</f>
        <v>Absence Deduction</v>
      </c>
      <c r="B110" s="56">
        <f>Wages!H150</f>
        <v>0</v>
      </c>
      <c r="C110" s="575"/>
      <c r="E110" s="54" t="str">
        <f>E92</f>
        <v>Absence Deduction</v>
      </c>
      <c r="F110" s="56">
        <f>Wages!L150</f>
        <v>0</v>
      </c>
      <c r="G110" s="410"/>
      <c r="I110" s="54" t="str">
        <f>I92</f>
        <v>Absence Deduction</v>
      </c>
      <c r="J110" s="56">
        <f>Wages!P150</f>
        <v>0</v>
      </c>
      <c r="K110" s="410"/>
    </row>
    <row r="111" spans="1:15" x14ac:dyDescent="0.2">
      <c r="A111" s="74" t="str">
        <f>A93</f>
        <v>Total Deductions</v>
      </c>
      <c r="B111" s="66">
        <f>Wages!H151</f>
        <v>0</v>
      </c>
      <c r="C111" s="575"/>
      <c r="E111" s="74" t="str">
        <f>E93</f>
        <v>Total Deductions</v>
      </c>
      <c r="F111" s="577">
        <f>Wages!L151</f>
        <v>0</v>
      </c>
      <c r="G111" s="410"/>
      <c r="I111" s="74" t="str">
        <f>I93</f>
        <v>Total Deductions</v>
      </c>
      <c r="J111" s="577">
        <f>Wages!P151</f>
        <v>0</v>
      </c>
      <c r="K111" s="410"/>
    </row>
    <row r="112" spans="1:15" x14ac:dyDescent="0.2">
      <c r="A112" s="54" t="str">
        <f>A94</f>
        <v>Loan Balance</v>
      </c>
      <c r="B112" s="57">
        <f>Wages!H152</f>
        <v>0</v>
      </c>
      <c r="C112" s="575"/>
      <c r="E112" s="54" t="str">
        <f>E94</f>
        <v>Loan Balance</v>
      </c>
      <c r="F112" s="57">
        <f>Wages!L152</f>
        <v>0</v>
      </c>
      <c r="G112" s="410"/>
      <c r="I112" s="54" t="str">
        <f>I94</f>
        <v>Loan Balance</v>
      </c>
      <c r="J112" s="57">
        <f>Wages!P152</f>
        <v>0</v>
      </c>
      <c r="K112" s="410"/>
    </row>
    <row r="113" spans="1:11" x14ac:dyDescent="0.2">
      <c r="A113" s="54"/>
      <c r="B113" s="3"/>
      <c r="C113" s="575"/>
      <c r="E113" s="54"/>
      <c r="F113" s="3"/>
      <c r="G113" s="410"/>
      <c r="I113" s="54"/>
      <c r="J113" s="3"/>
      <c r="K113" s="410"/>
    </row>
    <row r="114" spans="1:11" x14ac:dyDescent="0.2">
      <c r="A114" s="133" t="s">
        <v>60</v>
      </c>
      <c r="B114" s="134"/>
      <c r="C114" s="578">
        <f>Wages!I154</f>
        <v>94000</v>
      </c>
      <c r="E114" s="133" t="s">
        <v>60</v>
      </c>
      <c r="F114" s="134"/>
      <c r="G114" s="579">
        <f>Wages!M154</f>
        <v>80000</v>
      </c>
      <c r="I114" s="133" t="s">
        <v>60</v>
      </c>
      <c r="J114" s="134"/>
      <c r="K114" s="588">
        <f>Wages!Q154</f>
        <v>0</v>
      </c>
    </row>
    <row r="115" spans="1:11" x14ac:dyDescent="0.2">
      <c r="A115" s="58" t="s">
        <v>125</v>
      </c>
      <c r="B115" s="59"/>
      <c r="C115" s="587">
        <f>Wages!I155</f>
        <v>47000</v>
      </c>
      <c r="E115" s="58" t="s">
        <v>125</v>
      </c>
      <c r="F115" s="59"/>
      <c r="G115" s="580">
        <f>Wages!M155</f>
        <v>40000</v>
      </c>
      <c r="I115" s="58" t="s">
        <v>125</v>
      </c>
      <c r="J115" s="59"/>
      <c r="K115" s="580">
        <f>Wages!Q155</f>
        <v>0</v>
      </c>
    </row>
    <row r="116" spans="1:11" x14ac:dyDescent="0.2">
      <c r="A116" s="553"/>
      <c r="B116" s="3"/>
      <c r="C116" s="553"/>
    </row>
    <row r="119" spans="1:11" ht="20.100000000000001" customHeight="1" x14ac:dyDescent="0.2">
      <c r="A119" s="184" t="s">
        <v>153</v>
      </c>
    </row>
    <row r="120" spans="1:11" ht="20.100000000000001" customHeight="1" x14ac:dyDescent="0.2">
      <c r="A120" s="180" t="s">
        <v>159</v>
      </c>
      <c r="B120" s="725" t="s">
        <v>21</v>
      </c>
      <c r="C120" s="725"/>
      <c r="D120" s="180" t="s">
        <v>154</v>
      </c>
      <c r="E120" s="180" t="s">
        <v>155</v>
      </c>
      <c r="F120" s="180" t="s">
        <v>156</v>
      </c>
      <c r="G120" s="180" t="s">
        <v>157</v>
      </c>
      <c r="H120" s="735" t="s">
        <v>190</v>
      </c>
      <c r="I120" s="735"/>
    </row>
    <row r="121" spans="1:11" ht="20.100000000000001" customHeight="1" x14ac:dyDescent="0.2">
      <c r="A121" s="181" t="str">
        <f>C12</f>
        <v>CITI01</v>
      </c>
      <c r="B121" s="723" t="str">
        <f>B11</f>
        <v>Sapulene Mkulichi</v>
      </c>
      <c r="C121" s="723"/>
      <c r="D121" s="306" t="str">
        <f t="shared" ref="D121:D143" si="3">$C$13</f>
        <v>January 2026</v>
      </c>
      <c r="E121" s="185">
        <f>B21</f>
        <v>0</v>
      </c>
      <c r="F121" s="186">
        <f>B22</f>
        <v>0</v>
      </c>
      <c r="G121" s="183">
        <f>C25</f>
        <v>0</v>
      </c>
      <c r="H121" s="731">
        <f>IF(Wages!V217="N/A",0,Wages!V217)</f>
        <v>0</v>
      </c>
      <c r="I121" s="732"/>
    </row>
    <row r="122" spans="1:11" ht="20.100000000000001" customHeight="1" x14ac:dyDescent="0.2">
      <c r="A122" s="181" t="str">
        <f>G12</f>
        <v>CITI02</v>
      </c>
      <c r="B122" s="723" t="str">
        <f>F11</f>
        <v>George Matemba</v>
      </c>
      <c r="C122" s="723"/>
      <c r="D122" s="306" t="str">
        <f t="shared" si="3"/>
        <v>January 2026</v>
      </c>
      <c r="E122" s="185">
        <f>F21</f>
        <v>0</v>
      </c>
      <c r="F122" s="186">
        <f>F22</f>
        <v>0</v>
      </c>
      <c r="G122" s="183">
        <f>G25</f>
        <v>60000</v>
      </c>
      <c r="H122" s="731">
        <f>IF(Wages!V218="N/A",0,Wages!V218)</f>
        <v>0</v>
      </c>
      <c r="I122" s="732"/>
    </row>
    <row r="123" spans="1:11" ht="20.100000000000001" customHeight="1" x14ac:dyDescent="0.2">
      <c r="A123" s="181" t="str">
        <f>K102</f>
        <v>CITI03</v>
      </c>
      <c r="B123" s="737" t="str">
        <f>J101</f>
        <v xml:space="preserve">vacant  </v>
      </c>
      <c r="C123" s="738"/>
      <c r="D123" s="306" t="str">
        <f t="shared" si="3"/>
        <v>January 2026</v>
      </c>
      <c r="E123" s="185">
        <f>J109</f>
        <v>0</v>
      </c>
      <c r="F123" s="186">
        <f>J112</f>
        <v>0</v>
      </c>
      <c r="G123" s="183">
        <f>K115</f>
        <v>0</v>
      </c>
      <c r="H123" s="731">
        <f>IF(Wages!V219="N/A",0,Wages!V219)</f>
        <v>0</v>
      </c>
      <c r="I123" s="732"/>
    </row>
    <row r="124" spans="1:11" ht="20.100000000000001" customHeight="1" x14ac:dyDescent="0.2">
      <c r="A124" s="181" t="str">
        <f>K12</f>
        <v>CITI04</v>
      </c>
      <c r="B124" s="723" t="str">
        <f>J11</f>
        <v>Alinafe James</v>
      </c>
      <c r="C124" s="724"/>
      <c r="D124" s="306" t="str">
        <f t="shared" si="3"/>
        <v>January 2026</v>
      </c>
      <c r="E124" s="185">
        <f>J21</f>
        <v>0</v>
      </c>
      <c r="F124" s="186">
        <f>J22</f>
        <v>0</v>
      </c>
      <c r="G124" s="183">
        <f>K25</f>
        <v>40000</v>
      </c>
      <c r="H124" s="731">
        <f>IF(Wages!V221="N/A",0,Wages!V221)</f>
        <v>0</v>
      </c>
      <c r="I124" s="732"/>
    </row>
    <row r="125" spans="1:11" ht="20.100000000000001" customHeight="1" x14ac:dyDescent="0.2">
      <c r="A125" s="182" t="str">
        <f>O12</f>
        <v>CITI05</v>
      </c>
      <c r="B125" s="723" t="str">
        <f>N11</f>
        <v>Chimwemwe Banda</v>
      </c>
      <c r="C125" s="724"/>
      <c r="D125" s="306" t="str">
        <f t="shared" si="3"/>
        <v>January 2026</v>
      </c>
      <c r="E125" s="185">
        <f>N21</f>
        <v>0</v>
      </c>
      <c r="F125" s="186">
        <f>N22</f>
        <v>0</v>
      </c>
      <c r="G125" s="183">
        <f>O25</f>
        <v>40000</v>
      </c>
      <c r="H125" s="731">
        <f>IF(Wages!V222="N/A",0,Wages!V222)</f>
        <v>0</v>
      </c>
      <c r="I125" s="732"/>
    </row>
    <row r="126" spans="1:11" ht="20.100000000000001" customHeight="1" x14ac:dyDescent="0.2">
      <c r="A126" s="182" t="str">
        <f>C30</f>
        <v>CITI06</v>
      </c>
      <c r="B126" s="723" t="str">
        <f>B29</f>
        <v xml:space="preserve">vacant  </v>
      </c>
      <c r="C126" s="724"/>
      <c r="D126" s="306" t="str">
        <f t="shared" si="3"/>
        <v>January 2026</v>
      </c>
      <c r="E126" s="185">
        <f>B39</f>
        <v>0</v>
      </c>
      <c r="F126" s="186">
        <f>B40</f>
        <v>0</v>
      </c>
      <c r="G126" s="183">
        <f>C43</f>
        <v>0</v>
      </c>
      <c r="H126" s="731">
        <f>IF(Wages!V223="N/A",0,Wages!V223)</f>
        <v>0</v>
      </c>
      <c r="I126" s="732"/>
    </row>
    <row r="127" spans="1:11" ht="20.100000000000001" customHeight="1" x14ac:dyDescent="0.2">
      <c r="A127" s="182" t="str">
        <f>G30</f>
        <v>CITI07</v>
      </c>
      <c r="B127" s="723" t="str">
        <f>F29</f>
        <v>Maureen Ulaya</v>
      </c>
      <c r="C127" s="724"/>
      <c r="D127" s="306" t="str">
        <f t="shared" si="3"/>
        <v>January 2026</v>
      </c>
      <c r="E127" s="185">
        <f>F39</f>
        <v>0</v>
      </c>
      <c r="F127" s="186">
        <f>F40</f>
        <v>0</v>
      </c>
      <c r="G127" s="183">
        <f>G43</f>
        <v>40000</v>
      </c>
      <c r="H127" s="731">
        <f>IF(Wages!V224="N/A",0,Wages!V224)</f>
        <v>0</v>
      </c>
      <c r="I127" s="732"/>
    </row>
    <row r="128" spans="1:11" ht="20.100000000000001" customHeight="1" x14ac:dyDescent="0.2">
      <c r="A128" s="182" t="str">
        <f>K30</f>
        <v>CITI08</v>
      </c>
      <c r="B128" s="723" t="str">
        <f>J29</f>
        <v>Francis Chatsweka</v>
      </c>
      <c r="C128" s="724"/>
      <c r="D128" s="306" t="str">
        <f t="shared" si="3"/>
        <v>January 2026</v>
      </c>
      <c r="E128" s="185">
        <f>J39</f>
        <v>0</v>
      </c>
      <c r="F128" s="186">
        <f>J40</f>
        <v>0</v>
      </c>
      <c r="G128" s="183">
        <f>K43</f>
        <v>35000</v>
      </c>
      <c r="H128" s="731">
        <f>IF(Wages!V225="N/A",0,Wages!V225)</f>
        <v>0</v>
      </c>
      <c r="I128" s="732"/>
    </row>
    <row r="129" spans="1:9" ht="20.100000000000001" customHeight="1" x14ac:dyDescent="0.2">
      <c r="A129" s="182" t="str">
        <f>O30</f>
        <v>CITI09</v>
      </c>
      <c r="B129" s="723" t="str">
        <f>N29</f>
        <v>Stenala Mponda</v>
      </c>
      <c r="C129" s="724"/>
      <c r="D129" s="306" t="str">
        <f t="shared" si="3"/>
        <v>January 2026</v>
      </c>
      <c r="E129" s="185">
        <f>N39</f>
        <v>0</v>
      </c>
      <c r="F129" s="186">
        <f>N40</f>
        <v>0</v>
      </c>
      <c r="G129" s="183">
        <f>O43</f>
        <v>35000</v>
      </c>
      <c r="H129" s="731">
        <f>IF(Wages!V226="N/A",0,Wages!V226)</f>
        <v>0</v>
      </c>
      <c r="I129" s="732"/>
    </row>
    <row r="130" spans="1:9" ht="20.100000000000001" customHeight="1" x14ac:dyDescent="0.2">
      <c r="A130" s="182" t="str">
        <f>C48</f>
        <v>CITI10</v>
      </c>
      <c r="B130" s="723" t="str">
        <f>B47</f>
        <v>Simikizani Siki</v>
      </c>
      <c r="C130" s="724"/>
      <c r="D130" s="306" t="str">
        <f t="shared" si="3"/>
        <v>January 2026</v>
      </c>
      <c r="E130" s="185">
        <f>B57</f>
        <v>0</v>
      </c>
      <c r="F130" s="186">
        <f>B58</f>
        <v>0</v>
      </c>
      <c r="G130" s="183">
        <f>C61</f>
        <v>35000</v>
      </c>
      <c r="H130" s="731">
        <f>IF(Wages!V227="N/A",0,Wages!V227)</f>
        <v>0</v>
      </c>
      <c r="I130" s="732"/>
    </row>
    <row r="131" spans="1:9" ht="20.100000000000001" customHeight="1" x14ac:dyDescent="0.2">
      <c r="A131" s="182" t="str">
        <f>G48</f>
        <v>CITI11</v>
      </c>
      <c r="B131" s="723" t="str">
        <f>F47</f>
        <v>Amini Wecha</v>
      </c>
      <c r="C131" s="724"/>
      <c r="D131" s="306" t="str">
        <f t="shared" si="3"/>
        <v>January 2026</v>
      </c>
      <c r="E131" s="185">
        <f>F57</f>
        <v>0</v>
      </c>
      <c r="F131" s="186">
        <f>F58</f>
        <v>0</v>
      </c>
      <c r="G131" s="183">
        <f>G61</f>
        <v>35000</v>
      </c>
      <c r="H131" s="731">
        <f>IF(Wages!V228="N/A",0,Wages!V228)</f>
        <v>0</v>
      </c>
      <c r="I131" s="732"/>
    </row>
    <row r="132" spans="1:9" ht="20.100000000000001" customHeight="1" x14ac:dyDescent="0.2">
      <c r="A132" s="182" t="str">
        <f>K48</f>
        <v>CITI12</v>
      </c>
      <c r="B132" s="723" t="str">
        <f>J47</f>
        <v>Tayifolo Mandowa</v>
      </c>
      <c r="C132" s="724"/>
      <c r="D132" s="306" t="str">
        <f t="shared" si="3"/>
        <v>January 2026</v>
      </c>
      <c r="E132" s="185">
        <f>J57</f>
        <v>0</v>
      </c>
      <c r="F132" s="186">
        <f>J58</f>
        <v>0</v>
      </c>
      <c r="G132" s="183">
        <f>K61</f>
        <v>60000</v>
      </c>
      <c r="H132" s="731">
        <f>IF(Wages!V230="N/A",0,Wages!V230)</f>
        <v>0</v>
      </c>
      <c r="I132" s="732"/>
    </row>
    <row r="133" spans="1:9" ht="20.100000000000001" customHeight="1" x14ac:dyDescent="0.2">
      <c r="A133" s="182" t="str">
        <f>O48</f>
        <v>CITI13</v>
      </c>
      <c r="B133" s="723" t="str">
        <f>N47</f>
        <v>Monica George</v>
      </c>
      <c r="C133" s="724"/>
      <c r="D133" s="306" t="str">
        <f t="shared" si="3"/>
        <v>January 2026</v>
      </c>
      <c r="E133" s="185">
        <f>N57</f>
        <v>0</v>
      </c>
      <c r="F133" s="186">
        <f>N58</f>
        <v>0</v>
      </c>
      <c r="G133" s="183">
        <f>O61</f>
        <v>40000</v>
      </c>
      <c r="H133" s="731">
        <f>IF(Wages!V231="N/A",0,Wages!V231)</f>
        <v>0</v>
      </c>
      <c r="I133" s="732"/>
    </row>
    <row r="134" spans="1:9" ht="20.100000000000001" customHeight="1" x14ac:dyDescent="0.2">
      <c r="A134" s="182" t="str">
        <f>C66</f>
        <v>CITI14</v>
      </c>
      <c r="B134" s="723" t="str">
        <f>B65</f>
        <v>Madalitso Baluti</v>
      </c>
      <c r="C134" s="724"/>
      <c r="D134" s="306" t="str">
        <f t="shared" si="3"/>
        <v>January 2026</v>
      </c>
      <c r="E134" s="185">
        <f>B75</f>
        <v>0</v>
      </c>
      <c r="F134" s="186">
        <f>B76</f>
        <v>0</v>
      </c>
      <c r="G134" s="183">
        <f>C79</f>
        <v>45000</v>
      </c>
      <c r="H134" s="731">
        <f>IF(Wages!V232="N/A",0,Wages!V232)</f>
        <v>0</v>
      </c>
      <c r="I134" s="732"/>
    </row>
    <row r="135" spans="1:9" ht="20.100000000000001" customHeight="1" x14ac:dyDescent="0.2">
      <c r="A135" s="182" t="str">
        <f>G66</f>
        <v>CITI15</v>
      </c>
      <c r="B135" s="723" t="str">
        <f>F65</f>
        <v>Peter James</v>
      </c>
      <c r="C135" s="724"/>
      <c r="D135" s="306" t="str">
        <f t="shared" si="3"/>
        <v>January 2026</v>
      </c>
      <c r="E135" s="185">
        <f>F75</f>
        <v>0</v>
      </c>
      <c r="F135" s="186">
        <f>F76</f>
        <v>0</v>
      </c>
      <c r="G135" s="183">
        <f>G79</f>
        <v>30000</v>
      </c>
      <c r="H135" s="731">
        <f>IF(Wages!V234="N/A",0,Wages!V234)</f>
        <v>0</v>
      </c>
      <c r="I135" s="732"/>
    </row>
    <row r="136" spans="1:9" ht="20.100000000000001" customHeight="1" x14ac:dyDescent="0.2">
      <c r="A136" s="182" t="str">
        <f>K66</f>
        <v>CITI16</v>
      </c>
      <c r="B136" s="723" t="str">
        <f>J65</f>
        <v>Maggie Billy</v>
      </c>
      <c r="C136" s="724"/>
      <c r="D136" s="306" t="str">
        <f t="shared" si="3"/>
        <v>January 2026</v>
      </c>
      <c r="E136" s="185">
        <f>J75</f>
        <v>0</v>
      </c>
      <c r="F136" s="186">
        <f>J76</f>
        <v>0</v>
      </c>
      <c r="G136" s="183">
        <f>K79</f>
        <v>40000</v>
      </c>
      <c r="H136" s="731">
        <f>IF(Wages!V235="N/A",0,Wages!V235)</f>
        <v>0</v>
      </c>
      <c r="I136" s="732"/>
    </row>
    <row r="137" spans="1:9" ht="20.100000000000001" customHeight="1" x14ac:dyDescent="0.2">
      <c r="A137" s="182" t="str">
        <f>O66</f>
        <v>CITI17</v>
      </c>
      <c r="B137" s="723" t="str">
        <f>N65</f>
        <v xml:space="preserve">vacant  </v>
      </c>
      <c r="C137" s="724"/>
      <c r="D137" s="306" t="str">
        <f t="shared" si="3"/>
        <v>January 2026</v>
      </c>
      <c r="E137" s="185">
        <f>N75</f>
        <v>0</v>
      </c>
      <c r="F137" s="186">
        <f>N76</f>
        <v>0</v>
      </c>
      <c r="G137" s="183">
        <f>O79</f>
        <v>0</v>
      </c>
      <c r="H137" s="731">
        <f>IF(Wages!V236="N/A",0,Wages!V236)</f>
        <v>0</v>
      </c>
      <c r="I137" s="732"/>
    </row>
    <row r="138" spans="1:9" ht="20.100000000000001" customHeight="1" x14ac:dyDescent="0.2">
      <c r="A138" s="182" t="str">
        <f>C84</f>
        <v>CITI18</v>
      </c>
      <c r="B138" s="723" t="str">
        <f>B83</f>
        <v>Esnat Adam</v>
      </c>
      <c r="C138" s="724"/>
      <c r="D138" s="306" t="str">
        <f t="shared" si="3"/>
        <v>January 2026</v>
      </c>
      <c r="E138" s="185">
        <f>B93</f>
        <v>0</v>
      </c>
      <c r="F138" s="186">
        <f>B94</f>
        <v>0</v>
      </c>
      <c r="G138" s="183">
        <f>C97</f>
        <v>40000</v>
      </c>
      <c r="H138" s="731">
        <f>IF(Wages!V237="N/A",0,Wages!V237)</f>
        <v>0</v>
      </c>
      <c r="I138" s="732"/>
    </row>
    <row r="139" spans="1:9" ht="20.100000000000001" customHeight="1" x14ac:dyDescent="0.2">
      <c r="A139" s="182" t="str">
        <f>G84</f>
        <v>CITI28</v>
      </c>
      <c r="B139" s="737" t="str">
        <f>F83</f>
        <v>Agness  Mponda</v>
      </c>
      <c r="C139" s="738"/>
      <c r="D139" s="306" t="str">
        <f t="shared" si="3"/>
        <v>January 2026</v>
      </c>
      <c r="E139" s="185">
        <f>F91</f>
        <v>0</v>
      </c>
      <c r="F139" s="186">
        <f>F94</f>
        <v>0</v>
      </c>
      <c r="G139" s="183">
        <f>G97</f>
        <v>40000</v>
      </c>
      <c r="H139" s="731">
        <f>IF(Wages!V250="N/A",0,Wages!V250)</f>
        <v>0</v>
      </c>
      <c r="I139" s="732"/>
    </row>
    <row r="140" spans="1:9" ht="20.100000000000001" customHeight="1" x14ac:dyDescent="0.2">
      <c r="A140" s="182" t="str">
        <f>K84</f>
        <v>CITI29</v>
      </c>
      <c r="B140" s="737" t="str">
        <f>J83</f>
        <v>Elizabeth Chinkono</v>
      </c>
      <c r="C140" s="738"/>
      <c r="D140" s="306" t="str">
        <f t="shared" si="3"/>
        <v>January 2026</v>
      </c>
      <c r="E140" s="185">
        <f>J91</f>
        <v>0</v>
      </c>
      <c r="F140" s="186">
        <f>J94</f>
        <v>0</v>
      </c>
      <c r="G140" s="183">
        <f>K97</f>
        <v>50000</v>
      </c>
      <c r="H140" s="731">
        <f>IF(Wages!V251="N/A",0,Wages!V251)</f>
        <v>0</v>
      </c>
      <c r="I140" s="732"/>
    </row>
    <row r="141" spans="1:9" ht="20.100000000000001" customHeight="1" x14ac:dyDescent="0.2">
      <c r="A141" s="182" t="str">
        <f>O84</f>
        <v>CITI30</v>
      </c>
      <c r="B141" s="737" t="str">
        <f>N83</f>
        <v xml:space="preserve">vacant  </v>
      </c>
      <c r="C141" s="738"/>
      <c r="D141" s="306" t="str">
        <f t="shared" si="3"/>
        <v>January 2026</v>
      </c>
      <c r="E141" s="185">
        <f>N91</f>
        <v>0</v>
      </c>
      <c r="F141" s="186">
        <f>N94</f>
        <v>0</v>
      </c>
      <c r="G141" s="183">
        <f>O97</f>
        <v>0</v>
      </c>
      <c r="H141" s="731">
        <f>IF(Wages!V252="N/A",0,Wages!V252)</f>
        <v>0</v>
      </c>
      <c r="I141" s="732"/>
    </row>
    <row r="142" spans="1:9" ht="20.100000000000001" customHeight="1" x14ac:dyDescent="0.2">
      <c r="A142" s="182" t="str">
        <f>C102</f>
        <v>CITI30</v>
      </c>
      <c r="B142" s="737" t="str">
        <f>B101</f>
        <v>Dancan Botha</v>
      </c>
      <c r="C142" s="738"/>
      <c r="D142" s="306" t="str">
        <f t="shared" si="3"/>
        <v>January 2026</v>
      </c>
      <c r="E142" s="185">
        <f>B109</f>
        <v>0</v>
      </c>
      <c r="F142" s="186">
        <f>B112</f>
        <v>0</v>
      </c>
      <c r="G142" s="183">
        <f>C115</f>
        <v>47000</v>
      </c>
      <c r="H142" s="731">
        <f>IF(Wages!V253="N/A",0,Wages!V253)</f>
        <v>0</v>
      </c>
      <c r="I142" s="732"/>
    </row>
    <row r="143" spans="1:9" ht="20.100000000000001" customHeight="1" x14ac:dyDescent="0.2">
      <c r="A143" s="182" t="str">
        <f>G102</f>
        <v>CITI31</v>
      </c>
      <c r="B143" s="737" t="str">
        <f>F101</f>
        <v>Ibrahim Amadu</v>
      </c>
      <c r="C143" s="738"/>
      <c r="D143" s="306" t="str">
        <f t="shared" si="3"/>
        <v>January 2026</v>
      </c>
      <c r="E143" s="185">
        <f>F109</f>
        <v>0</v>
      </c>
      <c r="F143" s="186">
        <f>F112</f>
        <v>0</v>
      </c>
      <c r="G143" s="183">
        <f>G115</f>
        <v>40000</v>
      </c>
      <c r="H143" s="731">
        <f>IF(Wages!V254="N/A",0,Wages!V254)</f>
        <v>0</v>
      </c>
      <c r="I143" s="732"/>
    </row>
    <row r="144" spans="1:9" ht="20.100000000000001" customHeight="1" x14ac:dyDescent="0.2">
      <c r="A144" s="182"/>
      <c r="B144" s="536"/>
      <c r="C144" s="537"/>
      <c r="D144" s="306"/>
      <c r="E144" s="185"/>
      <c r="F144" s="186"/>
      <c r="G144" s="183"/>
      <c r="H144" s="538"/>
      <c r="I144" s="539"/>
    </row>
    <row r="145" spans="1:9" ht="20.100000000000001" customHeight="1" x14ac:dyDescent="0.25">
      <c r="A145" s="736" t="s">
        <v>161</v>
      </c>
      <c r="B145" s="736"/>
      <c r="C145" s="736"/>
      <c r="D145" s="736"/>
      <c r="E145" s="187">
        <f>SUM(E121:E143)</f>
        <v>0</v>
      </c>
      <c r="F145" s="187">
        <f>SUM(F121:F143)</f>
        <v>0</v>
      </c>
      <c r="G145" s="187">
        <f>SUM(G121:G143)</f>
        <v>752000</v>
      </c>
      <c r="H145" s="733">
        <f>SUM(H121:I143)</f>
        <v>0</v>
      </c>
      <c r="I145" s="734"/>
    </row>
    <row r="146" spans="1:9" ht="20.25" customHeight="1" thickBot="1" x14ac:dyDescent="0.25">
      <c r="E146" s="179"/>
    </row>
    <row r="147" spans="1:9" ht="20.25" customHeight="1" thickBot="1" x14ac:dyDescent="0.3">
      <c r="A147" s="721" t="s">
        <v>207</v>
      </c>
      <c r="B147" s="722"/>
      <c r="C147" s="722"/>
      <c r="D147" s="722"/>
      <c r="E147" s="722"/>
      <c r="F147" s="722"/>
      <c r="G147" s="193">
        <f>'Res-Workers'!G77</f>
        <v>215000</v>
      </c>
    </row>
    <row r="148" spans="1:9" ht="20.25" customHeight="1" thickBot="1" x14ac:dyDescent="0.25">
      <c r="A148" s="73"/>
    </row>
    <row r="149" spans="1:9" ht="20.25" customHeight="1" thickBot="1" x14ac:dyDescent="0.3">
      <c r="A149" s="195" t="s">
        <v>162</v>
      </c>
      <c r="B149" s="196" t="str">
        <f>Wages!B8</f>
        <v>Mid</v>
      </c>
      <c r="C149" s="197" t="str">
        <f>Wages!B9</f>
        <v>January 2026</v>
      </c>
      <c r="D149" s="197"/>
      <c r="E149" s="197"/>
      <c r="F149" s="198"/>
      <c r="G149" s="194">
        <f>SUM(G145+G147)</f>
        <v>967000</v>
      </c>
    </row>
    <row r="150" spans="1:9" x14ac:dyDescent="0.2">
      <c r="A150" s="179"/>
    </row>
    <row r="151" spans="1:9" x14ac:dyDescent="0.2">
      <c r="A151" s="179"/>
    </row>
    <row r="152" spans="1:9" x14ac:dyDescent="0.2">
      <c r="A152" s="179"/>
    </row>
    <row r="153" spans="1:9" x14ac:dyDescent="0.2">
      <c r="A153" s="179"/>
    </row>
    <row r="154" spans="1:9" x14ac:dyDescent="0.2">
      <c r="A154" s="179"/>
    </row>
    <row r="155" spans="1:9" x14ac:dyDescent="0.2">
      <c r="A155" s="179"/>
    </row>
    <row r="156" spans="1:9" x14ac:dyDescent="0.2">
      <c r="A156" s="179"/>
    </row>
    <row r="157" spans="1:9" x14ac:dyDescent="0.2">
      <c r="A157" s="179"/>
    </row>
    <row r="158" spans="1:9" x14ac:dyDescent="0.2">
      <c r="A158" s="179"/>
    </row>
    <row r="159" spans="1:9" x14ac:dyDescent="0.2">
      <c r="A159" s="179"/>
    </row>
  </sheetData>
  <sheetProtection algorithmName="SHA-512" hashValue="xaLXYLOZ92t4YOO49MDJYCqSGsVH2tejd39a6o0C1nXuhypzjk5SDJWkfYpzmRe4zcJ1Mh5M8+s0uW8Dvi0jbg==" saltValue="ieGPoaJfHoIh4jcMEcQwxg==" spinCount="100000" sheet="1" objects="1" scenarios="1"/>
  <mergeCells count="140">
    <mergeCell ref="A147:F147"/>
    <mergeCell ref="B47:C47"/>
    <mergeCell ref="A48:B48"/>
    <mergeCell ref="I48:J48"/>
    <mergeCell ref="M48:N48"/>
    <mergeCell ref="A46:C46"/>
    <mergeCell ref="E46:G46"/>
    <mergeCell ref="I67:J67"/>
    <mergeCell ref="M67:N67"/>
    <mergeCell ref="A49:B49"/>
    <mergeCell ref="I49:J49"/>
    <mergeCell ref="M49:N49"/>
    <mergeCell ref="I66:J66"/>
    <mergeCell ref="M66:N66"/>
    <mergeCell ref="A66:B66"/>
    <mergeCell ref="E66:F66"/>
    <mergeCell ref="A67:B67"/>
    <mergeCell ref="E67:F67"/>
    <mergeCell ref="A64:C64"/>
    <mergeCell ref="E64:G64"/>
    <mergeCell ref="I64:K64"/>
    <mergeCell ref="M64:O64"/>
    <mergeCell ref="B65:C65"/>
    <mergeCell ref="B138:C138"/>
    <mergeCell ref="F11:G11"/>
    <mergeCell ref="J11:K11"/>
    <mergeCell ref="N11:O11"/>
    <mergeCell ref="F65:G65"/>
    <mergeCell ref="J65:K65"/>
    <mergeCell ref="N65:O65"/>
    <mergeCell ref="F47:G47"/>
    <mergeCell ref="J47:K47"/>
    <mergeCell ref="N47:O47"/>
    <mergeCell ref="E48:F48"/>
    <mergeCell ref="E49:F49"/>
    <mergeCell ref="I46:K46"/>
    <mergeCell ref="M46:O46"/>
    <mergeCell ref="I28:K28"/>
    <mergeCell ref="M28:O28"/>
    <mergeCell ref="A30:B30"/>
    <mergeCell ref="A31:B31"/>
    <mergeCell ref="A1:O1"/>
    <mergeCell ref="E31:F31"/>
    <mergeCell ref="F29:G29"/>
    <mergeCell ref="J29:K29"/>
    <mergeCell ref="E30:F30"/>
    <mergeCell ref="A13:B13"/>
    <mergeCell ref="E13:F13"/>
    <mergeCell ref="I13:J13"/>
    <mergeCell ref="M13:N13"/>
    <mergeCell ref="E28:G28"/>
    <mergeCell ref="N29:O29"/>
    <mergeCell ref="A28:C28"/>
    <mergeCell ref="B29:C29"/>
    <mergeCell ref="A12:B12"/>
    <mergeCell ref="E12:F12"/>
    <mergeCell ref="I12:J12"/>
    <mergeCell ref="M12:N12"/>
    <mergeCell ref="A10:C10"/>
    <mergeCell ref="E10:G10"/>
    <mergeCell ref="I10:K10"/>
    <mergeCell ref="M10:O10"/>
    <mergeCell ref="B11:C11"/>
    <mergeCell ref="B125:C125"/>
    <mergeCell ref="B126:C126"/>
    <mergeCell ref="A145:D145"/>
    <mergeCell ref="B137:C137"/>
    <mergeCell ref="B120:C120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1:C121"/>
    <mergeCell ref="B122:C122"/>
    <mergeCell ref="B124:C124"/>
    <mergeCell ref="B123:C123"/>
    <mergeCell ref="B139:C139"/>
    <mergeCell ref="B140:C140"/>
    <mergeCell ref="B141:C141"/>
    <mergeCell ref="B142:C142"/>
    <mergeCell ref="B143:C143"/>
    <mergeCell ref="H126:I126"/>
    <mergeCell ref="H127:I127"/>
    <mergeCell ref="H128:I128"/>
    <mergeCell ref="H129:I129"/>
    <mergeCell ref="H130:I130"/>
    <mergeCell ref="H120:I120"/>
    <mergeCell ref="H121:I121"/>
    <mergeCell ref="H122:I122"/>
    <mergeCell ref="H124:I124"/>
    <mergeCell ref="H125:I125"/>
    <mergeCell ref="H123:I123"/>
    <mergeCell ref="H136:I136"/>
    <mergeCell ref="H137:I137"/>
    <mergeCell ref="H138:I138"/>
    <mergeCell ref="H145:I145"/>
    <mergeCell ref="H131:I131"/>
    <mergeCell ref="H132:I132"/>
    <mergeCell ref="H133:I133"/>
    <mergeCell ref="H134:I134"/>
    <mergeCell ref="H135:I135"/>
    <mergeCell ref="H139:I139"/>
    <mergeCell ref="H140:I140"/>
    <mergeCell ref="H141:I141"/>
    <mergeCell ref="H142:I142"/>
    <mergeCell ref="H143:I143"/>
    <mergeCell ref="E82:G82"/>
    <mergeCell ref="I82:K82"/>
    <mergeCell ref="M82:O82"/>
    <mergeCell ref="A100:C100"/>
    <mergeCell ref="E100:G100"/>
    <mergeCell ref="I100:K100"/>
    <mergeCell ref="J83:K83"/>
    <mergeCell ref="F83:G83"/>
    <mergeCell ref="N83:O83"/>
    <mergeCell ref="M84:N84"/>
    <mergeCell ref="M85:N85"/>
    <mergeCell ref="I84:J84"/>
    <mergeCell ref="I85:J85"/>
    <mergeCell ref="E84:F84"/>
    <mergeCell ref="E85:F85"/>
    <mergeCell ref="A82:C82"/>
    <mergeCell ref="B83:C83"/>
    <mergeCell ref="A84:B84"/>
    <mergeCell ref="A85:B85"/>
    <mergeCell ref="J101:K101"/>
    <mergeCell ref="F101:G101"/>
    <mergeCell ref="B101:C101"/>
    <mergeCell ref="A102:B102"/>
    <mergeCell ref="A103:B103"/>
    <mergeCell ref="E102:F102"/>
    <mergeCell ref="E103:F103"/>
    <mergeCell ref="I102:J102"/>
    <mergeCell ref="I103:J103"/>
  </mergeCells>
  <pageMargins left="0.7" right="0.7" top="0.75" bottom="0.75" header="0.3" footer="0.3"/>
  <pageSetup scale="110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J50"/>
  <sheetViews>
    <sheetView workbookViewId="0">
      <selection activeCell="I31" sqref="I31"/>
    </sheetView>
  </sheetViews>
  <sheetFormatPr defaultRowHeight="12.75" x14ac:dyDescent="0.2"/>
  <cols>
    <col min="1" max="1" width="3.5703125" customWidth="1"/>
    <col min="3" max="3" width="19.85546875" customWidth="1"/>
    <col min="4" max="4" width="14.28515625" style="112" customWidth="1"/>
    <col min="5" max="5" width="3.7109375" customWidth="1"/>
    <col min="6" max="6" width="17.140625" style="112" customWidth="1"/>
    <col min="7" max="7" width="19.85546875" style="112" customWidth="1"/>
    <col min="8" max="8" width="27.7109375" customWidth="1"/>
    <col min="9" max="9" width="17.7109375" style="651" customWidth="1"/>
    <col min="10" max="10" width="18.42578125" style="651" customWidth="1"/>
  </cols>
  <sheetData>
    <row r="12" spans="2:10" ht="30" x14ac:dyDescent="0.35">
      <c r="D12" s="636" t="s">
        <v>385</v>
      </c>
      <c r="F12" s="638" t="s">
        <v>386</v>
      </c>
      <c r="G12" s="638" t="s">
        <v>387</v>
      </c>
      <c r="H12" s="613" t="s">
        <v>401</v>
      </c>
      <c r="I12" s="650" t="s">
        <v>415</v>
      </c>
      <c r="J12" s="650" t="s">
        <v>421</v>
      </c>
    </row>
    <row r="14" spans="2:10" ht="15" x14ac:dyDescent="0.35">
      <c r="C14" s="43" t="s">
        <v>384</v>
      </c>
      <c r="D14" s="614">
        <f>D23+D45</f>
        <v>2483870.0099999998</v>
      </c>
      <c r="F14" s="614">
        <f>F23+F45</f>
        <v>1840000</v>
      </c>
      <c r="G14" s="614">
        <f>G23+G45</f>
        <v>1890000</v>
      </c>
      <c r="H14" t="s">
        <v>22</v>
      </c>
    </row>
    <row r="16" spans="2:10" x14ac:dyDescent="0.2">
      <c r="B16" s="613" t="s">
        <v>164</v>
      </c>
      <c r="F16" s="112" t="s">
        <v>22</v>
      </c>
    </row>
    <row r="17" spans="1:10" x14ac:dyDescent="0.2">
      <c r="A17">
        <v>1</v>
      </c>
      <c r="B17" t="s">
        <v>362</v>
      </c>
      <c r="D17" s="112">
        <v>0</v>
      </c>
      <c r="F17" s="112">
        <v>60000</v>
      </c>
      <c r="G17" s="112">
        <v>60000</v>
      </c>
      <c r="H17" t="s">
        <v>399</v>
      </c>
      <c r="I17" s="651">
        <v>45658</v>
      </c>
      <c r="J17" s="651">
        <v>46022</v>
      </c>
    </row>
    <row r="18" spans="1:10" x14ac:dyDescent="0.2">
      <c r="A18">
        <f>+A17+1</f>
        <v>2</v>
      </c>
      <c r="B18" t="s">
        <v>393</v>
      </c>
      <c r="D18" s="112">
        <v>0</v>
      </c>
      <c r="F18" s="112">
        <v>70000</v>
      </c>
      <c r="G18" s="112">
        <v>70000</v>
      </c>
      <c r="H18" t="s">
        <v>406</v>
      </c>
      <c r="I18" s="651">
        <v>45870</v>
      </c>
      <c r="J18" s="651">
        <v>46022</v>
      </c>
    </row>
    <row r="19" spans="1:10" x14ac:dyDescent="0.2">
      <c r="A19">
        <f>+A18+1</f>
        <v>3</v>
      </c>
      <c r="B19" t="s">
        <v>394</v>
      </c>
      <c r="D19" s="112">
        <v>0</v>
      </c>
      <c r="F19" s="112">
        <v>30000</v>
      </c>
      <c r="G19" s="112">
        <v>30000</v>
      </c>
      <c r="H19" t="s">
        <v>400</v>
      </c>
      <c r="I19" s="651">
        <v>45870</v>
      </c>
      <c r="J19" s="651">
        <v>46022</v>
      </c>
    </row>
    <row r="20" spans="1:10" x14ac:dyDescent="0.2">
      <c r="A20">
        <f>+A19+1</f>
        <v>4</v>
      </c>
      <c r="B20" t="s">
        <v>363</v>
      </c>
      <c r="D20" s="112">
        <v>0</v>
      </c>
      <c r="F20" s="112">
        <v>150000</v>
      </c>
      <c r="G20" s="112">
        <v>150000</v>
      </c>
      <c r="H20" t="s">
        <v>402</v>
      </c>
      <c r="I20" s="651">
        <v>45688</v>
      </c>
      <c r="J20" s="651">
        <v>46022</v>
      </c>
    </row>
    <row r="21" spans="1:10" x14ac:dyDescent="0.2">
      <c r="A21">
        <f>+A20+1</f>
        <v>5</v>
      </c>
      <c r="B21" t="s">
        <v>364</v>
      </c>
      <c r="D21" s="112">
        <v>0</v>
      </c>
      <c r="F21" s="112">
        <v>100000</v>
      </c>
      <c r="G21" s="112">
        <v>100000</v>
      </c>
      <c r="H21" t="s">
        <v>407</v>
      </c>
      <c r="I21" s="651">
        <v>45694</v>
      </c>
      <c r="J21" s="651">
        <v>46022</v>
      </c>
    </row>
    <row r="22" spans="1:10" x14ac:dyDescent="0.2">
      <c r="A22">
        <f>+A21+1</f>
        <v>6</v>
      </c>
      <c r="B22" t="s">
        <v>365</v>
      </c>
      <c r="D22" s="112">
        <v>0</v>
      </c>
      <c r="F22" s="112">
        <v>100000</v>
      </c>
      <c r="G22" s="112">
        <v>100000</v>
      </c>
      <c r="H22" t="s">
        <v>407</v>
      </c>
    </row>
    <row r="23" spans="1:10" ht="15" x14ac:dyDescent="0.35">
      <c r="A23" t="s">
        <v>22</v>
      </c>
      <c r="B23" t="s">
        <v>163</v>
      </c>
      <c r="D23" s="614">
        <f>SUM(D17:D22)</f>
        <v>0</v>
      </c>
      <c r="F23" s="614">
        <f>SUM(F17:F22)</f>
        <v>510000</v>
      </c>
      <c r="G23" s="614">
        <f>SUM(G17:G22)</f>
        <v>510000</v>
      </c>
    </row>
    <row r="24" spans="1:10" x14ac:dyDescent="0.2">
      <c r="A24" t="s">
        <v>22</v>
      </c>
    </row>
    <row r="25" spans="1:10" x14ac:dyDescent="0.2">
      <c r="B25" s="613" t="s">
        <v>339</v>
      </c>
    </row>
    <row r="26" spans="1:10" x14ac:dyDescent="0.2">
      <c r="A26">
        <v>1</v>
      </c>
      <c r="B26" t="s">
        <v>366</v>
      </c>
      <c r="D26" s="112">
        <v>974200</v>
      </c>
      <c r="F26" s="112">
        <v>140000</v>
      </c>
      <c r="G26" s="112">
        <v>140000</v>
      </c>
      <c r="H26" t="s">
        <v>403</v>
      </c>
      <c r="I26" s="651">
        <v>45931</v>
      </c>
      <c r="J26" s="651">
        <v>47057</v>
      </c>
    </row>
    <row r="27" spans="1:10" x14ac:dyDescent="0.2">
      <c r="A27">
        <f>A26+1</f>
        <v>2</v>
      </c>
      <c r="B27" s="73" t="s">
        <v>379</v>
      </c>
      <c r="D27" s="112">
        <v>157150</v>
      </c>
      <c r="F27" s="112">
        <v>0</v>
      </c>
      <c r="I27" s="651">
        <v>45931</v>
      </c>
      <c r="J27" s="651">
        <v>46326</v>
      </c>
    </row>
    <row r="28" spans="1:10" x14ac:dyDescent="0.2">
      <c r="A28">
        <f t="shared" ref="A28:A44" si="0">A27+1</f>
        <v>3</v>
      </c>
      <c r="B28" s="73" t="s">
        <v>380</v>
      </c>
      <c r="D28" s="112">
        <v>83183.34</v>
      </c>
      <c r="F28" s="112">
        <v>0</v>
      </c>
      <c r="I28" s="651">
        <v>45931</v>
      </c>
      <c r="J28" s="651">
        <v>46326</v>
      </c>
    </row>
    <row r="29" spans="1:10" x14ac:dyDescent="0.2">
      <c r="A29">
        <f t="shared" si="0"/>
        <v>4</v>
      </c>
      <c r="B29" t="s">
        <v>367</v>
      </c>
      <c r="D29" s="112">
        <v>151316.67000000001</v>
      </c>
      <c r="F29" s="112">
        <v>70000</v>
      </c>
      <c r="G29" s="112">
        <v>90000</v>
      </c>
      <c r="H29" t="s">
        <v>404</v>
      </c>
      <c r="I29" s="651">
        <f>Biodata!M23</f>
        <v>45204</v>
      </c>
      <c r="J29" s="651">
        <v>46326</v>
      </c>
    </row>
    <row r="30" spans="1:10" x14ac:dyDescent="0.2">
      <c r="A30">
        <f t="shared" si="0"/>
        <v>5</v>
      </c>
      <c r="B30" t="s">
        <v>368</v>
      </c>
      <c r="D30" s="112">
        <v>126000</v>
      </c>
      <c r="F30" s="112">
        <v>60000</v>
      </c>
      <c r="G30" s="112">
        <v>80000</v>
      </c>
      <c r="H30" t="s">
        <v>405</v>
      </c>
      <c r="I30" s="651">
        <v>45931</v>
      </c>
      <c r="J30" s="651">
        <v>46326</v>
      </c>
    </row>
    <row r="31" spans="1:10" x14ac:dyDescent="0.2">
      <c r="A31">
        <f t="shared" si="0"/>
        <v>6</v>
      </c>
      <c r="B31" t="s">
        <v>369</v>
      </c>
      <c r="D31" s="112">
        <v>96800</v>
      </c>
      <c r="F31" s="112">
        <v>60000</v>
      </c>
      <c r="G31" s="112">
        <v>70000</v>
      </c>
      <c r="H31" t="s">
        <v>408</v>
      </c>
      <c r="I31" s="651">
        <v>45931</v>
      </c>
      <c r="J31" s="651">
        <v>46326</v>
      </c>
    </row>
    <row r="32" spans="1:10" x14ac:dyDescent="0.2">
      <c r="A32">
        <f t="shared" si="0"/>
        <v>7</v>
      </c>
      <c r="B32" t="s">
        <v>370</v>
      </c>
      <c r="D32" s="112">
        <v>133800</v>
      </c>
      <c r="F32" s="112">
        <v>60000</v>
      </c>
      <c r="G32" s="112">
        <v>70000</v>
      </c>
      <c r="H32" t="s">
        <v>409</v>
      </c>
      <c r="I32" s="651">
        <v>45931</v>
      </c>
      <c r="J32" s="651">
        <v>46326</v>
      </c>
    </row>
    <row r="33" spans="1:10" x14ac:dyDescent="0.2">
      <c r="A33">
        <f t="shared" si="0"/>
        <v>8</v>
      </c>
      <c r="B33" t="s">
        <v>371</v>
      </c>
      <c r="D33" s="112">
        <v>193600</v>
      </c>
      <c r="F33" s="112">
        <v>120000</v>
      </c>
      <c r="G33" s="112">
        <v>120000</v>
      </c>
      <c r="H33" t="s">
        <v>410</v>
      </c>
      <c r="I33" s="651">
        <v>45931</v>
      </c>
      <c r="J33" s="651">
        <v>46326</v>
      </c>
    </row>
    <row r="34" spans="1:10" x14ac:dyDescent="0.2">
      <c r="A34">
        <f t="shared" si="0"/>
        <v>9</v>
      </c>
      <c r="B34" t="s">
        <v>372</v>
      </c>
      <c r="D34" s="112">
        <v>148800</v>
      </c>
      <c r="F34" s="112">
        <v>80000</v>
      </c>
      <c r="G34" s="112">
        <v>90000</v>
      </c>
      <c r="H34" t="s">
        <v>411</v>
      </c>
      <c r="I34" s="651">
        <v>45931</v>
      </c>
      <c r="J34" s="651">
        <v>46326</v>
      </c>
    </row>
    <row r="35" spans="1:10" x14ac:dyDescent="0.2">
      <c r="A35">
        <f t="shared" si="0"/>
        <v>10</v>
      </c>
      <c r="B35" t="s">
        <v>392</v>
      </c>
      <c r="D35" s="112">
        <v>85320</v>
      </c>
      <c r="F35" s="112">
        <v>90000</v>
      </c>
      <c r="G35" s="112">
        <v>90000</v>
      </c>
      <c r="H35" t="s">
        <v>411</v>
      </c>
      <c r="I35" s="651">
        <v>45663</v>
      </c>
      <c r="J35" s="651">
        <v>46326</v>
      </c>
    </row>
    <row r="36" spans="1:10" x14ac:dyDescent="0.2">
      <c r="A36">
        <f t="shared" si="0"/>
        <v>11</v>
      </c>
      <c r="B36" t="s">
        <v>373</v>
      </c>
      <c r="D36" s="112">
        <v>94300</v>
      </c>
      <c r="F36" s="112">
        <v>60000</v>
      </c>
      <c r="G36" s="112">
        <v>70000</v>
      </c>
      <c r="H36" t="s">
        <v>409</v>
      </c>
      <c r="I36" s="651">
        <v>45931</v>
      </c>
      <c r="J36" s="651">
        <v>46326</v>
      </c>
    </row>
    <row r="37" spans="1:10" x14ac:dyDescent="0.2">
      <c r="A37">
        <f t="shared" si="0"/>
        <v>12</v>
      </c>
      <c r="B37" t="s">
        <v>374</v>
      </c>
      <c r="D37" s="112">
        <v>10800</v>
      </c>
      <c r="F37" s="112">
        <v>60000</v>
      </c>
      <c r="G37" s="112">
        <v>80000</v>
      </c>
      <c r="H37" t="s">
        <v>405</v>
      </c>
      <c r="I37" s="651">
        <v>45931</v>
      </c>
      <c r="J37" s="651">
        <v>46326</v>
      </c>
    </row>
    <row r="38" spans="1:10" x14ac:dyDescent="0.2">
      <c r="A38">
        <f t="shared" si="0"/>
        <v>13</v>
      </c>
      <c r="B38" t="s">
        <v>395</v>
      </c>
      <c r="F38" s="112">
        <v>60000</v>
      </c>
      <c r="G38" s="112">
        <v>70000</v>
      </c>
      <c r="H38" t="s">
        <v>412</v>
      </c>
      <c r="I38" s="651">
        <v>45838</v>
      </c>
      <c r="J38" s="651">
        <v>46022</v>
      </c>
    </row>
    <row r="39" spans="1:10" x14ac:dyDescent="0.2">
      <c r="A39">
        <f t="shared" si="0"/>
        <v>14</v>
      </c>
      <c r="B39" t="s">
        <v>424</v>
      </c>
      <c r="D39" s="112">
        <v>136333.32999999999</v>
      </c>
      <c r="F39" s="112">
        <v>50000</v>
      </c>
      <c r="G39" s="112">
        <v>0</v>
      </c>
      <c r="H39" t="s">
        <v>399</v>
      </c>
      <c r="I39" s="651">
        <v>43696</v>
      </c>
      <c r="J39" s="651">
        <v>45626</v>
      </c>
    </row>
    <row r="40" spans="1:10" x14ac:dyDescent="0.2">
      <c r="A40">
        <f t="shared" si="0"/>
        <v>15</v>
      </c>
      <c r="B40" t="s">
        <v>375</v>
      </c>
      <c r="D40" s="112">
        <v>0</v>
      </c>
      <c r="F40" s="112">
        <f>Biodata!F73</f>
        <v>80000</v>
      </c>
      <c r="G40" s="112">
        <v>80000</v>
      </c>
      <c r="H40" t="s">
        <v>414</v>
      </c>
      <c r="I40" s="651">
        <v>45853</v>
      </c>
      <c r="J40" s="651">
        <v>46022</v>
      </c>
    </row>
    <row r="41" spans="1:10" x14ac:dyDescent="0.2">
      <c r="A41">
        <f t="shared" si="0"/>
        <v>16</v>
      </c>
      <c r="B41" t="s">
        <v>398</v>
      </c>
      <c r="D41" s="112">
        <v>0</v>
      </c>
      <c r="F41" s="112">
        <v>100000</v>
      </c>
      <c r="G41" s="112">
        <v>100000</v>
      </c>
      <c r="H41" t="s">
        <v>414</v>
      </c>
      <c r="I41" s="651">
        <v>45890</v>
      </c>
      <c r="J41" s="651">
        <v>46022</v>
      </c>
    </row>
    <row r="42" spans="1:10" x14ac:dyDescent="0.2">
      <c r="A42">
        <f t="shared" si="0"/>
        <v>17</v>
      </c>
      <c r="B42" t="s">
        <v>376</v>
      </c>
      <c r="D42" s="112">
        <v>92266.67</v>
      </c>
      <c r="F42" s="112">
        <v>80000</v>
      </c>
      <c r="G42" s="112">
        <v>80000</v>
      </c>
      <c r="H42" t="s">
        <v>423</v>
      </c>
      <c r="I42" s="651">
        <v>45931</v>
      </c>
      <c r="J42" s="651">
        <v>46326</v>
      </c>
    </row>
    <row r="43" spans="1:10" x14ac:dyDescent="0.2">
      <c r="A43">
        <f t="shared" si="0"/>
        <v>18</v>
      </c>
      <c r="B43" t="s">
        <v>377</v>
      </c>
      <c r="D43" s="112">
        <v>0</v>
      </c>
      <c r="F43" s="112">
        <v>80000</v>
      </c>
      <c r="G43" s="112">
        <v>70000</v>
      </c>
      <c r="H43" t="s">
        <v>413</v>
      </c>
      <c r="I43" s="651">
        <v>45823</v>
      </c>
      <c r="J43" s="651">
        <v>46022</v>
      </c>
    </row>
    <row r="44" spans="1:10" x14ac:dyDescent="0.2">
      <c r="A44">
        <f t="shared" si="0"/>
        <v>19</v>
      </c>
      <c r="B44" t="s">
        <v>378</v>
      </c>
      <c r="D44" s="112">
        <v>0</v>
      </c>
      <c r="F44" s="112">
        <v>80000</v>
      </c>
      <c r="G44" s="112">
        <v>80000</v>
      </c>
      <c r="H44" t="s">
        <v>413</v>
      </c>
      <c r="I44" s="651">
        <v>45839</v>
      </c>
      <c r="J44" s="651">
        <v>46022</v>
      </c>
    </row>
    <row r="45" spans="1:10" ht="15" x14ac:dyDescent="0.35">
      <c r="A45" t="s">
        <v>22</v>
      </c>
      <c r="B45" t="s">
        <v>163</v>
      </c>
      <c r="D45" s="614">
        <f>SUM(D26:D44)</f>
        <v>2483870.0099999998</v>
      </c>
      <c r="F45" s="614">
        <f>SUM(F26:F44)</f>
        <v>1330000</v>
      </c>
      <c r="G45" s="614">
        <f>SUM(G26:G44)</f>
        <v>1380000</v>
      </c>
    </row>
    <row r="47" spans="1:10" x14ac:dyDescent="0.2">
      <c r="B47" s="73" t="s">
        <v>388</v>
      </c>
      <c r="D47" s="112">
        <f>D27+D28</f>
        <v>240333.34</v>
      </c>
    </row>
    <row r="49" spans="2:4" ht="13.5" thickBot="1" x14ac:dyDescent="0.25">
      <c r="B49" s="73" t="s">
        <v>389</v>
      </c>
      <c r="D49" s="469">
        <f>D45-D47</f>
        <v>2243536.67</v>
      </c>
    </row>
    <row r="50" spans="2:4" ht="13.5" thickTop="1" x14ac:dyDescent="0.2"/>
  </sheetData>
  <pageMargins left="0.70866141732283472" right="0.70866141732283472" top="0.74803149606299213" bottom="0.74803149606299213" header="0.31496062992125984" footer="0.31496062992125984"/>
  <pageSetup paperSize="9" scale="80" orientation="landscape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CEC65936969B409E137FCE453DFBB1" ma:contentTypeVersion="7" ma:contentTypeDescription="Create a new document." ma:contentTypeScope="" ma:versionID="50f2b5a8f28c3cb64b098e8063c41a7e">
  <xsd:schema xmlns:xsd="http://www.w3.org/2001/XMLSchema" xmlns:xs="http://www.w3.org/2001/XMLSchema" xmlns:p="http://schemas.microsoft.com/office/2006/metadata/properties" xmlns:ns3="483d25fe-4dcc-4f84-b0c3-7bb170aeeb3c" xmlns:ns4="ce99f0f4-29cf-4350-a181-86b9779bae7c" targetNamespace="http://schemas.microsoft.com/office/2006/metadata/properties" ma:root="true" ma:fieldsID="33b1045077514a068ad41fc3f20fba63" ns3:_="" ns4:_="">
    <xsd:import namespace="483d25fe-4dcc-4f84-b0c3-7bb170aeeb3c"/>
    <xsd:import namespace="ce99f0f4-29cf-4350-a181-86b9779bae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d25fe-4dcc-4f84-b0c3-7bb170aeeb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9f0f4-29cf-4350-a181-86b9779bae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3d25fe-4dcc-4f84-b0c3-7bb170aeeb3c" xsi:nil="true"/>
  </documentManagement>
</p:properties>
</file>

<file path=customXml/itemProps1.xml><?xml version="1.0" encoding="utf-8"?>
<ds:datastoreItem xmlns:ds="http://schemas.openxmlformats.org/officeDocument/2006/customXml" ds:itemID="{7665CDF7-91C0-4C0C-8454-6BFF2C469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3d25fe-4dcc-4f84-b0c3-7bb170aeeb3c"/>
    <ds:schemaRef ds:uri="ce99f0f4-29cf-4350-a181-86b9779bae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D1E7B6-73A0-4929-8363-F80BBCF3EC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71DA70-2101-473B-99AE-F0BE36E4998E}">
  <ds:schemaRefs>
    <ds:schemaRef ds:uri="http://schemas.microsoft.com/office/2006/metadata/properties"/>
    <ds:schemaRef ds:uri="ce99f0f4-29cf-4350-a181-86b9779bae7c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483d25fe-4dcc-4f84-b0c3-7bb170aeeb3c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Biodata</vt:lpstr>
      <vt:lpstr>Pay Sheet</vt:lpstr>
      <vt:lpstr>Final</vt:lpstr>
      <vt:lpstr>Terminations</vt:lpstr>
      <vt:lpstr>Wages</vt:lpstr>
      <vt:lpstr>Re-Engagements</vt:lpstr>
      <vt:lpstr>LoanSchedule</vt:lpstr>
      <vt:lpstr>Combined Pay</vt:lpstr>
      <vt:lpstr>Res-Workers</vt:lpstr>
      <vt:lpstr>Shop-Workers</vt:lpstr>
      <vt:lpstr>Reengagement Wages 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Vansons Building Contractors</dc:creator>
  <cp:lastModifiedBy>nmkulichi</cp:lastModifiedBy>
  <cp:lastPrinted>2025-10-05T21:28:08Z</cp:lastPrinted>
  <dcterms:created xsi:type="dcterms:W3CDTF">2008-08-25T13:20:46Z</dcterms:created>
  <dcterms:modified xsi:type="dcterms:W3CDTF">2026-02-01T08:41:14Z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0x010100A6CEC65936969B409E137FCE453DFBB1</vt:lpwstr>
  </property>
</Properties>
</file>